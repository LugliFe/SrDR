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-15" yWindow="6690" windowWidth="20505" windowHeight="1455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F3" i="1" l="1"/>
  <c r="EE3" i="1"/>
  <c r="ED3" i="1"/>
  <c r="EC3" i="1"/>
  <c r="EF2" i="1"/>
  <c r="EE2" i="1"/>
  <c r="ED2" i="1"/>
  <c r="EC2" i="1"/>
  <c r="EA3" i="1"/>
  <c r="DZ3" i="1"/>
  <c r="DY3" i="1"/>
  <c r="DS3" i="1"/>
  <c r="DR3" i="1"/>
  <c r="J2" i="1"/>
  <c r="B13" i="1"/>
  <c r="J3" i="1"/>
  <c r="S178" i="1" s="1"/>
  <c r="AC178" i="1" s="1"/>
  <c r="AM178" i="1" s="1"/>
  <c r="K3" i="1"/>
  <c r="J4" i="1"/>
  <c r="J5" i="1"/>
  <c r="K5" i="1"/>
  <c r="B11" i="1"/>
  <c r="B12" i="1"/>
  <c r="U113" i="1"/>
  <c r="S180" i="1"/>
  <c r="AC180" i="1" s="1"/>
  <c r="AM180" i="1" s="1"/>
  <c r="Q306" i="1"/>
  <c r="R342" i="1"/>
  <c r="P209" i="1"/>
  <c r="Z209" i="1" s="1"/>
  <c r="AJ209" i="1" s="1"/>
  <c r="P299" i="1"/>
  <c r="Z299" i="1" s="1"/>
  <c r="AJ299" i="1" s="1"/>
  <c r="U223" i="1"/>
  <c r="AE223" i="1" s="1"/>
  <c r="AO223" i="1" s="1"/>
  <c r="T339" i="1"/>
  <c r="O353" i="1"/>
  <c r="Y353" i="1" s="1"/>
  <c r="AI353" i="1" s="1"/>
  <c r="S293" i="1"/>
  <c r="AC293" i="1" s="1"/>
  <c r="AM293" i="1" s="1"/>
  <c r="V299" i="1"/>
  <c r="V302" i="1"/>
  <c r="V459" i="1"/>
  <c r="W469" i="1"/>
  <c r="S579" i="1"/>
  <c r="AC579" i="1" s="1"/>
  <c r="AM579" i="1" s="1"/>
  <c r="O472" i="1"/>
  <c r="Y472" i="1" s="1"/>
  <c r="AI472" i="1" s="1"/>
  <c r="T603" i="1"/>
  <c r="W506" i="1"/>
  <c r="P180" i="1"/>
  <c r="Z180" i="1" s="1"/>
  <c r="AJ180" i="1" s="1"/>
  <c r="Q413" i="1"/>
  <c r="W274" i="1"/>
  <c r="U540" i="1"/>
  <c r="AE540" i="1" s="1"/>
  <c r="AO540" i="1" s="1"/>
  <c r="R361" i="1"/>
  <c r="P505" i="1"/>
  <c r="Z505" i="1" s="1"/>
  <c r="AJ505" i="1" s="1"/>
  <c r="W137" i="1"/>
  <c r="R304" i="1"/>
  <c r="T386" i="1"/>
  <c r="P402" i="1"/>
  <c r="Z402" i="1" s="1"/>
  <c r="AJ402" i="1" s="1"/>
  <c r="V401" i="1"/>
  <c r="U530" i="1"/>
  <c r="R327" i="1"/>
  <c r="T511" i="1"/>
  <c r="R608" i="1"/>
  <c r="S409" i="1"/>
  <c r="AC409" i="1" s="1"/>
  <c r="AM409" i="1" s="1"/>
  <c r="S568" i="1"/>
  <c r="AC568" i="1" s="1"/>
  <c r="AM568" i="1" s="1"/>
  <c r="T652" i="1"/>
  <c r="O483" i="1"/>
  <c r="Y483" i="1" s="1"/>
  <c r="AI483" i="1" s="1"/>
  <c r="U611" i="1"/>
  <c r="Q434" i="1"/>
  <c r="R645" i="1"/>
  <c r="S574" i="1"/>
  <c r="AC574" i="1" s="1"/>
  <c r="AM574" i="1" s="1"/>
  <c r="P604" i="1"/>
  <c r="Z604" i="1" s="1"/>
  <c r="AJ604" i="1" s="1"/>
  <c r="V454" i="1"/>
  <c r="P177" i="1"/>
  <c r="Z177" i="1" s="1"/>
  <c r="AJ177" i="1" s="1"/>
  <c r="Q326" i="1"/>
  <c r="Q398" i="1"/>
  <c r="R421" i="1"/>
  <c r="U414" i="1"/>
  <c r="W533" i="1"/>
  <c r="V333" i="1"/>
  <c r="R516" i="1"/>
  <c r="T613" i="1"/>
  <c r="O419" i="1"/>
  <c r="Y419" i="1" s="1"/>
  <c r="AI419" i="1" s="1"/>
  <c r="U575" i="1"/>
  <c r="O660" i="1"/>
  <c r="Y660" i="1" s="1"/>
  <c r="AI660" i="1" s="1"/>
  <c r="V499" i="1"/>
  <c r="Q621" i="1"/>
  <c r="U470" i="1"/>
  <c r="Q659" i="1"/>
  <c r="W588" i="1"/>
  <c r="R607" i="1"/>
  <c r="P592" i="1"/>
  <c r="Z592" i="1" s="1"/>
  <c r="AJ592" i="1" s="1"/>
  <c r="R233" i="1"/>
  <c r="V319" i="1"/>
  <c r="W477" i="1"/>
  <c r="V430" i="1"/>
  <c r="P633" i="1"/>
  <c r="Z633" i="1" s="1"/>
  <c r="AJ633" i="1" s="1"/>
  <c r="U595" i="1"/>
  <c r="T516" i="1"/>
  <c r="S483" i="1"/>
  <c r="AC483" i="1" s="1"/>
  <c r="AM483" i="1" s="1"/>
  <c r="P634" i="1"/>
  <c r="Z634" i="1" s="1"/>
  <c r="AJ634" i="1" s="1"/>
  <c r="P544" i="1"/>
  <c r="Z544" i="1" s="1"/>
  <c r="AJ544" i="1" s="1"/>
  <c r="V354" i="1"/>
  <c r="O361" i="1"/>
  <c r="Y361" i="1" s="1"/>
  <c r="AI361" i="1" s="1"/>
  <c r="T398" i="1"/>
  <c r="W571" i="1"/>
  <c r="Q491" i="1"/>
  <c r="T629" i="1"/>
  <c r="U523" i="1"/>
  <c r="AE523" i="1" s="1"/>
  <c r="AO523" i="1" s="1"/>
  <c r="U646" i="1"/>
  <c r="R509" i="1"/>
  <c r="V599" i="1"/>
  <c r="S649" i="1"/>
  <c r="AC649" i="1" s="1"/>
  <c r="AM649" i="1" s="1"/>
  <c r="W489" i="1"/>
  <c r="U633" i="1"/>
  <c r="V488" i="1"/>
  <c r="R621" i="1"/>
  <c r="S629" i="1"/>
  <c r="AC629" i="1" s="1"/>
  <c r="AM629" i="1" s="1"/>
  <c r="Q626" i="1"/>
  <c r="O476" i="1"/>
  <c r="Y476" i="1" s="1"/>
  <c r="AI476" i="1" s="1"/>
  <c r="V269" i="1"/>
  <c r="U372" i="1"/>
  <c r="P468" i="1"/>
  <c r="Z468" i="1" s="1"/>
  <c r="AJ468" i="1" s="1"/>
  <c r="Q506" i="1"/>
  <c r="V325" i="1"/>
  <c r="V532" i="1"/>
  <c r="P627" i="1"/>
  <c r="Z627" i="1" s="1"/>
  <c r="AJ627" i="1" s="1"/>
  <c r="W510" i="1"/>
  <c r="T644" i="1"/>
  <c r="T512" i="1"/>
  <c r="V637" i="1"/>
  <c r="Q599" i="1"/>
  <c r="O584" i="1"/>
  <c r="Y584" i="1" s="1"/>
  <c r="AI584" i="1" s="1"/>
  <c r="O364" i="1"/>
  <c r="Y364" i="1" s="1"/>
  <c r="AI364" i="1" s="1"/>
  <c r="V416" i="1"/>
  <c r="O259" i="1"/>
  <c r="Y259" i="1" s="1"/>
  <c r="AI259" i="1" s="1"/>
  <c r="P365" i="1"/>
  <c r="Z365" i="1" s="1"/>
  <c r="AJ365" i="1" s="1"/>
  <c r="U405" i="1"/>
  <c r="O393" i="1"/>
  <c r="Y393" i="1" s="1"/>
  <c r="AI393" i="1" s="1"/>
  <c r="O390" i="1"/>
  <c r="Y390" i="1" s="1"/>
  <c r="AI390" i="1" s="1"/>
  <c r="U532" i="1"/>
  <c r="U365" i="1"/>
  <c r="P533" i="1"/>
  <c r="Z533" i="1" s="1"/>
  <c r="AJ533" i="1" s="1"/>
  <c r="T609" i="1"/>
  <c r="P384" i="1"/>
  <c r="Z384" i="1" s="1"/>
  <c r="AJ384" i="1" s="1"/>
  <c r="Q561" i="1"/>
  <c r="Q656" i="1"/>
  <c r="T528" i="1"/>
  <c r="S640" i="1"/>
  <c r="AC640" i="1" s="1"/>
  <c r="AM640" i="1" s="1"/>
  <c r="O532" i="1"/>
  <c r="Y532" i="1" s="1"/>
  <c r="AI532" i="1" s="1"/>
  <c r="W403" i="1"/>
  <c r="W628" i="1"/>
  <c r="U389" i="1"/>
  <c r="Q617" i="1"/>
  <c r="O617" i="1"/>
  <c r="Y617" i="1" s="1"/>
  <c r="AI617" i="1" s="1"/>
  <c r="Q511" i="1"/>
  <c r="T536" i="1"/>
  <c r="S576" i="1"/>
  <c r="AC576" i="1" s="1"/>
  <c r="AM576" i="1" s="1"/>
  <c r="V604" i="1"/>
  <c r="S599" i="1"/>
  <c r="AC599" i="1" s="1"/>
  <c r="AM599" i="1" s="1"/>
  <c r="S403" i="1"/>
  <c r="AC403" i="1" s="1"/>
  <c r="AM403" i="1" s="1"/>
  <c r="Q423" i="1"/>
  <c r="O309" i="1"/>
  <c r="Y309" i="1" s="1"/>
  <c r="AI309" i="1" s="1"/>
  <c r="R427" i="1"/>
  <c r="O265" i="1"/>
  <c r="Y265" i="1" s="1"/>
  <c r="AI265" i="1" s="1"/>
  <c r="R559" i="1"/>
  <c r="U634" i="1"/>
  <c r="T608" i="1"/>
  <c r="O652" i="1"/>
  <c r="Y652" i="1" s="1"/>
  <c r="AI652" i="1" s="1"/>
  <c r="Q406" i="1"/>
  <c r="P501" i="1"/>
  <c r="Z501" i="1" s="1"/>
  <c r="AJ501" i="1" s="1"/>
  <c r="Q538" i="1"/>
  <c r="R381" i="1"/>
  <c r="T341" i="1"/>
  <c r="S256" i="1"/>
  <c r="AC256" i="1" s="1"/>
  <c r="AM256" i="1" s="1"/>
  <c r="P372" i="1" l="1"/>
  <c r="Z372" i="1" s="1"/>
  <c r="AJ372" i="1" s="1"/>
  <c r="O599" i="1"/>
  <c r="Y599" i="1" s="1"/>
  <c r="AI599" i="1" s="1"/>
  <c r="S540" i="1"/>
  <c r="AC540" i="1" s="1"/>
  <c r="AM540" i="1" s="1"/>
  <c r="R663" i="1"/>
  <c r="U623" i="1"/>
  <c r="P360" i="1"/>
  <c r="Z360" i="1" s="1"/>
  <c r="AJ360" i="1" s="1"/>
  <c r="Q395" i="1"/>
  <c r="T411" i="1"/>
  <c r="AD411" i="1" s="1"/>
  <c r="AN411" i="1" s="1"/>
  <c r="Q640" i="1"/>
  <c r="S647" i="1"/>
  <c r="AC647" i="1" s="1"/>
  <c r="AM647" i="1" s="1"/>
  <c r="R643" i="1"/>
  <c r="AB643" i="1" s="1"/>
  <c r="AL643" i="1" s="1"/>
  <c r="S566" i="1"/>
  <c r="AC566" i="1" s="1"/>
  <c r="AM566" i="1" s="1"/>
  <c r="O431" i="1"/>
  <c r="Y431" i="1" s="1"/>
  <c r="AI431" i="1" s="1"/>
  <c r="V462" i="1"/>
  <c r="T659" i="1"/>
  <c r="R508" i="1"/>
  <c r="U498" i="1"/>
  <c r="R329" i="1"/>
  <c r="W319" i="1"/>
  <c r="Q641" i="1"/>
  <c r="Q480" i="1"/>
  <c r="T596" i="1"/>
  <c r="U607" i="1"/>
  <c r="T589" i="1"/>
  <c r="AS589" i="1" s="1"/>
  <c r="AT589" i="1" s="1"/>
  <c r="Q574" i="1"/>
  <c r="W381" i="1"/>
  <c r="S249" i="1"/>
  <c r="AC249" i="1" s="1"/>
  <c r="AM249" i="1" s="1"/>
  <c r="T522" i="1"/>
  <c r="U577" i="1"/>
  <c r="W592" i="1"/>
  <c r="W630" i="1"/>
  <c r="Q624" i="1"/>
  <c r="V598" i="1"/>
  <c r="S537" i="1"/>
  <c r="AC537" i="1" s="1"/>
  <c r="AM537" i="1" s="1"/>
  <c r="Q453" i="1"/>
  <c r="V649" i="1"/>
  <c r="Q661" i="1"/>
  <c r="Q545" i="1"/>
  <c r="T255" i="1"/>
  <c r="AS255" i="1" s="1"/>
  <c r="AT255" i="1" s="1"/>
  <c r="AU255" i="1" s="1"/>
  <c r="AV255" i="1" s="1"/>
  <c r="AW255" i="1" s="1"/>
  <c r="Q409" i="1"/>
  <c r="AA409" i="1" s="1"/>
  <c r="O639" i="1"/>
  <c r="Y639" i="1" s="1"/>
  <c r="AI639" i="1" s="1"/>
  <c r="U537" i="1"/>
  <c r="O624" i="1"/>
  <c r="Y624" i="1" s="1"/>
  <c r="AI624" i="1" s="1"/>
  <c r="W363" i="1"/>
  <c r="AS363" i="1" s="1"/>
  <c r="W464" i="1"/>
  <c r="V639" i="1"/>
  <c r="O550" i="1"/>
  <c r="Y550" i="1" s="1"/>
  <c r="AI550" i="1" s="1"/>
  <c r="O328" i="1"/>
  <c r="Y328" i="1" s="1"/>
  <c r="AI328" i="1" s="1"/>
  <c r="T593" i="1"/>
  <c r="O487" i="1"/>
  <c r="Y487" i="1" s="1"/>
  <c r="AI487" i="1" s="1"/>
  <c r="O601" i="1"/>
  <c r="Y601" i="1" s="1"/>
  <c r="AI601" i="1" s="1"/>
  <c r="S511" i="1"/>
  <c r="AC511" i="1" s="1"/>
  <c r="AM511" i="1" s="1"/>
  <c r="S349" i="1"/>
  <c r="AC349" i="1" s="1"/>
  <c r="AM349" i="1" s="1"/>
  <c r="W372" i="1"/>
  <c r="AG372" i="1" s="1"/>
  <c r="AQ372" i="1" s="1"/>
  <c r="U348" i="1"/>
  <c r="O290" i="1"/>
  <c r="Y290" i="1" s="1"/>
  <c r="AI290" i="1" s="1"/>
  <c r="S222" i="1"/>
  <c r="AC222" i="1" s="1"/>
  <c r="AM222" i="1" s="1"/>
  <c r="Q67" i="1"/>
  <c r="T483" i="1"/>
  <c r="Q523" i="1"/>
  <c r="AA523" i="1" s="1"/>
  <c r="T666" i="1"/>
  <c r="P582" i="1"/>
  <c r="Z582" i="1" s="1"/>
  <c r="AJ582" i="1" s="1"/>
  <c r="P443" i="1"/>
  <c r="Z443" i="1" s="1"/>
  <c r="AJ443" i="1" s="1"/>
  <c r="S634" i="1"/>
  <c r="AC634" i="1" s="1"/>
  <c r="AM634" i="1" s="1"/>
  <c r="O542" i="1"/>
  <c r="Y542" i="1" s="1"/>
  <c r="AI542" i="1" s="1"/>
  <c r="P279" i="1"/>
  <c r="Z279" i="1" s="1"/>
  <c r="AJ279" i="1" s="1"/>
  <c r="R586" i="1"/>
  <c r="S486" i="1"/>
  <c r="AC486" i="1" s="1"/>
  <c r="AM486" i="1" s="1"/>
  <c r="U600" i="1"/>
  <c r="AE600" i="1" s="1"/>
  <c r="AO600" i="1" s="1"/>
  <c r="W507" i="1"/>
  <c r="W338" i="1"/>
  <c r="T352" i="1"/>
  <c r="O334" i="1"/>
  <c r="Y334" i="1" s="1"/>
  <c r="AI334" i="1" s="1"/>
  <c r="R245" i="1"/>
  <c r="U201" i="1"/>
  <c r="AF201" i="1" s="1"/>
  <c r="AP201" i="1" s="1"/>
  <c r="U481" i="1"/>
  <c r="T250" i="1"/>
  <c r="U506" i="1"/>
  <c r="AE506" i="1" s="1"/>
  <c r="AO506" i="1" s="1"/>
  <c r="R453" i="1"/>
  <c r="O346" i="1"/>
  <c r="Y346" i="1" s="1"/>
  <c r="AI346" i="1" s="1"/>
  <c r="S285" i="1"/>
  <c r="AC285" i="1" s="1"/>
  <c r="AM285" i="1" s="1"/>
  <c r="O427" i="1"/>
  <c r="Y427" i="1" s="1"/>
  <c r="AI427" i="1" s="1"/>
  <c r="R568" i="1"/>
  <c r="R420" i="1"/>
  <c r="AB420" i="1" s="1"/>
  <c r="W553" i="1"/>
  <c r="S423" i="1"/>
  <c r="AC423" i="1" s="1"/>
  <c r="AM423" i="1" s="1"/>
  <c r="P428" i="1"/>
  <c r="Z428" i="1" s="1"/>
  <c r="AJ428" i="1" s="1"/>
  <c r="W444" i="1"/>
  <c r="AS444" i="1" s="1"/>
  <c r="AT444" i="1" s="1"/>
  <c r="V370" i="1"/>
  <c r="W260" i="1"/>
  <c r="O446" i="1"/>
  <c r="Y446" i="1" s="1"/>
  <c r="AI446" i="1" s="1"/>
  <c r="Q287" i="1"/>
  <c r="T371" i="1"/>
  <c r="R252" i="1"/>
  <c r="T210" i="1"/>
  <c r="AS210" i="1" s="1"/>
  <c r="R259" i="1"/>
  <c r="R192" i="1"/>
  <c r="O118" i="1"/>
  <c r="Y118" i="1" s="1"/>
  <c r="AI118" i="1" s="1"/>
  <c r="S586" i="1"/>
  <c r="AC586" i="1" s="1"/>
  <c r="AM586" i="1" s="1"/>
  <c r="P156" i="1"/>
  <c r="Z156" i="1" s="1"/>
  <c r="AJ156" i="1" s="1"/>
  <c r="U413" i="1"/>
  <c r="Q440" i="1"/>
  <c r="O341" i="1"/>
  <c r="Y341" i="1" s="1"/>
  <c r="AI341" i="1" s="1"/>
  <c r="T587" i="1"/>
  <c r="U567" i="1"/>
  <c r="Q471" i="1"/>
  <c r="S405" i="1"/>
  <c r="AC405" i="1" s="1"/>
  <c r="AM405" i="1" s="1"/>
  <c r="U553" i="1"/>
  <c r="O647" i="1"/>
  <c r="Y647" i="1" s="1"/>
  <c r="AI647" i="1" s="1"/>
  <c r="O395" i="1"/>
  <c r="Y395" i="1" s="1"/>
  <c r="AI395" i="1" s="1"/>
  <c r="Q416" i="1"/>
  <c r="AA416" i="1" s="1"/>
  <c r="P343" i="1"/>
  <c r="Z343" i="1" s="1"/>
  <c r="AJ343" i="1" s="1"/>
  <c r="R447" i="1"/>
  <c r="O523" i="1"/>
  <c r="Y523" i="1" s="1"/>
  <c r="AI523" i="1" s="1"/>
  <c r="T451" i="1"/>
  <c r="Q430" i="1"/>
  <c r="AA430" i="1" s="1"/>
  <c r="W657" i="1"/>
  <c r="S633" i="1"/>
  <c r="AC633" i="1" s="1"/>
  <c r="AM633" i="1" s="1"/>
  <c r="Q353" i="1"/>
  <c r="V665" i="1"/>
  <c r="S628" i="1"/>
  <c r="AC628" i="1" s="1"/>
  <c r="AM628" i="1" s="1"/>
  <c r="R527" i="1"/>
  <c r="W540" i="1"/>
  <c r="AG540" i="1" s="1"/>
  <c r="AQ540" i="1" s="1"/>
  <c r="P626" i="1"/>
  <c r="Z626" i="1" s="1"/>
  <c r="AJ626" i="1" s="1"/>
  <c r="S372" i="1"/>
  <c r="AC372" i="1" s="1"/>
  <c r="AM372" i="1" s="1"/>
  <c r="T600" i="1"/>
  <c r="U390" i="1"/>
  <c r="AD390" i="1" s="1"/>
  <c r="AN390" i="1" s="1"/>
  <c r="T620" i="1"/>
  <c r="AS620" i="1" s="1"/>
  <c r="AT620" i="1" s="1"/>
  <c r="AU620" i="1" s="1"/>
  <c r="AV620" i="1" s="1"/>
  <c r="AW620" i="1" s="1"/>
  <c r="U499" i="1"/>
  <c r="AE499" i="1" s="1"/>
  <c r="AO499" i="1" s="1"/>
  <c r="P649" i="1"/>
  <c r="Z649" i="1" s="1"/>
  <c r="AJ649" i="1" s="1"/>
  <c r="R580" i="1"/>
  <c r="O480" i="1"/>
  <c r="Y480" i="1" s="1"/>
  <c r="AI480" i="1" s="1"/>
  <c r="Q578" i="1"/>
  <c r="O474" i="1"/>
  <c r="Y474" i="1" s="1"/>
  <c r="AI474" i="1" s="1"/>
  <c r="T470" i="1"/>
  <c r="T278" i="1"/>
  <c r="W330" i="1"/>
  <c r="T264" i="1"/>
  <c r="V167" i="1"/>
  <c r="V617" i="1"/>
  <c r="Q351" i="1"/>
  <c r="R387" i="1"/>
  <c r="Q464" i="1"/>
  <c r="T580" i="1"/>
  <c r="V375" i="1"/>
  <c r="W594" i="1"/>
  <c r="Q369" i="1"/>
  <c r="V578" i="1"/>
  <c r="W476" i="1"/>
  <c r="O563" i="1"/>
  <c r="Y563" i="1" s="1"/>
  <c r="AI563" i="1" s="1"/>
  <c r="P376" i="1"/>
  <c r="Z376" i="1" s="1"/>
  <c r="AJ376" i="1" s="1"/>
  <c r="W349" i="1"/>
  <c r="AS349" i="1" s="1"/>
  <c r="AT349" i="1" s="1"/>
  <c r="V376" i="1"/>
  <c r="U151" i="1"/>
  <c r="T429" i="1"/>
  <c r="AS429" i="1" s="1"/>
  <c r="AT429" i="1" s="1"/>
  <c r="AU429" i="1" s="1"/>
  <c r="AV429" i="1" s="1"/>
  <c r="AW429" i="1" s="1"/>
  <c r="U468" i="1"/>
  <c r="V408" i="1"/>
  <c r="W564" i="1"/>
  <c r="Q370" i="1"/>
  <c r="Q567" i="1"/>
  <c r="AA567" i="1" s="1"/>
  <c r="P368" i="1"/>
  <c r="Z368" i="1" s="1"/>
  <c r="AJ368" i="1" s="1"/>
  <c r="T626" i="1"/>
  <c r="P554" i="1"/>
  <c r="Z554" i="1" s="1"/>
  <c r="AJ554" i="1" s="1"/>
  <c r="P403" i="1"/>
  <c r="Z403" i="1" s="1"/>
  <c r="AJ403" i="1" s="1"/>
  <c r="U591" i="1"/>
  <c r="S356" i="1"/>
  <c r="AC356" i="1" s="1"/>
  <c r="AM356" i="1" s="1"/>
  <c r="V568" i="1"/>
  <c r="T364" i="1"/>
  <c r="AS364" i="1" s="1"/>
  <c r="S509" i="1"/>
  <c r="AC509" i="1" s="1"/>
  <c r="AM509" i="1" s="1"/>
  <c r="V467" i="1"/>
  <c r="S402" i="1"/>
  <c r="AC402" i="1" s="1"/>
  <c r="AM402" i="1" s="1"/>
  <c r="O307" i="1"/>
  <c r="Y307" i="1" s="1"/>
  <c r="AI307" i="1" s="1"/>
  <c r="O460" i="1"/>
  <c r="Y460" i="1" s="1"/>
  <c r="AI460" i="1" s="1"/>
  <c r="O310" i="1"/>
  <c r="Y310" i="1" s="1"/>
  <c r="AI310" i="1" s="1"/>
  <c r="S624" i="1"/>
  <c r="AC624" i="1" s="1"/>
  <c r="AM624" i="1" s="1"/>
  <c r="O302" i="1"/>
  <c r="Y302" i="1" s="1"/>
  <c r="AI302" i="1" s="1"/>
  <c r="Q473" i="1"/>
  <c r="R552" i="1"/>
  <c r="S569" i="1"/>
  <c r="AC569" i="1" s="1"/>
  <c r="AM569" i="1" s="1"/>
  <c r="R485" i="1"/>
  <c r="T302" i="1"/>
  <c r="W361" i="1"/>
  <c r="P532" i="1"/>
  <c r="Z532" i="1" s="1"/>
  <c r="AJ532" i="1" s="1"/>
  <c r="W661" i="1"/>
  <c r="AG661" i="1" s="1"/>
  <c r="AQ661" i="1" s="1"/>
  <c r="U486" i="1"/>
  <c r="S578" i="1"/>
  <c r="AC578" i="1" s="1"/>
  <c r="AM578" i="1" s="1"/>
  <c r="O658" i="1"/>
  <c r="Y658" i="1" s="1"/>
  <c r="AI658" i="1" s="1"/>
  <c r="V563" i="1"/>
  <c r="R414" i="1"/>
  <c r="U621" i="1"/>
  <c r="O514" i="1"/>
  <c r="Y514" i="1" s="1"/>
  <c r="AI514" i="1" s="1"/>
  <c r="R654" i="1"/>
  <c r="T565" i="1"/>
  <c r="O455" i="1"/>
  <c r="Y455" i="1" s="1"/>
  <c r="AI455" i="1" s="1"/>
  <c r="W579" i="1"/>
  <c r="AS579" i="1" s="1"/>
  <c r="AX579" i="1" s="1"/>
  <c r="S488" i="1"/>
  <c r="AC488" i="1" s="1"/>
  <c r="AM488" i="1" s="1"/>
  <c r="R487" i="1"/>
  <c r="P304" i="1"/>
  <c r="Z304" i="1" s="1"/>
  <c r="AJ304" i="1" s="1"/>
  <c r="P264" i="1"/>
  <c r="Z264" i="1" s="1"/>
  <c r="AJ264" i="1" s="1"/>
  <c r="S77" i="1"/>
  <c r="AC77" i="1" s="1"/>
  <c r="AM77" i="1" s="1"/>
  <c r="S75" i="1"/>
  <c r="AC75" i="1" s="1"/>
  <c r="AM75" i="1" s="1"/>
  <c r="T570" i="1"/>
  <c r="W660" i="1"/>
  <c r="AS660" i="1" s="1"/>
  <c r="AT660" i="1" s="1"/>
  <c r="Q465" i="1"/>
  <c r="AA465" i="1" s="1"/>
  <c r="AK465" i="1" s="1"/>
  <c r="U557" i="1"/>
  <c r="AE557" i="1" s="1"/>
  <c r="AO557" i="1" s="1"/>
  <c r="W647" i="1"/>
  <c r="V547" i="1"/>
  <c r="W377" i="1"/>
  <c r="Q616" i="1"/>
  <c r="S508" i="1"/>
  <c r="AC508" i="1" s="1"/>
  <c r="AM508" i="1" s="1"/>
  <c r="V650" i="1"/>
  <c r="T567" i="1"/>
  <c r="R452" i="1"/>
  <c r="W575" i="1"/>
  <c r="AG575" i="1" s="1"/>
  <c r="AQ575" i="1" s="1"/>
  <c r="S480" i="1"/>
  <c r="AC480" i="1" s="1"/>
  <c r="AM480" i="1" s="1"/>
  <c r="V483" i="1"/>
  <c r="R225" i="1"/>
  <c r="V396" i="1"/>
  <c r="P190" i="1"/>
  <c r="Z190" i="1" s="1"/>
  <c r="AJ190" i="1" s="1"/>
  <c r="R125" i="1"/>
  <c r="P457" i="1"/>
  <c r="Z457" i="1" s="1"/>
  <c r="AJ457" i="1" s="1"/>
  <c r="W589" i="1"/>
  <c r="U466" i="1"/>
  <c r="AE466" i="1" s="1"/>
  <c r="AO466" i="1" s="1"/>
  <c r="V379" i="1"/>
  <c r="V388" i="1"/>
  <c r="R215" i="1"/>
  <c r="P239" i="1"/>
  <c r="Z239" i="1" s="1"/>
  <c r="AJ239" i="1" s="1"/>
  <c r="R538" i="1"/>
  <c r="W353" i="1"/>
  <c r="Q528" i="1"/>
  <c r="Q361" i="1"/>
  <c r="T392" i="1"/>
  <c r="AS392" i="1" s="1"/>
  <c r="U411" i="1"/>
  <c r="Q334" i="1"/>
  <c r="Q166" i="1"/>
  <c r="AA166" i="1" s="1"/>
  <c r="AK166" i="1" s="1"/>
  <c r="O394" i="1"/>
  <c r="Y394" i="1" s="1"/>
  <c r="AI394" i="1" s="1"/>
  <c r="Q173" i="1"/>
  <c r="W298" i="1"/>
  <c r="W143" i="1"/>
  <c r="O172" i="1"/>
  <c r="Y172" i="1" s="1"/>
  <c r="AI172" i="1" s="1"/>
  <c r="P263" i="1"/>
  <c r="Z263" i="1" s="1"/>
  <c r="AJ263" i="1" s="1"/>
  <c r="W197" i="1"/>
  <c r="T520" i="1"/>
  <c r="O466" i="1"/>
  <c r="Y466" i="1" s="1"/>
  <c r="AI466" i="1" s="1"/>
  <c r="T572" i="1"/>
  <c r="Q572" i="1"/>
  <c r="U660" i="1"/>
  <c r="AG660" i="1" s="1"/>
  <c r="AQ660" i="1" s="1"/>
  <c r="S557" i="1"/>
  <c r="AC557" i="1" s="1"/>
  <c r="AM557" i="1" s="1"/>
  <c r="O344" i="1"/>
  <c r="Y344" i="1" s="1"/>
  <c r="AI344" i="1" s="1"/>
  <c r="O535" i="1"/>
  <c r="Y535" i="1" s="1"/>
  <c r="AI535" i="1" s="1"/>
  <c r="T549" i="1"/>
  <c r="V267" i="1"/>
  <c r="W624" i="1"/>
  <c r="R549" i="1"/>
  <c r="W536" i="1"/>
  <c r="AS536" i="1" s="1"/>
  <c r="AT536" i="1" s="1"/>
  <c r="O633" i="1"/>
  <c r="Y633" i="1" s="1"/>
  <c r="AI633" i="1" s="1"/>
  <c r="T550" i="1"/>
  <c r="P462" i="1"/>
  <c r="Z462" i="1" s="1"/>
  <c r="AJ462" i="1" s="1"/>
  <c r="O595" i="1"/>
  <c r="Y595" i="1" s="1"/>
  <c r="AI595" i="1" s="1"/>
  <c r="R556" i="1"/>
  <c r="AB556" i="1" s="1"/>
  <c r="AL556" i="1" s="1"/>
  <c r="U535" i="1"/>
  <c r="T425" i="1"/>
  <c r="Q654" i="1"/>
  <c r="U471" i="1"/>
  <c r="AE471" i="1" s="1"/>
  <c r="AO471" i="1" s="1"/>
  <c r="R503" i="1"/>
  <c r="T229" i="1"/>
  <c r="W511" i="1"/>
  <c r="AS511" i="1" s="1"/>
  <c r="AT511" i="1" s="1"/>
  <c r="R650" i="1"/>
  <c r="Q454" i="1"/>
  <c r="O528" i="1"/>
  <c r="Y528" i="1" s="1"/>
  <c r="AI528" i="1" s="1"/>
  <c r="T172" i="1"/>
  <c r="T455" i="1"/>
  <c r="AS455" i="1" s="1"/>
  <c r="Q605" i="1"/>
  <c r="T664" i="1"/>
  <c r="P431" i="1"/>
  <c r="Z431" i="1" s="1"/>
  <c r="AJ431" i="1" s="1"/>
  <c r="W554" i="1"/>
  <c r="AG554" i="1" s="1"/>
  <c r="AQ554" i="1" s="1"/>
  <c r="Q332" i="1"/>
  <c r="V577" i="1"/>
  <c r="V432" i="1"/>
  <c r="V641" i="1"/>
  <c r="AF641" i="1" s="1"/>
  <c r="AP641" i="1" s="1"/>
  <c r="P461" i="1"/>
  <c r="Z461" i="1" s="1"/>
  <c r="AJ461" i="1" s="1"/>
  <c r="P536" i="1"/>
  <c r="Z536" i="1" s="1"/>
  <c r="AJ536" i="1" s="1"/>
  <c r="S67" i="1"/>
  <c r="AC67" i="1" s="1"/>
  <c r="AM67" i="1" s="1"/>
  <c r="V76" i="1"/>
  <c r="V84" i="1"/>
  <c r="R77" i="1"/>
  <c r="R85" i="1"/>
  <c r="P94" i="1"/>
  <c r="Z94" i="1" s="1"/>
  <c r="AJ94" i="1" s="1"/>
  <c r="V101" i="1"/>
  <c r="O80" i="1"/>
  <c r="Y80" i="1" s="1"/>
  <c r="AI80" i="1" s="1"/>
  <c r="V90" i="1"/>
  <c r="AF90" i="1" s="1"/>
  <c r="AP90" i="1" s="1"/>
  <c r="Q99" i="1"/>
  <c r="P107" i="1"/>
  <c r="Z107" i="1" s="1"/>
  <c r="AJ107" i="1" s="1"/>
  <c r="Q69" i="1"/>
  <c r="O82" i="1"/>
  <c r="Y82" i="1" s="1"/>
  <c r="AI82" i="1" s="1"/>
  <c r="O92" i="1"/>
  <c r="Y92" i="1" s="1"/>
  <c r="AI92" i="1" s="1"/>
  <c r="U100" i="1"/>
  <c r="R426" i="1"/>
  <c r="R555" i="1"/>
  <c r="P584" i="1"/>
  <c r="Z584" i="1" s="1"/>
  <c r="AJ584" i="1" s="1"/>
  <c r="T510" i="1"/>
  <c r="AS510" i="1" s="1"/>
  <c r="T574" i="1"/>
  <c r="P73" i="1"/>
  <c r="Z73" i="1" s="1"/>
  <c r="AJ73" i="1" s="1"/>
  <c r="P81" i="1"/>
  <c r="Z81" i="1" s="1"/>
  <c r="AJ81" i="1" s="1"/>
  <c r="V71" i="1"/>
  <c r="V79" i="1"/>
  <c r="R87" i="1"/>
  <c r="T96" i="1"/>
  <c r="Q71" i="1"/>
  <c r="O84" i="1"/>
  <c r="Y84" i="1" s="1"/>
  <c r="AI84" i="1" s="1"/>
  <c r="S93" i="1"/>
  <c r="AC93" i="1" s="1"/>
  <c r="AM93" i="1" s="1"/>
  <c r="R102" i="1"/>
  <c r="AB102" i="1" s="1"/>
  <c r="AL102" i="1" s="1"/>
  <c r="T111" i="1"/>
  <c r="S76" i="1"/>
  <c r="AC76" i="1" s="1"/>
  <c r="AM76" i="1" s="1"/>
  <c r="W87" i="1"/>
  <c r="W96" i="1"/>
  <c r="R105" i="1"/>
  <c r="P407" i="1"/>
  <c r="Z407" i="1" s="1"/>
  <c r="AJ407" i="1" s="1"/>
  <c r="T413" i="1"/>
  <c r="AD413" i="1" s="1"/>
  <c r="AN413" i="1" s="1"/>
  <c r="R579" i="1"/>
  <c r="V510" i="1"/>
  <c r="P415" i="1"/>
  <c r="Z415" i="1" s="1"/>
  <c r="AJ415" i="1" s="1"/>
  <c r="S622" i="1"/>
  <c r="AC622" i="1" s="1"/>
  <c r="AM622" i="1" s="1"/>
  <c r="V452" i="1"/>
  <c r="Q251" i="1"/>
  <c r="R429" i="1"/>
  <c r="Q580" i="1"/>
  <c r="AA580" i="1" s="1"/>
  <c r="V566" i="1"/>
  <c r="AF566" i="1" s="1"/>
  <c r="AP566" i="1" s="1"/>
  <c r="S441" i="1"/>
  <c r="AC441" i="1" s="1"/>
  <c r="AM441" i="1" s="1"/>
  <c r="O661" i="1"/>
  <c r="Y661" i="1" s="1"/>
  <c r="AI661" i="1" s="1"/>
  <c r="V603" i="1"/>
  <c r="R629" i="1"/>
  <c r="P540" i="1"/>
  <c r="Z540" i="1" s="1"/>
  <c r="AJ540" i="1" s="1"/>
  <c r="W294" i="1"/>
  <c r="S427" i="1"/>
  <c r="AC427" i="1" s="1"/>
  <c r="AM427" i="1" s="1"/>
  <c r="T322" i="1"/>
  <c r="R582" i="1"/>
  <c r="S588" i="1"/>
  <c r="AC588" i="1" s="1"/>
  <c r="AM588" i="1" s="1"/>
  <c r="S490" i="1"/>
  <c r="AC490" i="1" s="1"/>
  <c r="AM490" i="1" s="1"/>
  <c r="U455" i="1"/>
  <c r="Q579" i="1"/>
  <c r="S660" i="1"/>
  <c r="AC660" i="1" s="1"/>
  <c r="AM660" i="1" s="1"/>
  <c r="V368" i="1"/>
  <c r="P164" i="1"/>
  <c r="Z164" i="1" s="1"/>
  <c r="AJ164" i="1" s="1"/>
  <c r="U392" i="1"/>
  <c r="R593" i="1"/>
  <c r="R495" i="1"/>
  <c r="U141" i="1"/>
  <c r="AA141" i="1" s="1"/>
  <c r="V614" i="1"/>
  <c r="V519" i="1"/>
  <c r="Q595" i="1"/>
  <c r="T374" i="1"/>
  <c r="V564" i="1"/>
  <c r="V143" i="1"/>
  <c r="O614" i="1"/>
  <c r="Y614" i="1" s="1"/>
  <c r="AI614" i="1" s="1"/>
  <c r="O491" i="1"/>
  <c r="Y491" i="1" s="1"/>
  <c r="AI491" i="1" s="1"/>
  <c r="Q383" i="1"/>
  <c r="R571" i="1"/>
  <c r="U357" i="1"/>
  <c r="T69" i="1"/>
  <c r="V78" i="1"/>
  <c r="R71" i="1"/>
  <c r="R79" i="1"/>
  <c r="T88" i="1"/>
  <c r="P96" i="1"/>
  <c r="Z96" i="1" s="1"/>
  <c r="AJ96" i="1" s="1"/>
  <c r="S70" i="1"/>
  <c r="AC70" i="1" s="1"/>
  <c r="AM70" i="1" s="1"/>
  <c r="Q83" i="1"/>
  <c r="W92" i="1"/>
  <c r="AG92" i="1" s="1"/>
  <c r="AQ92" i="1" s="1"/>
  <c r="S101" i="1"/>
  <c r="AC101" i="1" s="1"/>
  <c r="AM101" i="1" s="1"/>
  <c r="P109" i="1"/>
  <c r="Z109" i="1" s="1"/>
  <c r="AJ109" i="1" s="1"/>
  <c r="S72" i="1"/>
  <c r="AC72" i="1" s="1"/>
  <c r="AM72" i="1" s="1"/>
  <c r="P85" i="1"/>
  <c r="Z85" i="1" s="1"/>
  <c r="AJ85" i="1" s="1"/>
  <c r="Q94" i="1"/>
  <c r="T102" i="1"/>
  <c r="T526" i="1"/>
  <c r="P616" i="1"/>
  <c r="Z616" i="1" s="1"/>
  <c r="AJ616" i="1" s="1"/>
  <c r="W643" i="1"/>
  <c r="R587" i="1"/>
  <c r="R67" i="1"/>
  <c r="P75" i="1"/>
  <c r="Z75" i="1" s="1"/>
  <c r="AJ75" i="1" s="1"/>
  <c r="P83" i="1"/>
  <c r="Z83" i="1" s="1"/>
  <c r="AJ83" i="1" s="1"/>
  <c r="V73" i="1"/>
  <c r="V81" i="1"/>
  <c r="T90" i="1"/>
  <c r="P98" i="1"/>
  <c r="Z98" i="1" s="1"/>
  <c r="AJ98" i="1" s="1"/>
  <c r="S74" i="1"/>
  <c r="AC74" i="1" s="1"/>
  <c r="AM74" i="1" s="1"/>
  <c r="O87" i="1"/>
  <c r="Y87" i="1" s="1"/>
  <c r="AI87" i="1" s="1"/>
  <c r="T95" i="1"/>
  <c r="AS95" i="1" s="1"/>
  <c r="R104" i="1"/>
  <c r="T113" i="1"/>
  <c r="AD113" i="1" s="1"/>
  <c r="AN113" i="1" s="1"/>
  <c r="U79" i="1"/>
  <c r="AE79" i="1" s="1"/>
  <c r="AO79" i="1" s="1"/>
  <c r="S90" i="1"/>
  <c r="AC90" i="1" s="1"/>
  <c r="AM90" i="1" s="1"/>
  <c r="O99" i="1"/>
  <c r="Y99" i="1" s="1"/>
  <c r="AI99" i="1" s="1"/>
  <c r="P366" i="1"/>
  <c r="Z366" i="1" s="1"/>
  <c r="AJ366" i="1" s="1"/>
  <c r="V529" i="1"/>
  <c r="S652" i="1"/>
  <c r="AC652" i="1" s="1"/>
  <c r="AM652" i="1" s="1"/>
  <c r="V70" i="1"/>
  <c r="R69" i="1"/>
  <c r="T84" i="1"/>
  <c r="R97" i="1"/>
  <c r="AB97" i="1" s="1"/>
  <c r="AL97" i="1" s="1"/>
  <c r="S85" i="1"/>
  <c r="AC85" i="1" s="1"/>
  <c r="AM85" i="1" s="1"/>
  <c r="R106" i="1"/>
  <c r="S80" i="1"/>
  <c r="AC80" i="1" s="1"/>
  <c r="AM80" i="1" s="1"/>
  <c r="T99" i="1"/>
  <c r="W627" i="1"/>
  <c r="S642" i="1"/>
  <c r="AC642" i="1" s="1"/>
  <c r="AM642" i="1" s="1"/>
  <c r="O613" i="1"/>
  <c r="Y613" i="1" s="1"/>
  <c r="AI613" i="1" s="1"/>
  <c r="O374" i="1"/>
  <c r="Y374" i="1" s="1"/>
  <c r="AI374" i="1" s="1"/>
  <c r="R594" i="1"/>
  <c r="T409" i="1"/>
  <c r="S413" i="1"/>
  <c r="AC413" i="1" s="1"/>
  <c r="AM413" i="1" s="1"/>
  <c r="Q333" i="1"/>
  <c r="AA333" i="1" s="1"/>
  <c r="T423" i="1"/>
  <c r="Q631" i="1"/>
  <c r="W568" i="1"/>
  <c r="Q463" i="1"/>
  <c r="U382" i="1"/>
  <c r="Q338" i="1"/>
  <c r="O527" i="1"/>
  <c r="Y527" i="1" s="1"/>
  <c r="AI527" i="1" s="1"/>
  <c r="W623" i="1"/>
  <c r="AG623" i="1" s="1"/>
  <c r="AQ623" i="1" s="1"/>
  <c r="P636" i="1"/>
  <c r="Z636" i="1" s="1"/>
  <c r="AJ636" i="1" s="1"/>
  <c r="Q400" i="1"/>
  <c r="T542" i="1"/>
  <c r="T445" i="1"/>
  <c r="AS445" i="1" s="1"/>
  <c r="AT445" i="1" s="1"/>
  <c r="P71" i="1"/>
  <c r="Z71" i="1" s="1"/>
  <c r="AJ71" i="1" s="1"/>
  <c r="R73" i="1"/>
  <c r="P90" i="1"/>
  <c r="Z90" i="1" s="1"/>
  <c r="AJ90" i="1" s="1"/>
  <c r="U73" i="1"/>
  <c r="O95" i="1"/>
  <c r="Y95" i="1" s="1"/>
  <c r="AI95" i="1" s="1"/>
  <c r="P111" i="1"/>
  <c r="Z111" i="1" s="1"/>
  <c r="AJ111" i="1" s="1"/>
  <c r="Q87" i="1"/>
  <c r="T104" i="1"/>
  <c r="Q650" i="1"/>
  <c r="R523" i="1"/>
  <c r="AB523" i="1" s="1"/>
  <c r="P77" i="1"/>
  <c r="Z77" i="1" s="1"/>
  <c r="AJ77" i="1" s="1"/>
  <c r="V75" i="1"/>
  <c r="AF75" i="1" s="1"/>
  <c r="AP75" i="1" s="1"/>
  <c r="T92" i="1"/>
  <c r="U77" i="1"/>
  <c r="U97" i="1"/>
  <c r="O70" i="1"/>
  <c r="Y70" i="1" s="1"/>
  <c r="AI70" i="1" s="1"/>
  <c r="U92" i="1"/>
  <c r="P552" i="1"/>
  <c r="Z552" i="1" s="1"/>
  <c r="AJ552" i="1" s="1"/>
  <c r="S482" i="1"/>
  <c r="AC482" i="1" s="1"/>
  <c r="AM482" i="1" s="1"/>
  <c r="R78" i="1"/>
  <c r="T80" i="1"/>
  <c r="R101" i="1"/>
  <c r="V98" i="1"/>
  <c r="AF98" i="1" s="1"/>
  <c r="AP98" i="1" s="1"/>
  <c r="O74" i="1"/>
  <c r="Y74" i="1" s="1"/>
  <c r="AI74" i="1" s="1"/>
  <c r="V103" i="1"/>
  <c r="T112" i="1"/>
  <c r="U656" i="1"/>
  <c r="V609" i="1"/>
  <c r="T67" i="1"/>
  <c r="T79" i="1"/>
  <c r="P78" i="1"/>
  <c r="Z78" i="1" s="1"/>
  <c r="AJ78" i="1" s="1"/>
  <c r="R91" i="1"/>
  <c r="AB91" i="1" s="1"/>
  <c r="AL91" i="1" s="1"/>
  <c r="Q75" i="1"/>
  <c r="O96" i="1"/>
  <c r="Y96" i="1" s="1"/>
  <c r="AI96" i="1" s="1"/>
  <c r="V110" i="1"/>
  <c r="V86" i="1"/>
  <c r="P104" i="1"/>
  <c r="Z104" i="1" s="1"/>
  <c r="AJ104" i="1" s="1"/>
  <c r="R113" i="1"/>
  <c r="AB113" i="1" s="1"/>
  <c r="P122" i="1"/>
  <c r="Z122" i="1" s="1"/>
  <c r="AJ122" i="1" s="1"/>
  <c r="P130" i="1"/>
  <c r="Z130" i="1" s="1"/>
  <c r="AJ130" i="1" s="1"/>
  <c r="V137" i="1"/>
  <c r="R145" i="1"/>
  <c r="U87" i="1"/>
  <c r="AG87" i="1" s="1"/>
  <c r="AQ87" i="1" s="1"/>
  <c r="O104" i="1"/>
  <c r="Y104" i="1" s="1"/>
  <c r="AI104" i="1" s="1"/>
  <c r="O116" i="1"/>
  <c r="Y116" i="1" s="1"/>
  <c r="AI116" i="1" s="1"/>
  <c r="P125" i="1"/>
  <c r="Z125" i="1" s="1"/>
  <c r="AJ125" i="1" s="1"/>
  <c r="W73" i="1"/>
  <c r="Q665" i="1"/>
  <c r="T73" i="1"/>
  <c r="R93" i="1"/>
  <c r="Q98" i="1"/>
  <c r="AA98" i="1" s="1"/>
  <c r="AK98" i="1" s="1"/>
  <c r="P106" i="1"/>
  <c r="Z106" i="1" s="1"/>
  <c r="AJ106" i="1" s="1"/>
  <c r="V123" i="1"/>
  <c r="P134" i="1"/>
  <c r="Z134" i="1" s="1"/>
  <c r="AJ134" i="1" s="1"/>
  <c r="Q68" i="1"/>
  <c r="Q97" i="1"/>
  <c r="O115" i="1"/>
  <c r="Y115" i="1" s="1"/>
  <c r="AI115" i="1" s="1"/>
  <c r="V126" i="1"/>
  <c r="R90" i="1"/>
  <c r="O106" i="1"/>
  <c r="Y106" i="1" s="1"/>
  <c r="AI106" i="1" s="1"/>
  <c r="S117" i="1"/>
  <c r="AC117" i="1" s="1"/>
  <c r="AM117" i="1" s="1"/>
  <c r="O127" i="1"/>
  <c r="Y127" i="1" s="1"/>
  <c r="AI127" i="1" s="1"/>
  <c r="O136" i="1"/>
  <c r="Y136" i="1" s="1"/>
  <c r="AI136" i="1" s="1"/>
  <c r="O144" i="1"/>
  <c r="Y144" i="1" s="1"/>
  <c r="AI144" i="1" s="1"/>
  <c r="U150" i="1"/>
  <c r="O406" i="1"/>
  <c r="Y406" i="1" s="1"/>
  <c r="AI406" i="1" s="1"/>
  <c r="Q519" i="1"/>
  <c r="R468" i="1"/>
  <c r="O489" i="1"/>
  <c r="Y489" i="1" s="1"/>
  <c r="AI489" i="1" s="1"/>
  <c r="T635" i="1"/>
  <c r="S489" i="1"/>
  <c r="AC489" i="1" s="1"/>
  <c r="AM489" i="1" s="1"/>
  <c r="U545" i="1"/>
  <c r="AA545" i="1" s="1"/>
  <c r="P370" i="1"/>
  <c r="Z370" i="1" s="1"/>
  <c r="AJ370" i="1" s="1"/>
  <c r="V498" i="1"/>
  <c r="V149" i="1"/>
  <c r="W652" i="1"/>
  <c r="AS652" i="1" s="1"/>
  <c r="AT652" i="1" s="1"/>
  <c r="AU652" i="1" s="1"/>
  <c r="W275" i="1"/>
  <c r="R518" i="1"/>
  <c r="T616" i="1"/>
  <c r="AS616" i="1" s="1"/>
  <c r="AT616" i="1" s="1"/>
  <c r="P211" i="1"/>
  <c r="Z211" i="1" s="1"/>
  <c r="AJ211" i="1" s="1"/>
  <c r="Q481" i="1"/>
  <c r="T356" i="1"/>
  <c r="V513" i="1"/>
  <c r="T606" i="1"/>
  <c r="O646" i="1"/>
  <c r="Y646" i="1" s="1"/>
  <c r="AI646" i="1" s="1"/>
  <c r="V74" i="1"/>
  <c r="R75" i="1"/>
  <c r="P92" i="1"/>
  <c r="Z92" i="1" s="1"/>
  <c r="AJ92" i="1" s="1"/>
  <c r="W76" i="1"/>
  <c r="P97" i="1"/>
  <c r="Z97" i="1" s="1"/>
  <c r="AJ97" i="1" s="1"/>
  <c r="P113" i="1"/>
  <c r="Z113" i="1" s="1"/>
  <c r="AJ113" i="1" s="1"/>
  <c r="S89" i="1"/>
  <c r="AC89" i="1" s="1"/>
  <c r="AM89" i="1" s="1"/>
  <c r="R247" i="1"/>
  <c r="P439" i="1"/>
  <c r="Z439" i="1" s="1"/>
  <c r="AJ439" i="1" s="1"/>
  <c r="S637" i="1"/>
  <c r="AC637" i="1" s="1"/>
  <c r="AM637" i="1" s="1"/>
  <c r="P79" i="1"/>
  <c r="Z79" i="1" s="1"/>
  <c r="AJ79" i="1" s="1"/>
  <c r="V77" i="1"/>
  <c r="T94" i="1"/>
  <c r="W80" i="1"/>
  <c r="W99" i="1"/>
  <c r="Q73" i="1"/>
  <c r="V94" i="1"/>
  <c r="O631" i="1"/>
  <c r="Y631" i="1" s="1"/>
  <c r="AI631" i="1" s="1"/>
  <c r="P600" i="1"/>
  <c r="Z600" i="1" s="1"/>
  <c r="AJ600" i="1" s="1"/>
  <c r="R82" i="1"/>
  <c r="V87" i="1"/>
  <c r="W72" i="1"/>
  <c r="AG72" i="1" s="1"/>
  <c r="AQ72" i="1" s="1"/>
  <c r="P103" i="1"/>
  <c r="Z103" i="1" s="1"/>
  <c r="AJ103" i="1" s="1"/>
  <c r="Q86" i="1"/>
  <c r="T106" i="1"/>
  <c r="T114" i="1"/>
  <c r="W456" i="1"/>
  <c r="AG456" i="1" s="1"/>
  <c r="AQ456" i="1" s="1"/>
  <c r="P520" i="1"/>
  <c r="Z520" i="1" s="1"/>
  <c r="AJ520" i="1" s="1"/>
  <c r="P69" i="1"/>
  <c r="Z69" i="1" s="1"/>
  <c r="AJ69" i="1" s="1"/>
  <c r="T83" i="1"/>
  <c r="P82" i="1"/>
  <c r="Z82" i="1" s="1"/>
  <c r="AJ82" i="1" s="1"/>
  <c r="R95" i="1"/>
  <c r="U81" i="1"/>
  <c r="AE81" i="1" s="1"/>
  <c r="AO81" i="1" s="1"/>
  <c r="R100" i="1"/>
  <c r="AB100" i="1" s="1"/>
  <c r="AL100" i="1" s="1"/>
  <c r="S68" i="1"/>
  <c r="AC68" i="1" s="1"/>
  <c r="AM68" i="1" s="1"/>
  <c r="T91" i="1"/>
  <c r="R107" i="1"/>
  <c r="R115" i="1"/>
  <c r="AB115" i="1" s="1"/>
  <c r="P124" i="1"/>
  <c r="Z124" i="1" s="1"/>
  <c r="AJ124" i="1" s="1"/>
  <c r="P132" i="1"/>
  <c r="Z132" i="1" s="1"/>
  <c r="AJ132" i="1" s="1"/>
  <c r="R139" i="1"/>
  <c r="W69" i="1"/>
  <c r="O93" i="1"/>
  <c r="Y93" i="1" s="1"/>
  <c r="AI93" i="1" s="1"/>
  <c r="Q107" i="1"/>
  <c r="Q118" i="1"/>
  <c r="Q127" i="1"/>
  <c r="U78" i="1"/>
  <c r="V593" i="1"/>
  <c r="T81" i="1"/>
  <c r="T100" i="1"/>
  <c r="AS100" i="1" s="1"/>
  <c r="V112" i="1"/>
  <c r="P110" i="1"/>
  <c r="Z110" i="1" s="1"/>
  <c r="AJ110" i="1" s="1"/>
  <c r="T126" i="1"/>
  <c r="T136" i="1"/>
  <c r="W77" i="1"/>
  <c r="AG77" i="1" s="1"/>
  <c r="AQ77" i="1" s="1"/>
  <c r="S102" i="1"/>
  <c r="AC102" i="1" s="1"/>
  <c r="AM102" i="1" s="1"/>
  <c r="U117" i="1"/>
  <c r="AE117" i="1" s="1"/>
  <c r="AO117" i="1" s="1"/>
  <c r="S130" i="1"/>
  <c r="AC130" i="1" s="1"/>
  <c r="AM130" i="1" s="1"/>
  <c r="T93" i="1"/>
  <c r="Q109" i="1"/>
  <c r="O120" i="1"/>
  <c r="Y120" i="1" s="1"/>
  <c r="AI120" i="1" s="1"/>
  <c r="P129" i="1"/>
  <c r="Z129" i="1" s="1"/>
  <c r="AJ129" i="1" s="1"/>
  <c r="Q138" i="1"/>
  <c r="U145" i="1"/>
  <c r="Q152" i="1"/>
  <c r="U158" i="1"/>
  <c r="O165" i="1"/>
  <c r="Y165" i="1" s="1"/>
  <c r="AI165" i="1" s="1"/>
  <c r="S171" i="1"/>
  <c r="AC171" i="1" s="1"/>
  <c r="AM171" i="1" s="1"/>
  <c r="S95" i="1"/>
  <c r="AC95" i="1" s="1"/>
  <c r="AM95" i="1" s="1"/>
  <c r="O121" i="1"/>
  <c r="Y121" i="1" s="1"/>
  <c r="AI121" i="1" s="1"/>
  <c r="Q136" i="1"/>
  <c r="Q147" i="1"/>
  <c r="T159" i="1"/>
  <c r="P169" i="1"/>
  <c r="Z169" i="1" s="1"/>
  <c r="AJ169" i="1" s="1"/>
  <c r="U176" i="1"/>
  <c r="AA176" i="1" s="1"/>
  <c r="O183" i="1"/>
  <c r="Y183" i="1" s="1"/>
  <c r="AI183" i="1" s="1"/>
  <c r="S189" i="1"/>
  <c r="AC189" i="1" s="1"/>
  <c r="AM189" i="1" s="1"/>
  <c r="S195" i="1"/>
  <c r="AC195" i="1" s="1"/>
  <c r="AM195" i="1" s="1"/>
  <c r="S96" i="1"/>
  <c r="AC96" i="1" s="1"/>
  <c r="AM96" i="1" s="1"/>
  <c r="R632" i="1"/>
  <c r="R254" i="1"/>
  <c r="S524" i="1"/>
  <c r="AC524" i="1" s="1"/>
  <c r="AM524" i="1" s="1"/>
  <c r="U632" i="1"/>
  <c r="AE632" i="1" s="1"/>
  <c r="AO632" i="1" s="1"/>
  <c r="T611" i="1"/>
  <c r="S655" i="1"/>
  <c r="AC655" i="1" s="1"/>
  <c r="AM655" i="1" s="1"/>
  <c r="U563" i="1"/>
  <c r="AE563" i="1" s="1"/>
  <c r="AO563" i="1" s="1"/>
  <c r="R664" i="1"/>
  <c r="O372" i="1"/>
  <c r="Y372" i="1" s="1"/>
  <c r="AI372" i="1" s="1"/>
  <c r="T558" i="1"/>
  <c r="V80" i="1"/>
  <c r="V97" i="1"/>
  <c r="T103" i="1"/>
  <c r="R96" i="1"/>
  <c r="T494" i="1"/>
  <c r="P68" i="1"/>
  <c r="Z68" i="1" s="1"/>
  <c r="AJ68" i="1" s="1"/>
  <c r="P100" i="1"/>
  <c r="Z100" i="1" s="1"/>
  <c r="AJ100" i="1" s="1"/>
  <c r="T107" i="1"/>
  <c r="P101" i="1"/>
  <c r="Z101" i="1" s="1"/>
  <c r="AJ101" i="1" s="1"/>
  <c r="V68" i="1"/>
  <c r="AF68" i="1" s="1"/>
  <c r="AP68" i="1" s="1"/>
  <c r="V89" i="1"/>
  <c r="R110" i="1"/>
  <c r="T108" i="1"/>
  <c r="P568" i="1"/>
  <c r="Z568" i="1" s="1"/>
  <c r="AJ568" i="1" s="1"/>
  <c r="R72" i="1"/>
  <c r="P86" i="1"/>
  <c r="Z86" i="1" s="1"/>
  <c r="AJ86" i="1" s="1"/>
  <c r="T87" i="1"/>
  <c r="AS87" i="1" s="1"/>
  <c r="AX87" i="1" s="1"/>
  <c r="W74" i="1"/>
  <c r="AG74" i="1" s="1"/>
  <c r="AQ74" i="1" s="1"/>
  <c r="R109" i="1"/>
  <c r="P126" i="1"/>
  <c r="Z126" i="1" s="1"/>
  <c r="AJ126" i="1" s="1"/>
  <c r="R141" i="1"/>
  <c r="Q96" i="1"/>
  <c r="R120" i="1"/>
  <c r="O85" i="1"/>
  <c r="Y85" i="1" s="1"/>
  <c r="AI85" i="1" s="1"/>
  <c r="P72" i="1"/>
  <c r="Z72" i="1" s="1"/>
  <c r="AJ72" i="1" s="1"/>
  <c r="O78" i="1"/>
  <c r="Y78" i="1" s="1"/>
  <c r="AI78" i="1" s="1"/>
  <c r="R129" i="1"/>
  <c r="T85" i="1"/>
  <c r="W120" i="1"/>
  <c r="W97" i="1"/>
  <c r="Q122" i="1"/>
  <c r="W139" i="1"/>
  <c r="W153" i="1"/>
  <c r="AS153" i="1" s="1"/>
  <c r="AT153" i="1" s="1"/>
  <c r="AU153" i="1" s="1"/>
  <c r="W161" i="1"/>
  <c r="W169" i="1"/>
  <c r="S103" i="1"/>
  <c r="AC103" i="1" s="1"/>
  <c r="AM103" i="1" s="1"/>
  <c r="T129" i="1"/>
  <c r="V144" i="1"/>
  <c r="U161" i="1"/>
  <c r="AE161" i="1" s="1"/>
  <c r="AO161" i="1" s="1"/>
  <c r="R173" i="1"/>
  <c r="S181" i="1"/>
  <c r="AC181" i="1" s="1"/>
  <c r="AM181" i="1" s="1"/>
  <c r="O191" i="1"/>
  <c r="Y191" i="1" s="1"/>
  <c r="AI191" i="1" s="1"/>
  <c r="S73" i="1"/>
  <c r="AC73" i="1" s="1"/>
  <c r="AM73" i="1" s="1"/>
  <c r="Q116" i="1"/>
  <c r="U133" i="1"/>
  <c r="R144" i="1"/>
  <c r="R153" i="1"/>
  <c r="U624" i="1"/>
  <c r="AE624" i="1" s="1"/>
  <c r="AO624" i="1" s="1"/>
  <c r="R76" i="1"/>
  <c r="V95" i="1"/>
  <c r="AF95" i="1" s="1"/>
  <c r="AP95" i="1" s="1"/>
  <c r="W100" i="1"/>
  <c r="P93" i="1"/>
  <c r="Z93" i="1" s="1"/>
  <c r="AJ93" i="1" s="1"/>
  <c r="V115" i="1"/>
  <c r="AF115" i="1" s="1"/>
  <c r="AP115" i="1" s="1"/>
  <c r="T124" i="1"/>
  <c r="T134" i="1"/>
  <c r="T144" i="1"/>
  <c r="R98" i="1"/>
  <c r="T115" i="1"/>
  <c r="W127" i="1"/>
  <c r="P87" i="1"/>
  <c r="Z87" i="1" s="1"/>
  <c r="AJ87" i="1" s="1"/>
  <c r="U103" i="1"/>
  <c r="AA103" i="1" s="1"/>
  <c r="W115" i="1"/>
  <c r="AG115" i="1" s="1"/>
  <c r="AQ115" i="1" s="1"/>
  <c r="W124" i="1"/>
  <c r="S134" i="1"/>
  <c r="AC134" i="1" s="1"/>
  <c r="AM134" i="1" s="1"/>
  <c r="S142" i="1"/>
  <c r="AC142" i="1" s="1"/>
  <c r="AM142" i="1" s="1"/>
  <c r="O151" i="1"/>
  <c r="Y151" i="1" s="1"/>
  <c r="AI151" i="1" s="1"/>
  <c r="S157" i="1"/>
  <c r="AC157" i="1" s="1"/>
  <c r="AM157" i="1" s="1"/>
  <c r="W163" i="1"/>
  <c r="Q170" i="1"/>
  <c r="AA170" i="1" s="1"/>
  <c r="O89" i="1"/>
  <c r="Y89" i="1" s="1"/>
  <c r="AI89" i="1" s="1"/>
  <c r="V116" i="1"/>
  <c r="O134" i="1"/>
  <c r="Y134" i="1" s="1"/>
  <c r="AI134" i="1" s="1"/>
  <c r="S145" i="1"/>
  <c r="AC145" i="1" s="1"/>
  <c r="AM145" i="1" s="1"/>
  <c r="V154" i="1"/>
  <c r="R164" i="1"/>
  <c r="W173" i="1"/>
  <c r="Q180" i="1"/>
  <c r="U186" i="1"/>
  <c r="O193" i="1"/>
  <c r="Y193" i="1" s="1"/>
  <c r="AI193" i="1" s="1"/>
  <c r="U76" i="1"/>
  <c r="Q112" i="1"/>
  <c r="P131" i="1"/>
  <c r="Z131" i="1" s="1"/>
  <c r="AJ131" i="1" s="1"/>
  <c r="Q142" i="1"/>
  <c r="V151" i="1"/>
  <c r="O164" i="1"/>
  <c r="Y164" i="1" s="1"/>
  <c r="AI164" i="1" s="1"/>
  <c r="U173" i="1"/>
  <c r="AA173" i="1" s="1"/>
  <c r="O180" i="1"/>
  <c r="Y180" i="1" s="1"/>
  <c r="AI180" i="1" s="1"/>
  <c r="S186" i="1"/>
  <c r="AC186" i="1" s="1"/>
  <c r="AM186" i="1" s="1"/>
  <c r="W192" i="1"/>
  <c r="P76" i="1"/>
  <c r="Z76" i="1" s="1"/>
  <c r="AJ76" i="1" s="1"/>
  <c r="R88" i="1"/>
  <c r="T120" i="1"/>
  <c r="P140" i="1"/>
  <c r="Z140" i="1" s="1"/>
  <c r="AJ140" i="1" s="1"/>
  <c r="W104" i="1"/>
  <c r="AS104" i="1" s="1"/>
  <c r="AT104" i="1" s="1"/>
  <c r="T131" i="1"/>
  <c r="O114" i="1"/>
  <c r="Y114" i="1" s="1"/>
  <c r="AI114" i="1" s="1"/>
  <c r="R132" i="1"/>
  <c r="S151" i="1"/>
  <c r="AC151" i="1" s="1"/>
  <c r="AM151" i="1" s="1"/>
  <c r="Q164" i="1"/>
  <c r="P91" i="1"/>
  <c r="Z91" i="1" s="1"/>
  <c r="AJ91" i="1" s="1"/>
  <c r="V134" i="1"/>
  <c r="T160" i="1"/>
  <c r="AD160" i="1" s="1"/>
  <c r="AN160" i="1" s="1"/>
  <c r="S177" i="1"/>
  <c r="AC177" i="1" s="1"/>
  <c r="AM177" i="1" s="1"/>
  <c r="Q190" i="1"/>
  <c r="V100" i="1"/>
  <c r="AF100" i="1" s="1"/>
  <c r="AP100" i="1" s="1"/>
  <c r="Q137" i="1"/>
  <c r="P157" i="1"/>
  <c r="Z157" i="1" s="1"/>
  <c r="AJ157" i="1" s="1"/>
  <c r="R169" i="1"/>
  <c r="U179" i="1"/>
  <c r="S188" i="1"/>
  <c r="AC188" i="1" s="1"/>
  <c r="AM188" i="1" s="1"/>
  <c r="O196" i="1"/>
  <c r="Y196" i="1" s="1"/>
  <c r="AI196" i="1" s="1"/>
  <c r="S202" i="1"/>
  <c r="AC202" i="1" s="1"/>
  <c r="AM202" i="1" s="1"/>
  <c r="O210" i="1"/>
  <c r="Y210" i="1" s="1"/>
  <c r="AI210" i="1" s="1"/>
  <c r="S216" i="1"/>
  <c r="AC216" i="1" s="1"/>
  <c r="AM216" i="1" s="1"/>
  <c r="W222" i="1"/>
  <c r="Q229" i="1"/>
  <c r="U235" i="1"/>
  <c r="AD235" i="1" s="1"/>
  <c r="AN235" i="1" s="1"/>
  <c r="O242" i="1"/>
  <c r="Y242" i="1" s="1"/>
  <c r="AI242" i="1" s="1"/>
  <c r="U126" i="1"/>
  <c r="AE126" i="1" s="1"/>
  <c r="AO126" i="1" s="1"/>
  <c r="Q153" i="1"/>
  <c r="R171" i="1"/>
  <c r="AB171" i="1" s="1"/>
  <c r="P187" i="1"/>
  <c r="Z187" i="1" s="1"/>
  <c r="AJ187" i="1" s="1"/>
  <c r="S201" i="1"/>
  <c r="AC201" i="1" s="1"/>
  <c r="AM201" i="1" s="1"/>
  <c r="T211" i="1"/>
  <c r="U220" i="1"/>
  <c r="AA220" i="1" s="1"/>
  <c r="AK220" i="1" s="1"/>
  <c r="Q230" i="1"/>
  <c r="R239" i="1"/>
  <c r="Q247" i="1"/>
  <c r="U253" i="1"/>
  <c r="O260" i="1"/>
  <c r="Y260" i="1" s="1"/>
  <c r="AI260" i="1" s="1"/>
  <c r="R80" i="1"/>
  <c r="P105" i="1"/>
  <c r="Z105" i="1" s="1"/>
  <c r="AJ105" i="1" s="1"/>
  <c r="P116" i="1"/>
  <c r="Z116" i="1" s="1"/>
  <c r="AJ116" i="1" s="1"/>
  <c r="R133" i="1"/>
  <c r="AB133" i="1" s="1"/>
  <c r="AL133" i="1" s="1"/>
  <c r="Q84" i="1"/>
  <c r="W119" i="1"/>
  <c r="S92" i="1"/>
  <c r="AC92" i="1" s="1"/>
  <c r="AM92" i="1" s="1"/>
  <c r="T119" i="1"/>
  <c r="U137" i="1"/>
  <c r="W151" i="1"/>
  <c r="U164" i="1"/>
  <c r="Q93" i="1"/>
  <c r="S135" i="1"/>
  <c r="AC135" i="1" s="1"/>
  <c r="AM135" i="1" s="1"/>
  <c r="V155" i="1"/>
  <c r="U174" i="1"/>
  <c r="S187" i="1"/>
  <c r="AC187" i="1" s="1"/>
  <c r="AM187" i="1" s="1"/>
  <c r="U102" i="1"/>
  <c r="U143" i="1"/>
  <c r="R160" i="1"/>
  <c r="O174" i="1"/>
  <c r="Y174" i="1" s="1"/>
  <c r="AI174" i="1" s="1"/>
  <c r="S182" i="1"/>
  <c r="AC182" i="1" s="1"/>
  <c r="AM182" i="1" s="1"/>
  <c r="W190" i="1"/>
  <c r="O198" i="1"/>
  <c r="Y198" i="1" s="1"/>
  <c r="AI198" i="1" s="1"/>
  <c r="S204" i="1"/>
  <c r="AC204" i="1" s="1"/>
  <c r="AM204" i="1" s="1"/>
  <c r="S210" i="1"/>
  <c r="AC210" i="1" s="1"/>
  <c r="AM210" i="1" s="1"/>
  <c r="W216" i="1"/>
  <c r="Q223" i="1"/>
  <c r="AA223" i="1" s="1"/>
  <c r="U229" i="1"/>
  <c r="AE229" i="1" s="1"/>
  <c r="AO229" i="1" s="1"/>
  <c r="O236" i="1"/>
  <c r="Y236" i="1" s="1"/>
  <c r="AI236" i="1" s="1"/>
  <c r="S69" i="1"/>
  <c r="AC69" i="1" s="1"/>
  <c r="AM69" i="1" s="1"/>
  <c r="O502" i="1"/>
  <c r="Y502" i="1" s="1"/>
  <c r="AI502" i="1" s="1"/>
  <c r="S440" i="1"/>
  <c r="AC440" i="1" s="1"/>
  <c r="AM440" i="1" s="1"/>
  <c r="S580" i="1"/>
  <c r="AC580" i="1" s="1"/>
  <c r="AM580" i="1" s="1"/>
  <c r="V521" i="1"/>
  <c r="S459" i="1"/>
  <c r="AC459" i="1" s="1"/>
  <c r="AM459" i="1" s="1"/>
  <c r="U631" i="1"/>
  <c r="W648" i="1"/>
  <c r="R490" i="1"/>
  <c r="P416" i="1"/>
  <c r="Z416" i="1" s="1"/>
  <c r="AJ416" i="1" s="1"/>
  <c r="W626" i="1"/>
  <c r="AG626" i="1" s="1"/>
  <c r="AQ626" i="1" s="1"/>
  <c r="V82" i="1"/>
  <c r="V99" i="1"/>
  <c r="T105" i="1"/>
  <c r="AS105" i="1" s="1"/>
  <c r="AT105" i="1" s="1"/>
  <c r="AU105" i="1" s="1"/>
  <c r="S98" i="1"/>
  <c r="AC98" i="1" s="1"/>
  <c r="AM98" i="1" s="1"/>
  <c r="Q618" i="1"/>
  <c r="V69" i="1"/>
  <c r="O68" i="1"/>
  <c r="Y68" i="1" s="1"/>
  <c r="AI68" i="1" s="1"/>
  <c r="T109" i="1"/>
  <c r="R103" i="1"/>
  <c r="R74" i="1"/>
  <c r="V93" i="1"/>
  <c r="AF93" i="1" s="1"/>
  <c r="AP93" i="1" s="1"/>
  <c r="R114" i="1"/>
  <c r="AB114" i="1" s="1"/>
  <c r="T110" i="1"/>
  <c r="W658" i="1"/>
  <c r="T75" i="1"/>
  <c r="P88" i="1"/>
  <c r="Z88" i="1" s="1"/>
  <c r="AJ88" i="1" s="1"/>
  <c r="W91" i="1"/>
  <c r="Q81" i="1"/>
  <c r="R111" i="1"/>
  <c r="P128" i="1"/>
  <c r="Z128" i="1" s="1"/>
  <c r="AJ128" i="1" s="1"/>
  <c r="R143" i="1"/>
  <c r="S100" i="1"/>
  <c r="AC100" i="1" s="1"/>
  <c r="AM100" i="1" s="1"/>
  <c r="O123" i="1"/>
  <c r="Y123" i="1" s="1"/>
  <c r="AI123" i="1" s="1"/>
  <c r="V486" i="1"/>
  <c r="AF486" i="1" s="1"/>
  <c r="AP486" i="1" s="1"/>
  <c r="P80" i="1"/>
  <c r="Z80" i="1" s="1"/>
  <c r="AJ80" i="1" s="1"/>
  <c r="W88" i="1"/>
  <c r="V131" i="1"/>
  <c r="W90" i="1"/>
  <c r="O124" i="1"/>
  <c r="Y124" i="1" s="1"/>
  <c r="AI124" i="1" s="1"/>
  <c r="W102" i="1"/>
  <c r="R124" i="1"/>
  <c r="S141" i="1"/>
  <c r="AC141" i="1" s="1"/>
  <c r="AM141" i="1" s="1"/>
  <c r="S155" i="1"/>
  <c r="AC155" i="1" s="1"/>
  <c r="AM155" i="1" s="1"/>
  <c r="S163" i="1"/>
  <c r="AC163" i="1" s="1"/>
  <c r="AM163" i="1" s="1"/>
  <c r="O173" i="1"/>
  <c r="Y173" i="1" s="1"/>
  <c r="AI173" i="1" s="1"/>
  <c r="W109" i="1"/>
  <c r="Q133" i="1"/>
  <c r="R149" i="1"/>
  <c r="V163" i="1"/>
  <c r="O175" i="1"/>
  <c r="Y175" i="1" s="1"/>
  <c r="AI175" i="1" s="1"/>
  <c r="U184" i="1"/>
  <c r="U192" i="1"/>
  <c r="W85" i="1"/>
  <c r="AS85" i="1" s="1"/>
  <c r="AT85" i="1" s="1"/>
  <c r="AU85" i="1" s="1"/>
  <c r="AV85" i="1" s="1"/>
  <c r="AW85" i="1" s="1"/>
  <c r="S120" i="1"/>
  <c r="AC120" i="1" s="1"/>
  <c r="AM120" i="1" s="1"/>
  <c r="W135" i="1"/>
  <c r="S146" i="1"/>
  <c r="AC146" i="1" s="1"/>
  <c r="AM146" i="1" s="1"/>
  <c r="O156" i="1"/>
  <c r="Y156" i="1" s="1"/>
  <c r="AI156" i="1" s="1"/>
  <c r="O349" i="1"/>
  <c r="Y349" i="1" s="1"/>
  <c r="AI349" i="1" s="1"/>
  <c r="R84" i="1"/>
  <c r="U69" i="1"/>
  <c r="AF69" i="1" s="1"/>
  <c r="AP69" i="1" s="1"/>
  <c r="R108" i="1"/>
  <c r="U101" i="1"/>
  <c r="R117" i="1"/>
  <c r="R127" i="1"/>
  <c r="R137" i="1"/>
  <c r="S71" i="1"/>
  <c r="AC71" i="1" s="1"/>
  <c r="AM71" i="1" s="1"/>
  <c r="Q103" i="1"/>
  <c r="V118" i="1"/>
  <c r="O131" i="1"/>
  <c r="Y131" i="1" s="1"/>
  <c r="AI131" i="1" s="1"/>
  <c r="S91" i="1"/>
  <c r="AC91" i="1" s="1"/>
  <c r="AM91" i="1" s="1"/>
  <c r="W106" i="1"/>
  <c r="S118" i="1"/>
  <c r="AC118" i="1" s="1"/>
  <c r="AM118" i="1" s="1"/>
  <c r="T127" i="1"/>
  <c r="U136" i="1"/>
  <c r="AE136" i="1" s="1"/>
  <c r="AO136" i="1" s="1"/>
  <c r="Q146" i="1"/>
  <c r="U152" i="1"/>
  <c r="AE152" i="1" s="1"/>
  <c r="AO152" i="1" s="1"/>
  <c r="O159" i="1"/>
  <c r="Y159" i="1" s="1"/>
  <c r="AI159" i="1" s="1"/>
  <c r="S165" i="1"/>
  <c r="AC165" i="1" s="1"/>
  <c r="AM165" i="1" s="1"/>
  <c r="W171" i="1"/>
  <c r="T97" i="1"/>
  <c r="O122" i="1"/>
  <c r="Y122" i="1" s="1"/>
  <c r="AI122" i="1" s="1"/>
  <c r="W136" i="1"/>
  <c r="V147" i="1"/>
  <c r="W156" i="1"/>
  <c r="T167" i="1"/>
  <c r="AS167" i="1" s="1"/>
  <c r="AT167" i="1" s="1"/>
  <c r="AU167" i="1" s="1"/>
  <c r="AV167" i="1" s="1"/>
  <c r="AW167" i="1" s="1"/>
  <c r="S175" i="1"/>
  <c r="AC175" i="1" s="1"/>
  <c r="AM175" i="1" s="1"/>
  <c r="W181" i="1"/>
  <c r="Q188" i="1"/>
  <c r="Q194" i="1"/>
  <c r="O90" i="1"/>
  <c r="Y90" i="1" s="1"/>
  <c r="AI90" i="1" s="1"/>
  <c r="Q117" i="1"/>
  <c r="R134" i="1"/>
  <c r="O145" i="1"/>
  <c r="Y145" i="1" s="1"/>
  <c r="AI145" i="1" s="1"/>
  <c r="T156" i="1"/>
  <c r="P166" i="1"/>
  <c r="Z166" i="1" s="1"/>
  <c r="AJ166" i="1" s="1"/>
  <c r="Q175" i="1"/>
  <c r="U181" i="1"/>
  <c r="AE181" i="1" s="1"/>
  <c r="AO181" i="1" s="1"/>
  <c r="O188" i="1"/>
  <c r="Y188" i="1" s="1"/>
  <c r="AI188" i="1" s="1"/>
  <c r="R603" i="1"/>
  <c r="W84" i="1"/>
  <c r="V105" i="1"/>
  <c r="V125" i="1"/>
  <c r="V145" i="1"/>
  <c r="W112" i="1"/>
  <c r="W81" i="1"/>
  <c r="O119" i="1"/>
  <c r="Y119" i="1" s="1"/>
  <c r="AI119" i="1" s="1"/>
  <c r="P137" i="1"/>
  <c r="Z137" i="1" s="1"/>
  <c r="AJ137" i="1" s="1"/>
  <c r="U154" i="1"/>
  <c r="AE154" i="1" s="1"/>
  <c r="AO154" i="1" s="1"/>
  <c r="S167" i="1"/>
  <c r="AC167" i="1" s="1"/>
  <c r="AM167" i="1" s="1"/>
  <c r="U106" i="1"/>
  <c r="O146" i="1"/>
  <c r="Y146" i="1" s="1"/>
  <c r="AI146" i="1" s="1"/>
  <c r="W164" i="1"/>
  <c r="U180" i="1"/>
  <c r="S193" i="1"/>
  <c r="AC193" i="1" s="1"/>
  <c r="AM193" i="1" s="1"/>
  <c r="W113" i="1"/>
  <c r="AG113" i="1" s="1"/>
  <c r="AQ113" i="1" s="1"/>
  <c r="BB113" i="1" s="1"/>
  <c r="BC113" i="1" s="1"/>
  <c r="W142" i="1"/>
  <c r="V159" i="1"/>
  <c r="P173" i="1"/>
  <c r="Z173" i="1" s="1"/>
  <c r="AJ173" i="1" s="1"/>
  <c r="O182" i="1"/>
  <c r="Y182" i="1" s="1"/>
  <c r="AI182" i="1" s="1"/>
  <c r="S190" i="1"/>
  <c r="AC190" i="1" s="1"/>
  <c r="AM190" i="1" s="1"/>
  <c r="U197" i="1"/>
  <c r="O204" i="1"/>
  <c r="Y204" i="1" s="1"/>
  <c r="AI204" i="1" s="1"/>
  <c r="U211" i="1"/>
  <c r="AE211" i="1" s="1"/>
  <c r="AO211" i="1" s="1"/>
  <c r="O218" i="1"/>
  <c r="Y218" i="1" s="1"/>
  <c r="AI218" i="1" s="1"/>
  <c r="S224" i="1"/>
  <c r="AC224" i="1" s="1"/>
  <c r="AM224" i="1" s="1"/>
  <c r="W230" i="1"/>
  <c r="Q237" i="1"/>
  <c r="S87" i="1"/>
  <c r="AC87" i="1" s="1"/>
  <c r="AM87" i="1" s="1"/>
  <c r="Q134" i="1"/>
  <c r="T157" i="1"/>
  <c r="AS157" i="1" s="1"/>
  <c r="AT157" i="1" s="1"/>
  <c r="AU157" i="1" s="1"/>
  <c r="AV157" i="1" s="1"/>
  <c r="AW157" i="1" s="1"/>
  <c r="P175" i="1"/>
  <c r="Z175" i="1" s="1"/>
  <c r="AJ175" i="1" s="1"/>
  <c r="P191" i="1"/>
  <c r="Z191" i="1" s="1"/>
  <c r="AJ191" i="1" s="1"/>
  <c r="P204" i="1"/>
  <c r="Z204" i="1" s="1"/>
  <c r="AJ204" i="1" s="1"/>
  <c r="V213" i="1"/>
  <c r="V222" i="1"/>
  <c r="R232" i="1"/>
  <c r="S242" i="1"/>
  <c r="AC242" i="1" s="1"/>
  <c r="AM242" i="1" s="1"/>
  <c r="W248" i="1"/>
  <c r="Q255" i="1"/>
  <c r="T622" i="1"/>
  <c r="T78" i="1"/>
  <c r="U71" i="1"/>
  <c r="P118" i="1"/>
  <c r="Z118" i="1" s="1"/>
  <c r="AJ118" i="1" s="1"/>
  <c r="P138" i="1"/>
  <c r="Z138" i="1" s="1"/>
  <c r="AJ138" i="1" s="1"/>
  <c r="P95" i="1"/>
  <c r="Z95" i="1" s="1"/>
  <c r="AJ95" i="1" s="1"/>
  <c r="Q126" i="1"/>
  <c r="AA126" i="1" s="1"/>
  <c r="AK126" i="1" s="1"/>
  <c r="O102" i="1"/>
  <c r="Y102" i="1" s="1"/>
  <c r="AI102" i="1" s="1"/>
  <c r="W123" i="1"/>
  <c r="W140" i="1"/>
  <c r="O155" i="1"/>
  <c r="Y155" i="1" s="1"/>
  <c r="AI155" i="1" s="1"/>
  <c r="W167" i="1"/>
  <c r="Q108" i="1"/>
  <c r="S140" i="1"/>
  <c r="AC140" i="1" s="1"/>
  <c r="AM140" i="1" s="1"/>
  <c r="P161" i="1"/>
  <c r="Z161" i="1" s="1"/>
  <c r="AJ161" i="1" s="1"/>
  <c r="W177" i="1"/>
  <c r="U190" i="1"/>
  <c r="AE190" i="1" s="1"/>
  <c r="AO190" i="1" s="1"/>
  <c r="P115" i="1"/>
  <c r="Z115" i="1" s="1"/>
  <c r="AJ115" i="1" s="1"/>
  <c r="T148" i="1"/>
  <c r="T164" i="1"/>
  <c r="O176" i="1"/>
  <c r="Y176" i="1" s="1"/>
  <c r="AI176" i="1" s="1"/>
  <c r="S184" i="1"/>
  <c r="AC184" i="1" s="1"/>
  <c r="AM184" i="1" s="1"/>
  <c r="Q193" i="1"/>
  <c r="U199" i="1"/>
  <c r="O206" i="1"/>
  <c r="Y206" i="1" s="1"/>
  <c r="AI206" i="1" s="1"/>
  <c r="O212" i="1"/>
  <c r="Y212" i="1" s="1"/>
  <c r="AI212" i="1" s="1"/>
  <c r="S218" i="1"/>
  <c r="AC218" i="1" s="1"/>
  <c r="AM218" i="1" s="1"/>
  <c r="W224" i="1"/>
  <c r="Q231" i="1"/>
  <c r="T358" i="1"/>
  <c r="AD358" i="1" s="1"/>
  <c r="AN358" i="1" s="1"/>
  <c r="T642" i="1"/>
  <c r="R561" i="1"/>
  <c r="T538" i="1"/>
  <c r="U639" i="1"/>
  <c r="R81" i="1"/>
  <c r="U75" i="1"/>
  <c r="R68" i="1"/>
  <c r="P89" i="1"/>
  <c r="Z89" i="1" s="1"/>
  <c r="AJ89" i="1" s="1"/>
  <c r="Q633" i="1"/>
  <c r="AA633" i="1" s="1"/>
  <c r="AK633" i="1" s="1"/>
  <c r="Q79" i="1"/>
  <c r="U469" i="1"/>
  <c r="P70" i="1"/>
  <c r="Z70" i="1" s="1"/>
  <c r="AJ70" i="1" s="1"/>
  <c r="V104" i="1"/>
  <c r="T118" i="1"/>
  <c r="Q76" i="1"/>
  <c r="S129" i="1"/>
  <c r="AC129" i="1" s="1"/>
  <c r="AM129" i="1" s="1"/>
  <c r="S78" i="1"/>
  <c r="AC78" i="1" s="1"/>
  <c r="AM78" i="1" s="1"/>
  <c r="V141" i="1"/>
  <c r="U70" i="1"/>
  <c r="Q131" i="1"/>
  <c r="O157" i="1"/>
  <c r="Y157" i="1" s="1"/>
  <c r="AI157" i="1" s="1"/>
  <c r="O75" i="1"/>
  <c r="Y75" i="1" s="1"/>
  <c r="AI75" i="1" s="1"/>
  <c r="O139" i="1"/>
  <c r="Y139" i="1" s="1"/>
  <c r="AI139" i="1" s="1"/>
  <c r="S166" i="1"/>
  <c r="AC166" i="1" s="1"/>
  <c r="AM166" i="1" s="1"/>
  <c r="Q186" i="1"/>
  <c r="Q104" i="1"/>
  <c r="U138" i="1"/>
  <c r="AE138" i="1" s="1"/>
  <c r="AO138" i="1" s="1"/>
  <c r="R539" i="1"/>
  <c r="T74" i="1"/>
  <c r="AS74" i="1" s="1"/>
  <c r="W70" i="1"/>
  <c r="R119" i="1"/>
  <c r="V139" i="1"/>
  <c r="O108" i="1"/>
  <c r="Y108" i="1" s="1"/>
  <c r="AI108" i="1" s="1"/>
  <c r="Q72" i="1"/>
  <c r="O110" i="1"/>
  <c r="Y110" i="1" s="1"/>
  <c r="AI110" i="1" s="1"/>
  <c r="U129" i="1"/>
  <c r="AE129" i="1" s="1"/>
  <c r="AO129" i="1" s="1"/>
  <c r="W147" i="1"/>
  <c r="U160" i="1"/>
  <c r="AE160" i="1" s="1"/>
  <c r="AO160" i="1" s="1"/>
  <c r="S173" i="1"/>
  <c r="AC173" i="1" s="1"/>
  <c r="AM173" i="1" s="1"/>
  <c r="R126" i="1"/>
  <c r="S150" i="1"/>
  <c r="AC150" i="1" s="1"/>
  <c r="AM150" i="1" s="1"/>
  <c r="U169" i="1"/>
  <c r="AG169" i="1" s="1"/>
  <c r="AQ169" i="1" s="1"/>
  <c r="S183" i="1"/>
  <c r="AC183" i="1" s="1"/>
  <c r="AM183" i="1" s="1"/>
  <c r="W195" i="1"/>
  <c r="AS195" i="1" s="1"/>
  <c r="AX195" i="1" s="1"/>
  <c r="T121" i="1"/>
  <c r="AS121" i="1" s="1"/>
  <c r="AT121" i="1" s="1"/>
  <c r="T147" i="1"/>
  <c r="R168" i="1"/>
  <c r="Q183" i="1"/>
  <c r="AA183" i="1" s="1"/>
  <c r="AK183" i="1" s="1"/>
  <c r="Q299" i="1"/>
  <c r="V113" i="1"/>
  <c r="AF113" i="1" s="1"/>
  <c r="AP113" i="1" s="1"/>
  <c r="O81" i="1"/>
  <c r="Y81" i="1" s="1"/>
  <c r="AI81" i="1" s="1"/>
  <c r="O101" i="1"/>
  <c r="Y101" i="1" s="1"/>
  <c r="AI101" i="1" s="1"/>
  <c r="U144" i="1"/>
  <c r="U170" i="1"/>
  <c r="AE170" i="1" s="1"/>
  <c r="AO170" i="1" s="1"/>
  <c r="T151" i="1"/>
  <c r="W183" i="1"/>
  <c r="U122" i="1"/>
  <c r="T163" i="1"/>
  <c r="O184" i="1"/>
  <c r="Y184" i="1" s="1"/>
  <c r="AI184" i="1" s="1"/>
  <c r="Q199" i="1"/>
  <c r="AA199" i="1" s="1"/>
  <c r="AK199" i="1" s="1"/>
  <c r="Q213" i="1"/>
  <c r="O226" i="1"/>
  <c r="Y226" i="1" s="1"/>
  <c r="AI226" i="1" s="1"/>
  <c r="W238" i="1"/>
  <c r="Q141" i="1"/>
  <c r="P179" i="1"/>
  <c r="Z179" i="1" s="1"/>
  <c r="AJ179" i="1" s="1"/>
  <c r="Q206" i="1"/>
  <c r="S225" i="1"/>
  <c r="AC225" i="1" s="1"/>
  <c r="AM225" i="1" s="1"/>
  <c r="O244" i="1"/>
  <c r="Y244" i="1" s="1"/>
  <c r="AI244" i="1" s="1"/>
  <c r="W256" i="1"/>
  <c r="R99" i="1"/>
  <c r="T122" i="1"/>
  <c r="U105" i="1"/>
  <c r="S108" i="1"/>
  <c r="AC108" i="1" s="1"/>
  <c r="AM108" i="1" s="1"/>
  <c r="P145" i="1"/>
  <c r="Z145" i="1" s="1"/>
  <c r="AJ145" i="1" s="1"/>
  <c r="O171" i="1"/>
  <c r="Y171" i="1" s="1"/>
  <c r="AI171" i="1" s="1"/>
  <c r="V146" i="1"/>
  <c r="AF146" i="1" s="1"/>
  <c r="AP146" i="1" s="1"/>
  <c r="O181" i="1"/>
  <c r="Y181" i="1" s="1"/>
  <c r="AI181" i="1" s="1"/>
  <c r="U123" i="1"/>
  <c r="AE123" i="1" s="1"/>
  <c r="AO123" i="1" s="1"/>
  <c r="Q167" i="1"/>
  <c r="W186" i="1"/>
  <c r="Q201" i="1"/>
  <c r="U213" i="1"/>
  <c r="S226" i="1"/>
  <c r="AC226" i="1" s="1"/>
  <c r="AM226" i="1" s="1"/>
  <c r="U237" i="1"/>
  <c r="Q110" i="1"/>
  <c r="V142" i="1"/>
  <c r="W162" i="1"/>
  <c r="V180" i="1"/>
  <c r="V196" i="1"/>
  <c r="V206" i="1"/>
  <c r="R216" i="1"/>
  <c r="U228" i="1"/>
  <c r="W239" i="1"/>
  <c r="U247" i="1"/>
  <c r="AE247" i="1" s="1"/>
  <c r="AO247" i="1" s="1"/>
  <c r="O254" i="1"/>
  <c r="Y254" i="1" s="1"/>
  <c r="AI254" i="1" s="1"/>
  <c r="S260" i="1"/>
  <c r="AC260" i="1" s="1"/>
  <c r="AM260" i="1" s="1"/>
  <c r="W114" i="1"/>
  <c r="W144" i="1"/>
  <c r="S164" i="1"/>
  <c r="AC164" i="1" s="1"/>
  <c r="AM164" i="1" s="1"/>
  <c r="V182" i="1"/>
  <c r="P201" i="1"/>
  <c r="Z201" i="1" s="1"/>
  <c r="AJ201" i="1" s="1"/>
  <c r="V209" i="1"/>
  <c r="R219" i="1"/>
  <c r="T86" i="1"/>
  <c r="V109" i="1"/>
  <c r="S99" i="1"/>
  <c r="AC99" i="1" s="1"/>
  <c r="AM99" i="1" s="1"/>
  <c r="S104" i="1"/>
  <c r="AC104" i="1" s="1"/>
  <c r="AM104" i="1" s="1"/>
  <c r="O143" i="1"/>
  <c r="Y143" i="1" s="1"/>
  <c r="AI143" i="1" s="1"/>
  <c r="O169" i="1"/>
  <c r="Y169" i="1" s="1"/>
  <c r="AI169" i="1" s="1"/>
  <c r="U142" i="1"/>
  <c r="AF142" i="1" s="1"/>
  <c r="AP142" i="1" s="1"/>
  <c r="O179" i="1"/>
  <c r="Y179" i="1" s="1"/>
  <c r="AI179" i="1" s="1"/>
  <c r="S107" i="1"/>
  <c r="AC107" i="1" s="1"/>
  <c r="AM107" i="1" s="1"/>
  <c r="S162" i="1"/>
  <c r="AC162" i="1" s="1"/>
  <c r="AM162" i="1" s="1"/>
  <c r="U183" i="1"/>
  <c r="W198" i="1"/>
  <c r="Q211" i="1"/>
  <c r="O224" i="1"/>
  <c r="Y224" i="1" s="1"/>
  <c r="AI224" i="1" s="1"/>
  <c r="W236" i="1"/>
  <c r="T145" i="1"/>
  <c r="R182" i="1"/>
  <c r="W207" i="1"/>
  <c r="T227" i="1"/>
  <c r="Q245" i="1"/>
  <c r="O258" i="1"/>
  <c r="Y258" i="1" s="1"/>
  <c r="AI258" i="1" s="1"/>
  <c r="P119" i="1"/>
  <c r="Z119" i="1" s="1"/>
  <c r="AJ119" i="1" s="1"/>
  <c r="V152" i="1"/>
  <c r="T179" i="1"/>
  <c r="R196" i="1"/>
  <c r="R211" i="1"/>
  <c r="V226" i="1"/>
  <c r="R236" i="1"/>
  <c r="O245" i="1"/>
  <c r="Y245" i="1" s="1"/>
  <c r="AI245" i="1" s="1"/>
  <c r="S251" i="1"/>
  <c r="AC251" i="1" s="1"/>
  <c r="AM251" i="1" s="1"/>
  <c r="W257" i="1"/>
  <c r="W263" i="1"/>
  <c r="Q270" i="1"/>
  <c r="U276" i="1"/>
  <c r="AF276" i="1" s="1"/>
  <c r="AP276" i="1" s="1"/>
  <c r="O496" i="1"/>
  <c r="Y496" i="1" s="1"/>
  <c r="AI496" i="1" s="1"/>
  <c r="Q385" i="1"/>
  <c r="O618" i="1"/>
  <c r="Y618" i="1" s="1"/>
  <c r="AI618" i="1" s="1"/>
  <c r="W659" i="1"/>
  <c r="AG659" i="1" s="1"/>
  <c r="AQ659" i="1" s="1"/>
  <c r="S276" i="1"/>
  <c r="AC276" i="1" s="1"/>
  <c r="AM276" i="1" s="1"/>
  <c r="R83" i="1"/>
  <c r="W78" i="1"/>
  <c r="T71" i="1"/>
  <c r="Q91" i="1"/>
  <c r="R507" i="1"/>
  <c r="Q90" i="1"/>
  <c r="T590" i="1"/>
  <c r="P74" i="1"/>
  <c r="Z74" i="1" s="1"/>
  <c r="AJ74" i="1" s="1"/>
  <c r="V106" i="1"/>
  <c r="P120" i="1"/>
  <c r="Z120" i="1" s="1"/>
  <c r="AJ120" i="1" s="1"/>
  <c r="U82" i="1"/>
  <c r="O132" i="1"/>
  <c r="Y132" i="1" s="1"/>
  <c r="AI132" i="1" s="1"/>
  <c r="U89" i="1"/>
  <c r="P144" i="1"/>
  <c r="Z144" i="1" s="1"/>
  <c r="AJ144" i="1" s="1"/>
  <c r="O86" i="1"/>
  <c r="Y86" i="1" s="1"/>
  <c r="AI86" i="1" s="1"/>
  <c r="S133" i="1"/>
  <c r="AC133" i="1" s="1"/>
  <c r="AM133" i="1" s="1"/>
  <c r="Q160" i="1"/>
  <c r="W86" i="1"/>
  <c r="P141" i="1"/>
  <c r="Z141" i="1" s="1"/>
  <c r="AJ141" i="1" s="1"/>
  <c r="Q171" i="1"/>
  <c r="W187" i="1"/>
  <c r="U110" i="1"/>
  <c r="T141" i="1"/>
  <c r="AS141" i="1" s="1"/>
  <c r="AT141" i="1" s="1"/>
  <c r="AU141" i="1" s="1"/>
  <c r="U374" i="1"/>
  <c r="AE374" i="1" s="1"/>
  <c r="AO374" i="1" s="1"/>
  <c r="T82" i="1"/>
  <c r="U83" i="1"/>
  <c r="AE83" i="1" s="1"/>
  <c r="AO83" i="1" s="1"/>
  <c r="V121" i="1"/>
  <c r="P142" i="1"/>
  <c r="Z142" i="1" s="1"/>
  <c r="AJ142" i="1" s="1"/>
  <c r="O112" i="1"/>
  <c r="Y112" i="1" s="1"/>
  <c r="AI112" i="1" s="1"/>
  <c r="Q80" i="1"/>
  <c r="Q113" i="1"/>
  <c r="AA113" i="1" s="1"/>
  <c r="AK113" i="1" s="1"/>
  <c r="W131" i="1"/>
  <c r="S149" i="1"/>
  <c r="AC149" i="1" s="1"/>
  <c r="AM149" i="1" s="1"/>
  <c r="Q162" i="1"/>
  <c r="Q78" i="1"/>
  <c r="U130" i="1"/>
  <c r="AE130" i="1" s="1"/>
  <c r="AO130" i="1" s="1"/>
  <c r="P153" i="1"/>
  <c r="Z153" i="1" s="1"/>
  <c r="AJ153" i="1" s="1"/>
  <c r="V171" i="1"/>
  <c r="AF171" i="1" s="1"/>
  <c r="AP171" i="1" s="1"/>
  <c r="O185" i="1"/>
  <c r="Y185" i="1" s="1"/>
  <c r="AI185" i="1" s="1"/>
  <c r="S197" i="1"/>
  <c r="AC197" i="1" s="1"/>
  <c r="AM197" i="1" s="1"/>
  <c r="W125" i="1"/>
  <c r="U149" i="1"/>
  <c r="T171" i="1"/>
  <c r="W184" i="1"/>
  <c r="T77" i="1"/>
  <c r="V117" i="1"/>
  <c r="O94" i="1"/>
  <c r="Y94" i="1" s="1"/>
  <c r="AI94" i="1" s="1"/>
  <c r="U107" i="1"/>
  <c r="AE107" i="1" s="1"/>
  <c r="AO107" i="1" s="1"/>
  <c r="Q148" i="1"/>
  <c r="U68" i="1"/>
  <c r="Q155" i="1"/>
  <c r="O187" i="1"/>
  <c r="Y187" i="1" s="1"/>
  <c r="AI187" i="1" s="1"/>
  <c r="Q132" i="1"/>
  <c r="V166" i="1"/>
  <c r="AF166" i="1" s="1"/>
  <c r="AP166" i="1" s="1"/>
  <c r="O186" i="1"/>
  <c r="Y186" i="1" s="1"/>
  <c r="AI186" i="1" s="1"/>
  <c r="W200" i="1"/>
  <c r="W214" i="1"/>
  <c r="U227" i="1"/>
  <c r="S240" i="1"/>
  <c r="AC240" i="1" s="1"/>
  <c r="AM240" i="1" s="1"/>
  <c r="W146" i="1"/>
  <c r="P183" i="1"/>
  <c r="Z183" i="1" s="1"/>
  <c r="AJ183" i="1" s="1"/>
  <c r="R208" i="1"/>
  <c r="P228" i="1"/>
  <c r="Z228" i="1" s="1"/>
  <c r="AJ228" i="1" s="1"/>
  <c r="U245" i="1"/>
  <c r="AE245" i="1" s="1"/>
  <c r="AO245" i="1" s="1"/>
  <c r="S258" i="1"/>
  <c r="AC258" i="1" s="1"/>
  <c r="AM258" i="1" s="1"/>
  <c r="O88" i="1"/>
  <c r="Y88" i="1" s="1"/>
  <c r="AI88" i="1" s="1"/>
  <c r="V127" i="1"/>
  <c r="AF127" i="1" s="1"/>
  <c r="AP127" i="1" s="1"/>
  <c r="S114" i="1"/>
  <c r="AC114" i="1" s="1"/>
  <c r="AM114" i="1" s="1"/>
  <c r="V114" i="1"/>
  <c r="U148" i="1"/>
  <c r="W71" i="1"/>
  <c r="O152" i="1"/>
  <c r="Y152" i="1" s="1"/>
  <c r="AI152" i="1" s="1"/>
  <c r="Q184" i="1"/>
  <c r="O133" i="1"/>
  <c r="Y133" i="1" s="1"/>
  <c r="AI133" i="1" s="1"/>
  <c r="S170" i="1"/>
  <c r="AC170" i="1" s="1"/>
  <c r="AM170" i="1" s="1"/>
  <c r="W188" i="1"/>
  <c r="W202" i="1"/>
  <c r="Q215" i="1"/>
  <c r="O228" i="1"/>
  <c r="Y228" i="1" s="1"/>
  <c r="AI228" i="1" s="1"/>
  <c r="Q239" i="1"/>
  <c r="Q120" i="1"/>
  <c r="O150" i="1"/>
  <c r="Y150" i="1" s="1"/>
  <c r="AI150" i="1" s="1"/>
  <c r="P168" i="1"/>
  <c r="Z168" i="1" s="1"/>
  <c r="AJ168" i="1" s="1"/>
  <c r="V184" i="1"/>
  <c r="R199" i="1"/>
  <c r="S209" i="1"/>
  <c r="AC209" i="1" s="1"/>
  <c r="AM209" i="1" s="1"/>
  <c r="P221" i="1"/>
  <c r="Z221" i="1" s="1"/>
  <c r="AJ221" i="1" s="1"/>
  <c r="V230" i="1"/>
  <c r="W242" i="1"/>
  <c r="Q249" i="1"/>
  <c r="U255" i="1"/>
  <c r="AA255" i="1" s="1"/>
  <c r="AK255" i="1" s="1"/>
  <c r="O262" i="1"/>
  <c r="Y262" i="1" s="1"/>
  <c r="AI262" i="1" s="1"/>
  <c r="S123" i="1"/>
  <c r="AC123" i="1" s="1"/>
  <c r="AM123" i="1" s="1"/>
  <c r="T149" i="1"/>
  <c r="V168" i="1"/>
  <c r="P189" i="1"/>
  <c r="Z189" i="1" s="1"/>
  <c r="AJ189" i="1" s="1"/>
  <c r="V202" i="1"/>
  <c r="W211" i="1"/>
  <c r="S221" i="1"/>
  <c r="AC221" i="1" s="1"/>
  <c r="AM221" i="1" s="1"/>
  <c r="V91" i="1"/>
  <c r="T128" i="1"/>
  <c r="U116" i="1"/>
  <c r="AE116" i="1" s="1"/>
  <c r="AO116" i="1" s="1"/>
  <c r="R116" i="1"/>
  <c r="W149" i="1"/>
  <c r="S81" i="1"/>
  <c r="AC81" i="1" s="1"/>
  <c r="AM81" i="1" s="1"/>
  <c r="U153" i="1"/>
  <c r="S185" i="1"/>
  <c r="AC185" i="1" s="1"/>
  <c r="AM185" i="1" s="1"/>
  <c r="W126" i="1"/>
  <c r="W168" i="1"/>
  <c r="U187" i="1"/>
  <c r="O202" i="1"/>
  <c r="Y202" i="1" s="1"/>
  <c r="AI202" i="1" s="1"/>
  <c r="S214" i="1"/>
  <c r="AC214" i="1" s="1"/>
  <c r="AM214" i="1" s="1"/>
  <c r="Q227" i="1"/>
  <c r="O240" i="1"/>
  <c r="Y240" i="1" s="1"/>
  <c r="AI240" i="1" s="1"/>
  <c r="S156" i="1"/>
  <c r="AC156" i="1" s="1"/>
  <c r="AM156" i="1" s="1"/>
  <c r="R190" i="1"/>
  <c r="P213" i="1"/>
  <c r="Z213" i="1" s="1"/>
  <c r="AJ213" i="1" s="1"/>
  <c r="W231" i="1"/>
  <c r="S248" i="1"/>
  <c r="AC248" i="1" s="1"/>
  <c r="AM248" i="1" s="1"/>
  <c r="Q261" i="1"/>
  <c r="W129" i="1"/>
  <c r="Q161" i="1"/>
  <c r="AA161" i="1" s="1"/>
  <c r="R184" i="1"/>
  <c r="P200" i="1"/>
  <c r="Z200" i="1" s="1"/>
  <c r="AJ200" i="1" s="1"/>
  <c r="T215" i="1"/>
  <c r="S229" i="1"/>
  <c r="AC229" i="1" s="1"/>
  <c r="AM229" i="1" s="1"/>
  <c r="T239" i="1"/>
  <c r="U246" i="1"/>
  <c r="O253" i="1"/>
  <c r="Y253" i="1" s="1"/>
  <c r="AI253" i="1" s="1"/>
  <c r="S259" i="1"/>
  <c r="AC259" i="1" s="1"/>
  <c r="AM259" i="1" s="1"/>
  <c r="S265" i="1"/>
  <c r="AC265" i="1" s="1"/>
  <c r="AM265" i="1" s="1"/>
  <c r="W271" i="1"/>
  <c r="Q278" i="1"/>
  <c r="U284" i="1"/>
  <c r="O291" i="1"/>
  <c r="Y291" i="1" s="1"/>
  <c r="AI291" i="1" s="1"/>
  <c r="S297" i="1"/>
  <c r="AC297" i="1" s="1"/>
  <c r="AM297" i="1" s="1"/>
  <c r="O303" i="1"/>
  <c r="Y303" i="1" s="1"/>
  <c r="AI303" i="1" s="1"/>
  <c r="S309" i="1"/>
  <c r="AC309" i="1" s="1"/>
  <c r="AM309" i="1" s="1"/>
  <c r="U134" i="1"/>
  <c r="AF134" i="1" s="1"/>
  <c r="AP134" i="1" s="1"/>
  <c r="Q128" i="1"/>
  <c r="V165" i="1"/>
  <c r="Q200" i="1"/>
  <c r="T221" i="1"/>
  <c r="AS221" i="1" s="1"/>
  <c r="R151" i="1"/>
  <c r="T192" i="1"/>
  <c r="T225" i="1"/>
  <c r="T247" i="1"/>
  <c r="Q165" i="1"/>
  <c r="V204" i="1"/>
  <c r="R230" i="1"/>
  <c r="R253" i="1"/>
  <c r="AB253" i="1" s="1"/>
  <c r="AL253" i="1" s="1"/>
  <c r="T266" i="1"/>
  <c r="P276" i="1"/>
  <c r="Z276" i="1" s="1"/>
  <c r="AJ276" i="1" s="1"/>
  <c r="V285" i="1"/>
  <c r="R295" i="1"/>
  <c r="AB295" i="1" s="1"/>
  <c r="O306" i="1"/>
  <c r="Y306" i="1" s="1"/>
  <c r="AI306" i="1" s="1"/>
  <c r="R189" i="1"/>
  <c r="P243" i="1"/>
  <c r="Z243" i="1" s="1"/>
  <c r="AJ243" i="1" s="1"/>
  <c r="V266" i="1"/>
  <c r="T279" i="1"/>
  <c r="T291" i="1"/>
  <c r="P305" i="1"/>
  <c r="Z305" i="1" s="1"/>
  <c r="AJ305" i="1" s="1"/>
  <c r="Q314" i="1"/>
  <c r="W321" i="1"/>
  <c r="Q328" i="1"/>
  <c r="T447" i="1"/>
  <c r="U305" i="1"/>
  <c r="V497" i="1"/>
  <c r="P648" i="1"/>
  <c r="Z648" i="1" s="1"/>
  <c r="AJ648" i="1" s="1"/>
  <c r="W82" i="1"/>
  <c r="O91" i="1"/>
  <c r="Y91" i="1" s="1"/>
  <c r="AI91" i="1" s="1"/>
  <c r="T98" i="1"/>
  <c r="V133" i="1"/>
  <c r="W611" i="1"/>
  <c r="AG611" i="1" s="1"/>
  <c r="AQ611" i="1" s="1"/>
  <c r="S106" i="1"/>
  <c r="AC106" i="1" s="1"/>
  <c r="AM106" i="1" s="1"/>
  <c r="S147" i="1"/>
  <c r="AC147" i="1" s="1"/>
  <c r="AM147" i="1" s="1"/>
  <c r="U115" i="1"/>
  <c r="AE115" i="1" s="1"/>
  <c r="AO115" i="1" s="1"/>
  <c r="Q178" i="1"/>
  <c r="V124" i="1"/>
  <c r="V391" i="1"/>
  <c r="V107" i="1"/>
  <c r="S79" i="1"/>
  <c r="AC79" i="1" s="1"/>
  <c r="AM79" i="1" s="1"/>
  <c r="U94" i="1"/>
  <c r="AE94" i="1" s="1"/>
  <c r="AO94" i="1" s="1"/>
  <c r="V138" i="1"/>
  <c r="O167" i="1"/>
  <c r="Y167" i="1" s="1"/>
  <c r="AI167" i="1" s="1"/>
  <c r="U139" i="1"/>
  <c r="AF139" i="1" s="1"/>
  <c r="AP139" i="1" s="1"/>
  <c r="O177" i="1"/>
  <c r="Y177" i="1" s="1"/>
  <c r="AI177" i="1" s="1"/>
  <c r="U98" i="1"/>
  <c r="AD98" i="1" s="1"/>
  <c r="AN98" i="1" s="1"/>
  <c r="V158" i="1"/>
  <c r="U189" i="1"/>
  <c r="R131" i="1"/>
  <c r="Q123" i="1"/>
  <c r="W117" i="1"/>
  <c r="Q196" i="1"/>
  <c r="U175" i="1"/>
  <c r="U205" i="1"/>
  <c r="AE205" i="1" s="1"/>
  <c r="AO205" i="1" s="1"/>
  <c r="S232" i="1"/>
  <c r="AC232" i="1" s="1"/>
  <c r="AM232" i="1" s="1"/>
  <c r="V161" i="1"/>
  <c r="W215" i="1"/>
  <c r="AS215" i="1" s="1"/>
  <c r="AT215" i="1" s="1"/>
  <c r="AU215" i="1" s="1"/>
  <c r="AV215" i="1" s="1"/>
  <c r="AW215" i="1" s="1"/>
  <c r="S250" i="1"/>
  <c r="AC250" i="1" s="1"/>
  <c r="AM250" i="1" s="1"/>
  <c r="U93" i="1"/>
  <c r="O69" i="1"/>
  <c r="Y69" i="1" s="1"/>
  <c r="AI69" i="1" s="1"/>
  <c r="Q158" i="1"/>
  <c r="R165" i="1"/>
  <c r="W152" i="1"/>
  <c r="AG152" i="1" s="1"/>
  <c r="AQ152" i="1" s="1"/>
  <c r="W194" i="1"/>
  <c r="AG194" i="1" s="1"/>
  <c r="AQ194" i="1" s="1"/>
  <c r="O220" i="1"/>
  <c r="Y220" i="1" s="1"/>
  <c r="AI220" i="1" s="1"/>
  <c r="W240" i="1"/>
  <c r="R154" i="1"/>
  <c r="V188" i="1"/>
  <c r="P212" i="1"/>
  <c r="Z212" i="1" s="1"/>
  <c r="AJ212" i="1" s="1"/>
  <c r="S233" i="1"/>
  <c r="AC233" i="1" s="1"/>
  <c r="AM233" i="1" s="1"/>
  <c r="W250" i="1"/>
  <c r="Q85" i="1"/>
  <c r="V153" i="1"/>
  <c r="T195" i="1"/>
  <c r="O215" i="1"/>
  <c r="Y215" i="1" s="1"/>
  <c r="AI215" i="1" s="1"/>
  <c r="S94" i="1"/>
  <c r="AC94" i="1" s="1"/>
  <c r="AM94" i="1" s="1"/>
  <c r="R128" i="1"/>
  <c r="AB128" i="1" s="1"/>
  <c r="AL128" i="1" s="1"/>
  <c r="Q156" i="1"/>
  <c r="V162" i="1"/>
  <c r="W145" i="1"/>
  <c r="AG145" i="1" s="1"/>
  <c r="AQ145" i="1" s="1"/>
  <c r="O192" i="1"/>
  <c r="Y192" i="1" s="1"/>
  <c r="AI192" i="1" s="1"/>
  <c r="U217" i="1"/>
  <c r="Q82" i="1"/>
  <c r="Q198" i="1"/>
  <c r="P237" i="1"/>
  <c r="Z237" i="1" s="1"/>
  <c r="AJ237" i="1" s="1"/>
  <c r="O79" i="1"/>
  <c r="Y79" i="1" s="1"/>
  <c r="AI79" i="1" s="1"/>
  <c r="T166" i="1"/>
  <c r="Q202" i="1"/>
  <c r="P232" i="1"/>
  <c r="Z232" i="1" s="1"/>
  <c r="AJ232" i="1" s="1"/>
  <c r="Q248" i="1"/>
  <c r="O261" i="1"/>
  <c r="Y261" i="1" s="1"/>
  <c r="AI261" i="1" s="1"/>
  <c r="S273" i="1"/>
  <c r="AC273" i="1" s="1"/>
  <c r="AM273" i="1" s="1"/>
  <c r="O283" i="1"/>
  <c r="Y283" i="1" s="1"/>
  <c r="AI283" i="1" s="1"/>
  <c r="U292" i="1"/>
  <c r="AE292" i="1" s="1"/>
  <c r="AO292" i="1" s="1"/>
  <c r="Q300" i="1"/>
  <c r="W307" i="1"/>
  <c r="P148" i="1"/>
  <c r="Z148" i="1" s="1"/>
  <c r="AJ148" i="1" s="1"/>
  <c r="W150" i="1"/>
  <c r="R193" i="1"/>
  <c r="P230" i="1"/>
  <c r="Z230" i="1" s="1"/>
  <c r="AJ230" i="1" s="1"/>
  <c r="R175" i="1"/>
  <c r="R214" i="1"/>
  <c r="T251" i="1"/>
  <c r="T184" i="1"/>
  <c r="AD184" i="1" s="1"/>
  <c r="AN184" i="1" s="1"/>
  <c r="T224" i="1"/>
  <c r="R257" i="1"/>
  <c r="W270" i="1"/>
  <c r="U283" i="1"/>
  <c r="T298" i="1"/>
  <c r="AS298" i="1" s="1"/>
  <c r="P133" i="1"/>
  <c r="Z133" i="1" s="1"/>
  <c r="AJ133" i="1" s="1"/>
  <c r="R226" i="1"/>
  <c r="T269" i="1"/>
  <c r="P285" i="1"/>
  <c r="Z285" i="1" s="1"/>
  <c r="AJ285" i="1" s="1"/>
  <c r="T301" i="1"/>
  <c r="W315" i="1"/>
  <c r="O325" i="1"/>
  <c r="Y325" i="1" s="1"/>
  <c r="AI325" i="1" s="1"/>
  <c r="O333" i="1"/>
  <c r="Y333" i="1" s="1"/>
  <c r="AI333" i="1" s="1"/>
  <c r="R181" i="1"/>
  <c r="P235" i="1"/>
  <c r="Z235" i="1" s="1"/>
  <c r="AJ235" i="1" s="1"/>
  <c r="T262" i="1"/>
  <c r="R275" i="1"/>
  <c r="P288" i="1"/>
  <c r="Z288" i="1" s="1"/>
  <c r="AJ288" i="1" s="1"/>
  <c r="U301" i="1"/>
  <c r="AE301" i="1" s="1"/>
  <c r="AO301" i="1" s="1"/>
  <c r="T313" i="1"/>
  <c r="P321" i="1"/>
  <c r="Z321" i="1" s="1"/>
  <c r="AJ321" i="1" s="1"/>
  <c r="V328" i="1"/>
  <c r="R336" i="1"/>
  <c r="R344" i="1"/>
  <c r="T351" i="1"/>
  <c r="AS351" i="1" s="1"/>
  <c r="T359" i="1"/>
  <c r="T367" i="1"/>
  <c r="P375" i="1"/>
  <c r="Z375" i="1" s="1"/>
  <c r="AJ375" i="1" s="1"/>
  <c r="P383" i="1"/>
  <c r="Z383" i="1" s="1"/>
  <c r="AJ383" i="1" s="1"/>
  <c r="P504" i="1"/>
  <c r="Z504" i="1" s="1"/>
  <c r="AJ504" i="1" s="1"/>
  <c r="S84" i="1"/>
  <c r="AC84" i="1" s="1"/>
  <c r="AM84" i="1" s="1"/>
  <c r="U74" i="1"/>
  <c r="AE74" i="1" s="1"/>
  <c r="AO74" i="1" s="1"/>
  <c r="Q89" i="1"/>
  <c r="T135" i="1"/>
  <c r="O163" i="1"/>
  <c r="Y163" i="1" s="1"/>
  <c r="AI163" i="1" s="1"/>
  <c r="U132" i="1"/>
  <c r="W172" i="1"/>
  <c r="Q70" i="1"/>
  <c r="P150" i="1"/>
  <c r="Z150" i="1" s="1"/>
  <c r="AJ150" i="1" s="1"/>
  <c r="S176" i="1"/>
  <c r="AC176" i="1" s="1"/>
  <c r="AM176" i="1" s="1"/>
  <c r="U193" i="1"/>
  <c r="S206" i="1"/>
  <c r="AC206" i="1" s="1"/>
  <c r="AM206" i="1" s="1"/>
  <c r="W218" i="1"/>
  <c r="U231" i="1"/>
  <c r="Q100" i="1"/>
  <c r="AA100" i="1" s="1"/>
  <c r="AK100" i="1" s="1"/>
  <c r="U159" i="1"/>
  <c r="AE159" i="1" s="1"/>
  <c r="AO159" i="1" s="1"/>
  <c r="T193" i="1"/>
  <c r="V214" i="1"/>
  <c r="T234" i="1"/>
  <c r="AS234" i="1" s="1"/>
  <c r="U249" i="1"/>
  <c r="AE249" i="1" s="1"/>
  <c r="AO249" i="1" s="1"/>
  <c r="U261" i="1"/>
  <c r="AE261" i="1" s="1"/>
  <c r="AO261" i="1" s="1"/>
  <c r="W134" i="1"/>
  <c r="R162" i="1"/>
  <c r="AB162" i="1" s="1"/>
  <c r="AL162" i="1" s="1"/>
  <c r="P185" i="1"/>
  <c r="Z185" i="1" s="1"/>
  <c r="AJ185" i="1" s="1"/>
  <c r="U200" i="1"/>
  <c r="AE200" i="1" s="1"/>
  <c r="AO200" i="1" s="1"/>
  <c r="R212" i="1"/>
  <c r="P225" i="1"/>
  <c r="Z225" i="1" s="1"/>
  <c r="AJ225" i="1" s="1"/>
  <c r="V234" i="1"/>
  <c r="W243" i="1"/>
  <c r="Q250" i="1"/>
  <c r="U256" i="1"/>
  <c r="O263" i="1"/>
  <c r="Y263" i="1" s="1"/>
  <c r="AI263" i="1" s="1"/>
  <c r="O269" i="1"/>
  <c r="Y269" i="1" s="1"/>
  <c r="AI269" i="1" s="1"/>
  <c r="S275" i="1"/>
  <c r="AC275" i="1" s="1"/>
  <c r="AM275" i="1" s="1"/>
  <c r="W281" i="1"/>
  <c r="AG281" i="1" s="1"/>
  <c r="AQ281" i="1" s="1"/>
  <c r="Q288" i="1"/>
  <c r="U294" i="1"/>
  <c r="AE294" i="1" s="1"/>
  <c r="AO294" i="1" s="1"/>
  <c r="U300" i="1"/>
  <c r="U306" i="1"/>
  <c r="Q101" i="1"/>
  <c r="Q74" i="1"/>
  <c r="V175" i="1"/>
  <c r="R201" i="1"/>
  <c r="R218" i="1"/>
  <c r="R234" i="1"/>
  <c r="Q129" i="1"/>
  <c r="P186" i="1"/>
  <c r="Z186" i="1" s="1"/>
  <c r="AJ186" i="1" s="1"/>
  <c r="V215" i="1"/>
  <c r="R238" i="1"/>
  <c r="W121" i="1"/>
  <c r="T186" i="1"/>
  <c r="AS186" i="1" s="1"/>
  <c r="Q220" i="1"/>
  <c r="V243" i="1"/>
  <c r="R261" i="1"/>
  <c r="R271" i="1"/>
  <c r="AB271" i="1" s="1"/>
  <c r="O282" i="1"/>
  <c r="Y282" i="1" s="1"/>
  <c r="AI282" i="1" s="1"/>
  <c r="U291" i="1"/>
  <c r="AE291" i="1" s="1"/>
  <c r="AO291" i="1" s="1"/>
  <c r="Q301" i="1"/>
  <c r="S144" i="1"/>
  <c r="AC144" i="1" s="1"/>
  <c r="AM144" i="1" s="1"/>
  <c r="R229" i="1"/>
  <c r="V263" i="1"/>
  <c r="R277" i="1"/>
  <c r="R289" i="1"/>
  <c r="P302" i="1"/>
  <c r="Z302" i="1" s="1"/>
  <c r="AJ302" i="1" s="1"/>
  <c r="O313" i="1"/>
  <c r="Y313" i="1" s="1"/>
  <c r="AI313" i="1" s="1"/>
  <c r="O319" i="1"/>
  <c r="Y319" i="1" s="1"/>
  <c r="AI319" i="1" s="1"/>
  <c r="S325" i="1"/>
  <c r="AC325" i="1" s="1"/>
  <c r="AM325" i="1" s="1"/>
  <c r="W331" i="1"/>
  <c r="O154" i="1"/>
  <c r="Y154" i="1" s="1"/>
  <c r="AI154" i="1" s="1"/>
  <c r="U226" i="1"/>
  <c r="Q263" i="1"/>
  <c r="O276" i="1"/>
  <c r="Y276" i="1" s="1"/>
  <c r="AI276" i="1" s="1"/>
  <c r="W288" i="1"/>
  <c r="S302" i="1"/>
  <c r="AC302" i="1" s="1"/>
  <c r="AM302" i="1" s="1"/>
  <c r="R314" i="1"/>
  <c r="P323" i="1"/>
  <c r="Z323" i="1" s="1"/>
  <c r="AJ323" i="1" s="1"/>
  <c r="P331" i="1"/>
  <c r="Z331" i="1" s="1"/>
  <c r="AJ331" i="1" s="1"/>
  <c r="V340" i="1"/>
  <c r="R348" i="1"/>
  <c r="R356" i="1"/>
  <c r="R364" i="1"/>
  <c r="T373" i="1"/>
  <c r="T381" i="1"/>
  <c r="AS381" i="1" s="1"/>
  <c r="AT381" i="1" s="1"/>
  <c r="AU381" i="1" s="1"/>
  <c r="AV381" i="1" s="1"/>
  <c r="AW381" i="1" s="1"/>
  <c r="O72" i="1"/>
  <c r="Y72" i="1" s="1"/>
  <c r="AI72" i="1" s="1"/>
  <c r="S122" i="1"/>
  <c r="AC122" i="1" s="1"/>
  <c r="AM122" i="1" s="1"/>
  <c r="W165" i="1"/>
  <c r="W175" i="1"/>
  <c r="AG175" i="1" s="1"/>
  <c r="AQ175" i="1" s="1"/>
  <c r="S174" i="1"/>
  <c r="AC174" i="1" s="1"/>
  <c r="AM174" i="1" s="1"/>
  <c r="W204" i="1"/>
  <c r="O230" i="1"/>
  <c r="Y230" i="1" s="1"/>
  <c r="AI230" i="1" s="1"/>
  <c r="P152" i="1"/>
  <c r="Z152" i="1" s="1"/>
  <c r="AJ152" i="1" s="1"/>
  <c r="O211" i="1"/>
  <c r="Y211" i="1" s="1"/>
  <c r="AI211" i="1" s="1"/>
  <c r="W246" i="1"/>
  <c r="T125" i="1"/>
  <c r="AS125" i="1" s="1"/>
  <c r="AT125" i="1" s="1"/>
  <c r="V190" i="1"/>
  <c r="AF190" i="1" s="1"/>
  <c r="AP190" i="1" s="1"/>
  <c r="U216" i="1"/>
  <c r="AE216" i="1" s="1"/>
  <c r="AO216" i="1" s="1"/>
  <c r="P241" i="1"/>
  <c r="Z241" i="1" s="1"/>
  <c r="AJ241" i="1" s="1"/>
  <c r="Q254" i="1"/>
  <c r="U266" i="1"/>
  <c r="S279" i="1"/>
  <c r="AC279" i="1" s="1"/>
  <c r="AM279" i="1" s="1"/>
  <c r="Q292" i="1"/>
  <c r="S307" i="1"/>
  <c r="AC307" i="1" s="1"/>
  <c r="AM307" i="1" s="1"/>
  <c r="W94" i="1"/>
  <c r="V191" i="1"/>
  <c r="O229" i="1"/>
  <c r="Y229" i="1" s="1"/>
  <c r="AI229" i="1" s="1"/>
  <c r="T190" i="1"/>
  <c r="AS190" i="1" s="1"/>
  <c r="AT190" i="1" s="1"/>
  <c r="AU190" i="1" s="1"/>
  <c r="R241" i="1"/>
  <c r="S207" i="1"/>
  <c r="AC207" i="1" s="1"/>
  <c r="AM207" i="1" s="1"/>
  <c r="V247" i="1"/>
  <c r="S272" i="1"/>
  <c r="AC272" i="1" s="1"/>
  <c r="AM272" i="1" s="1"/>
  <c r="P292" i="1"/>
  <c r="Z292" i="1" s="1"/>
  <c r="AJ292" i="1" s="1"/>
  <c r="T153" i="1"/>
  <c r="O268" i="1"/>
  <c r="Y268" i="1" s="1"/>
  <c r="AI268" i="1" s="1"/>
  <c r="U293" i="1"/>
  <c r="AB293" i="1" s="1"/>
  <c r="AL293" i="1" s="1"/>
  <c r="O315" i="1"/>
  <c r="Y315" i="1" s="1"/>
  <c r="AI315" i="1" s="1"/>
  <c r="S327" i="1"/>
  <c r="AC327" i="1" s="1"/>
  <c r="AM327" i="1" s="1"/>
  <c r="V189" i="1"/>
  <c r="O264" i="1"/>
  <c r="Y264" i="1" s="1"/>
  <c r="AI264" i="1" s="1"/>
  <c r="U289" i="1"/>
  <c r="AE289" i="1" s="1"/>
  <c r="AO289" i="1" s="1"/>
  <c r="V314" i="1"/>
  <c r="R328" i="1"/>
  <c r="T343" i="1"/>
  <c r="P363" i="1"/>
  <c r="Z363" i="1" s="1"/>
  <c r="AJ363" i="1" s="1"/>
  <c r="R378" i="1"/>
  <c r="T391" i="1"/>
  <c r="P399" i="1"/>
  <c r="Z399" i="1" s="1"/>
  <c r="AJ399" i="1" s="1"/>
  <c r="U230" i="1"/>
  <c r="V272" i="1"/>
  <c r="R298" i="1"/>
  <c r="S316" i="1"/>
  <c r="AC316" i="1" s="1"/>
  <c r="AM316" i="1" s="1"/>
  <c r="S328" i="1"/>
  <c r="AC328" i="1" s="1"/>
  <c r="AM328" i="1" s="1"/>
  <c r="P340" i="1"/>
  <c r="Z340" i="1" s="1"/>
  <c r="AJ340" i="1" s="1"/>
  <c r="Q349" i="1"/>
  <c r="Q358" i="1"/>
  <c r="W366" i="1"/>
  <c r="O378" i="1"/>
  <c r="Y378" i="1" s="1"/>
  <c r="AI378" i="1" s="1"/>
  <c r="O387" i="1"/>
  <c r="Y387" i="1" s="1"/>
  <c r="AI387" i="1" s="1"/>
  <c r="U395" i="1"/>
  <c r="AE395" i="1" s="1"/>
  <c r="AO395" i="1" s="1"/>
  <c r="Q403" i="1"/>
  <c r="U409" i="1"/>
  <c r="U415" i="1"/>
  <c r="O422" i="1"/>
  <c r="Y422" i="1" s="1"/>
  <c r="AI422" i="1" s="1"/>
  <c r="S428" i="1"/>
  <c r="AC428" i="1" s="1"/>
  <c r="AM428" i="1" s="1"/>
  <c r="W434" i="1"/>
  <c r="Q441" i="1"/>
  <c r="U447" i="1"/>
  <c r="Q106" i="1"/>
  <c r="T254" i="1"/>
  <c r="R281" i="1"/>
  <c r="S308" i="1"/>
  <c r="AC308" i="1" s="1"/>
  <c r="AM308" i="1" s="1"/>
  <c r="V323" i="1"/>
  <c r="U337" i="1"/>
  <c r="AE337" i="1" s="1"/>
  <c r="AO337" i="1" s="1"/>
  <c r="U346" i="1"/>
  <c r="AE346" i="1" s="1"/>
  <c r="AO346" i="1" s="1"/>
  <c r="U354" i="1"/>
  <c r="AE354" i="1" s="1"/>
  <c r="AO354" i="1" s="1"/>
  <c r="V363" i="1"/>
  <c r="R373" i="1"/>
  <c r="S382" i="1"/>
  <c r="AC382" i="1" s="1"/>
  <c r="AM382" i="1" s="1"/>
  <c r="O392" i="1"/>
  <c r="Y392" i="1" s="1"/>
  <c r="AI392" i="1" s="1"/>
  <c r="O401" i="1"/>
  <c r="Y401" i="1" s="1"/>
  <c r="AI401" i="1" s="1"/>
  <c r="R409" i="1"/>
  <c r="T416" i="1"/>
  <c r="V423" i="1"/>
  <c r="V431" i="1"/>
  <c r="AF431" i="1" s="1"/>
  <c r="AP431" i="1" s="1"/>
  <c r="T440" i="1"/>
  <c r="P448" i="1"/>
  <c r="Z448" i="1" s="1"/>
  <c r="AJ448" i="1" s="1"/>
  <c r="V455" i="1"/>
  <c r="V545" i="1"/>
  <c r="R123" i="1"/>
  <c r="U121" i="1"/>
  <c r="AE121" i="1" s="1"/>
  <c r="AO121" i="1" s="1"/>
  <c r="W101" i="1"/>
  <c r="O189" i="1"/>
  <c r="Y189" i="1" s="1"/>
  <c r="AI189" i="1" s="1"/>
  <c r="U165" i="1"/>
  <c r="S200" i="1"/>
  <c r="AC200" i="1" s="1"/>
  <c r="AM200" i="1" s="1"/>
  <c r="U225" i="1"/>
  <c r="AD225" i="1" s="1"/>
  <c r="AN225" i="1" s="1"/>
  <c r="W130" i="1"/>
  <c r="O203" i="1"/>
  <c r="Y203" i="1" s="1"/>
  <c r="AI203" i="1" s="1"/>
  <c r="R240" i="1"/>
  <c r="O98" i="1"/>
  <c r="Y98" i="1" s="1"/>
  <c r="AI98" i="1" s="1"/>
  <c r="V169" i="1"/>
  <c r="R204" i="1"/>
  <c r="W227" i="1"/>
  <c r="W245" i="1"/>
  <c r="AG245" i="1" s="1"/>
  <c r="AQ245" i="1" s="1"/>
  <c r="U258" i="1"/>
  <c r="O271" i="1"/>
  <c r="Y271" i="1" s="1"/>
  <c r="AI271" i="1" s="1"/>
  <c r="W283" i="1"/>
  <c r="U296" i="1"/>
  <c r="O71" i="1"/>
  <c r="Y71" i="1" s="1"/>
  <c r="AI71" i="1" s="1"/>
  <c r="T146" i="1"/>
  <c r="P198" i="1"/>
  <c r="Z198" i="1" s="1"/>
  <c r="AJ198" i="1" s="1"/>
  <c r="Q232" i="1"/>
  <c r="V179" i="1"/>
  <c r="V250" i="1"/>
  <c r="O209" i="1"/>
  <c r="Y209" i="1" s="1"/>
  <c r="AI209" i="1" s="1"/>
  <c r="T248" i="1"/>
  <c r="T273" i="1"/>
  <c r="V292" i="1"/>
  <c r="S160" i="1"/>
  <c r="AC160" i="1" s="1"/>
  <c r="AM160" i="1" s="1"/>
  <c r="R262" i="1"/>
  <c r="AB262" i="1" s="1"/>
  <c r="AL262" i="1" s="1"/>
  <c r="O288" i="1"/>
  <c r="Y288" i="1" s="1"/>
  <c r="AI288" i="1" s="1"/>
  <c r="Q312" i="1"/>
  <c r="U324" i="1"/>
  <c r="AE324" i="1" s="1"/>
  <c r="AO324" i="1" s="1"/>
  <c r="W133" i="1"/>
  <c r="R258" i="1"/>
  <c r="T284" i="1"/>
  <c r="S310" i="1"/>
  <c r="AC310" i="1" s="1"/>
  <c r="AM310" i="1" s="1"/>
  <c r="O488" i="1"/>
  <c r="Y488" i="1" s="1"/>
  <c r="AI488" i="1" s="1"/>
  <c r="W312" i="1"/>
  <c r="AG312" i="1" s="1"/>
  <c r="AQ312" i="1" s="1"/>
  <c r="O67" i="1"/>
  <c r="Y67" i="1" s="1"/>
  <c r="AI67" i="1" s="1"/>
  <c r="T340" i="1"/>
  <c r="U85" i="1"/>
  <c r="AF85" i="1" s="1"/>
  <c r="AP85" i="1" s="1"/>
  <c r="Q95" i="1"/>
  <c r="W68" i="1"/>
  <c r="V135" i="1"/>
  <c r="V67" i="1"/>
  <c r="AF67" i="1" s="1"/>
  <c r="AP67" i="1" s="1"/>
  <c r="Q111" i="1"/>
  <c r="O149" i="1"/>
  <c r="Y149" i="1" s="1"/>
  <c r="AI149" i="1" s="1"/>
  <c r="Q125" i="1"/>
  <c r="W179" i="1"/>
  <c r="O130" i="1"/>
  <c r="Y130" i="1" s="1"/>
  <c r="AI130" i="1" s="1"/>
  <c r="S465" i="1"/>
  <c r="AC465" i="1" s="1"/>
  <c r="AM465" i="1" s="1"/>
  <c r="V111" i="1"/>
  <c r="U86" i="1"/>
  <c r="W98" i="1"/>
  <c r="AG98" i="1" s="1"/>
  <c r="AQ98" i="1" s="1"/>
  <c r="R140" i="1"/>
  <c r="U168" i="1"/>
  <c r="AE168" i="1" s="1"/>
  <c r="AO168" i="1" s="1"/>
  <c r="W141" i="1"/>
  <c r="U178" i="1"/>
  <c r="W105" i="1"/>
  <c r="W160" i="1"/>
  <c r="Q191" i="1"/>
  <c r="P136" i="1"/>
  <c r="Z136" i="1" s="1"/>
  <c r="AJ136" i="1" s="1"/>
  <c r="O128" i="1"/>
  <c r="Y128" i="1" s="1"/>
  <c r="AI128" i="1" s="1"/>
  <c r="S127" i="1"/>
  <c r="AC127" i="1" s="1"/>
  <c r="AM127" i="1" s="1"/>
  <c r="W79" i="1"/>
  <c r="U177" i="1"/>
  <c r="Q207" i="1"/>
  <c r="O234" i="1"/>
  <c r="Y234" i="1" s="1"/>
  <c r="AI234" i="1" s="1"/>
  <c r="P167" i="1"/>
  <c r="Z167" i="1" s="1"/>
  <c r="AJ167" i="1" s="1"/>
  <c r="O219" i="1"/>
  <c r="Y219" i="1" s="1"/>
  <c r="AI219" i="1" s="1"/>
  <c r="O252" i="1"/>
  <c r="Y252" i="1" s="1"/>
  <c r="AI252" i="1" s="1"/>
  <c r="P108" i="1"/>
  <c r="Z108" i="1" s="1"/>
  <c r="AJ108" i="1" s="1"/>
  <c r="S83" i="1"/>
  <c r="AC83" i="1" s="1"/>
  <c r="AM83" i="1" s="1"/>
  <c r="S161" i="1"/>
  <c r="AC161" i="1" s="1"/>
  <c r="AM161" i="1" s="1"/>
  <c r="V170" i="1"/>
  <c r="U157" i="1"/>
  <c r="S196" i="1"/>
  <c r="AC196" i="1" s="1"/>
  <c r="AM196" i="1" s="1"/>
  <c r="U221" i="1"/>
  <c r="AF221" i="1" s="1"/>
  <c r="AP221" i="1" s="1"/>
  <c r="U91" i="1"/>
  <c r="T158" i="1"/>
  <c r="V192" i="1"/>
  <c r="Q214" i="1"/>
  <c r="P236" i="1"/>
  <c r="Z236" i="1" s="1"/>
  <c r="AJ236" i="1" s="1"/>
  <c r="S252" i="1"/>
  <c r="AC252" i="1" s="1"/>
  <c r="AM252" i="1" s="1"/>
  <c r="Q102" i="1"/>
  <c r="P160" i="1"/>
  <c r="Z160" i="1" s="1"/>
  <c r="AJ160" i="1" s="1"/>
  <c r="O199" i="1"/>
  <c r="Y199" i="1" s="1"/>
  <c r="AI199" i="1" s="1"/>
  <c r="P217" i="1"/>
  <c r="Z217" i="1" s="1"/>
  <c r="AJ217" i="1" s="1"/>
  <c r="Q77" i="1"/>
  <c r="Q88" i="1"/>
  <c r="U162" i="1"/>
  <c r="AE162" i="1" s="1"/>
  <c r="AO162" i="1" s="1"/>
  <c r="R172" i="1"/>
  <c r="T155" i="1"/>
  <c r="U195" i="1"/>
  <c r="AE195" i="1" s="1"/>
  <c r="AO195" i="1" s="1"/>
  <c r="W220" i="1"/>
  <c r="V132" i="1"/>
  <c r="T203" i="1"/>
  <c r="AD203" i="1" s="1"/>
  <c r="AN203" i="1" s="1"/>
  <c r="S241" i="1"/>
  <c r="AC241" i="1" s="1"/>
  <c r="AM241" i="1" s="1"/>
  <c r="S105" i="1"/>
  <c r="AC105" i="1" s="1"/>
  <c r="AM105" i="1" s="1"/>
  <c r="W170" i="1"/>
  <c r="U208" i="1"/>
  <c r="Q234" i="1"/>
  <c r="W249" i="1"/>
  <c r="U262" i="1"/>
  <c r="AE262" i="1" s="1"/>
  <c r="AO262" i="1" s="1"/>
  <c r="O275" i="1"/>
  <c r="Y275" i="1" s="1"/>
  <c r="AI275" i="1" s="1"/>
  <c r="Q286" i="1"/>
  <c r="Q294" i="1"/>
  <c r="S301" i="1"/>
  <c r="AC301" i="1" s="1"/>
  <c r="AM301" i="1" s="1"/>
  <c r="O311" i="1"/>
  <c r="Y311" i="1" s="1"/>
  <c r="AI311" i="1" s="1"/>
  <c r="V156" i="1"/>
  <c r="AF156" i="1" s="1"/>
  <c r="AP156" i="1" s="1"/>
  <c r="R159" i="1"/>
  <c r="T204" i="1"/>
  <c r="AS204" i="1" s="1"/>
  <c r="T237" i="1"/>
  <c r="P184" i="1"/>
  <c r="Z184" i="1" s="1"/>
  <c r="AJ184" i="1" s="1"/>
  <c r="S231" i="1"/>
  <c r="AC231" i="1" s="1"/>
  <c r="AM231" i="1" s="1"/>
  <c r="U112" i="1"/>
  <c r="AE112" i="1" s="1"/>
  <c r="AO112" i="1" s="1"/>
  <c r="R197" i="1"/>
  <c r="T241" i="1"/>
  <c r="T260" i="1"/>
  <c r="O274" i="1"/>
  <c r="Y274" i="1" s="1"/>
  <c r="AI274" i="1" s="1"/>
  <c r="S288" i="1"/>
  <c r="AC288" i="1" s="1"/>
  <c r="AM288" i="1" s="1"/>
  <c r="V300" i="1"/>
  <c r="AF300" i="1" s="1"/>
  <c r="AP300" i="1" s="1"/>
  <c r="R166" i="1"/>
  <c r="P251" i="1"/>
  <c r="Z251" i="1" s="1"/>
  <c r="AJ251" i="1" s="1"/>
  <c r="P273" i="1"/>
  <c r="Z273" i="1" s="1"/>
  <c r="AJ273" i="1" s="1"/>
  <c r="V288" i="1"/>
  <c r="T308" i="1"/>
  <c r="S317" i="1"/>
  <c r="AC317" i="1" s="1"/>
  <c r="AM317" i="1" s="1"/>
  <c r="U326" i="1"/>
  <c r="U334" i="1"/>
  <c r="R198" i="1"/>
  <c r="T246" i="1"/>
  <c r="AS246" i="1" s="1"/>
  <c r="AT246" i="1" s="1"/>
  <c r="R265" i="1"/>
  <c r="P278" i="1"/>
  <c r="Z278" i="1" s="1"/>
  <c r="AJ278" i="1" s="1"/>
  <c r="V291" i="1"/>
  <c r="T304" i="1"/>
  <c r="T315" i="1"/>
  <c r="V322" i="1"/>
  <c r="V330" i="1"/>
  <c r="R338" i="1"/>
  <c r="R346" i="1"/>
  <c r="AB346" i="1" s="1"/>
  <c r="AL346" i="1" s="1"/>
  <c r="T353" i="1"/>
  <c r="AS353" i="1" s="1"/>
  <c r="AT353" i="1" s="1"/>
  <c r="AU353" i="1" s="1"/>
  <c r="AV353" i="1" s="1"/>
  <c r="AW353" i="1" s="1"/>
  <c r="T361" i="1"/>
  <c r="AS361" i="1" s="1"/>
  <c r="P369" i="1"/>
  <c r="Z369" i="1" s="1"/>
  <c r="AJ369" i="1" s="1"/>
  <c r="P377" i="1"/>
  <c r="Z377" i="1" s="1"/>
  <c r="AJ377" i="1" s="1"/>
  <c r="P385" i="1"/>
  <c r="Z385" i="1" s="1"/>
  <c r="AJ385" i="1" s="1"/>
  <c r="T654" i="1"/>
  <c r="P112" i="1"/>
  <c r="Z112" i="1" s="1"/>
  <c r="AJ112" i="1" s="1"/>
  <c r="T101" i="1"/>
  <c r="AS101" i="1" s="1"/>
  <c r="AX101" i="1" s="1"/>
  <c r="Q105" i="1"/>
  <c r="T143" i="1"/>
  <c r="S169" i="1"/>
  <c r="AC169" i="1" s="1"/>
  <c r="AM169" i="1" s="1"/>
  <c r="Q143" i="1"/>
  <c r="S179" i="1"/>
  <c r="AC179" i="1" s="1"/>
  <c r="AM179" i="1" s="1"/>
  <c r="O109" i="1"/>
  <c r="Y109" i="1" s="1"/>
  <c r="AI109" i="1" s="1"/>
  <c r="P158" i="1"/>
  <c r="Z158" i="1" s="1"/>
  <c r="AJ158" i="1" s="1"/>
  <c r="W180" i="1"/>
  <c r="W196" i="1"/>
  <c r="AG196" i="1" s="1"/>
  <c r="AQ196" i="1" s="1"/>
  <c r="Q209" i="1"/>
  <c r="O222" i="1"/>
  <c r="Y222" i="1" s="1"/>
  <c r="AI222" i="1" s="1"/>
  <c r="W234" i="1"/>
  <c r="R122" i="1"/>
  <c r="Q169" i="1"/>
  <c r="W199" i="1"/>
  <c r="T219" i="1"/>
  <c r="Q238" i="1"/>
  <c r="W252" i="1"/>
  <c r="T89" i="1"/>
  <c r="AD89" i="1" s="1"/>
  <c r="AN89" i="1" s="1"/>
  <c r="O142" i="1"/>
  <c r="Y142" i="1" s="1"/>
  <c r="AI142" i="1" s="1"/>
  <c r="U167" i="1"/>
  <c r="R188" i="1"/>
  <c r="R203" i="1"/>
  <c r="P216" i="1"/>
  <c r="Z216" i="1" s="1"/>
  <c r="AJ216" i="1" s="1"/>
  <c r="R227" i="1"/>
  <c r="S237" i="1"/>
  <c r="AC237" i="1" s="1"/>
  <c r="AM237" i="1" s="1"/>
  <c r="S245" i="1"/>
  <c r="AC245" i="1" s="1"/>
  <c r="AM245" i="1" s="1"/>
  <c r="W251" i="1"/>
  <c r="AG251" i="1" s="1"/>
  <c r="AQ251" i="1" s="1"/>
  <c r="Q258" i="1"/>
  <c r="Q264" i="1"/>
  <c r="U270" i="1"/>
  <c r="AE270" i="1" s="1"/>
  <c r="AO270" i="1" s="1"/>
  <c r="O277" i="1"/>
  <c r="Y277" i="1" s="1"/>
  <c r="AI277" i="1" s="1"/>
  <c r="S283" i="1"/>
  <c r="AC283" i="1" s="1"/>
  <c r="AM283" i="1" s="1"/>
  <c r="W289" i="1"/>
  <c r="Q296" i="1"/>
  <c r="W301" i="1"/>
  <c r="AG301" i="1" s="1"/>
  <c r="AQ301" i="1" s="1"/>
  <c r="Q308" i="1"/>
  <c r="AA308" i="1" s="1"/>
  <c r="AK308" i="1" s="1"/>
  <c r="W122" i="1"/>
  <c r="S109" i="1"/>
  <c r="AC109" i="1" s="1"/>
  <c r="AM109" i="1" s="1"/>
  <c r="T180" i="1"/>
  <c r="AS180" i="1" s="1"/>
  <c r="T205" i="1"/>
  <c r="U222" i="1"/>
  <c r="AE222" i="1" s="1"/>
  <c r="AO222" i="1" s="1"/>
  <c r="U238" i="1"/>
  <c r="AE238" i="1" s="1"/>
  <c r="AO238" i="1" s="1"/>
  <c r="U155" i="1"/>
  <c r="T194" i="1"/>
  <c r="AS194" i="1" s="1"/>
  <c r="AX194" i="1" s="1"/>
  <c r="R221" i="1"/>
  <c r="R244" i="1"/>
  <c r="U147" i="1"/>
  <c r="AA147" i="1" s="1"/>
  <c r="T200" i="1"/>
  <c r="P226" i="1"/>
  <c r="Z226" i="1" s="1"/>
  <c r="AJ226" i="1" s="1"/>
  <c r="P250" i="1"/>
  <c r="Z250" i="1" s="1"/>
  <c r="AJ250" i="1" s="1"/>
  <c r="S264" i="1"/>
  <c r="AC264" i="1" s="1"/>
  <c r="AM264" i="1" s="1"/>
  <c r="T274" i="1"/>
  <c r="P284" i="1"/>
  <c r="Z284" i="1" s="1"/>
  <c r="AJ284" i="1" s="1"/>
  <c r="V293" i="1"/>
  <c r="R303" i="1"/>
  <c r="AB303" i="1" s="1"/>
  <c r="V193" i="1"/>
  <c r="V244" i="1"/>
  <c r="R267" i="1"/>
  <c r="P280" i="1"/>
  <c r="Z280" i="1" s="1"/>
  <c r="AJ280" i="1" s="1"/>
  <c r="R292" i="1"/>
  <c r="V305" i="1"/>
  <c r="U314" i="1"/>
  <c r="U320" i="1"/>
  <c r="O327" i="1"/>
  <c r="Y327" i="1" s="1"/>
  <c r="AI327" i="1" s="1"/>
  <c r="S333" i="1"/>
  <c r="AC333" i="1" s="1"/>
  <c r="AM333" i="1" s="1"/>
  <c r="V185" i="1"/>
  <c r="P238" i="1"/>
  <c r="Z238" i="1" s="1"/>
  <c r="AJ238" i="1" s="1"/>
  <c r="P266" i="1"/>
  <c r="Z266" i="1" s="1"/>
  <c r="AJ266" i="1" s="1"/>
  <c r="U279" i="1"/>
  <c r="S292" i="1"/>
  <c r="AC292" i="1" s="1"/>
  <c r="AM292" i="1" s="1"/>
  <c r="Q305" i="1"/>
  <c r="R316" i="1"/>
  <c r="P325" i="1"/>
  <c r="Z325" i="1" s="1"/>
  <c r="AJ325" i="1" s="1"/>
  <c r="P333" i="1"/>
  <c r="Z333" i="1" s="1"/>
  <c r="AJ333" i="1" s="1"/>
  <c r="V342" i="1"/>
  <c r="R350" i="1"/>
  <c r="R358" i="1"/>
  <c r="R366" i="1"/>
  <c r="T375" i="1"/>
  <c r="T383" i="1"/>
  <c r="AS383" i="1" s="1"/>
  <c r="AT383" i="1" s="1"/>
  <c r="S97" i="1"/>
  <c r="AC97" i="1" s="1"/>
  <c r="AM97" i="1" s="1"/>
  <c r="U95" i="1"/>
  <c r="U99" i="1"/>
  <c r="U188" i="1"/>
  <c r="AF188" i="1" s="1"/>
  <c r="AP188" i="1" s="1"/>
  <c r="W182" i="1"/>
  <c r="W210" i="1"/>
  <c r="S236" i="1"/>
  <c r="AC236" i="1" s="1"/>
  <c r="AM236" i="1" s="1"/>
  <c r="R170" i="1"/>
  <c r="P220" i="1"/>
  <c r="Z220" i="1" s="1"/>
  <c r="AJ220" i="1" s="1"/>
  <c r="Q253" i="1"/>
  <c r="S143" i="1"/>
  <c r="AC143" i="1" s="1"/>
  <c r="AM143" i="1" s="1"/>
  <c r="T198" i="1"/>
  <c r="Q226" i="1"/>
  <c r="U244" i="1"/>
  <c r="AE244" i="1" s="1"/>
  <c r="AO244" i="1" s="1"/>
  <c r="S257" i="1"/>
  <c r="AC257" i="1" s="1"/>
  <c r="AM257" i="1" s="1"/>
  <c r="W269" i="1"/>
  <c r="U282" i="1"/>
  <c r="S295" i="1"/>
  <c r="AC295" i="1" s="1"/>
  <c r="AM295" i="1" s="1"/>
  <c r="U310" i="1"/>
  <c r="O138" i="1"/>
  <c r="Y138" i="1" s="1"/>
  <c r="AI138" i="1" s="1"/>
  <c r="S203" i="1"/>
  <c r="AC203" i="1" s="1"/>
  <c r="AM203" i="1" s="1"/>
  <c r="T236" i="1"/>
  <c r="P207" i="1"/>
  <c r="Z207" i="1" s="1"/>
  <c r="AJ207" i="1" s="1"/>
  <c r="P249" i="1"/>
  <c r="Z249" i="1" s="1"/>
  <c r="AJ249" i="1" s="1"/>
  <c r="W221" i="1"/>
  <c r="V255" i="1"/>
  <c r="Q277" i="1"/>
  <c r="T297" i="1"/>
  <c r="V197" i="1"/>
  <c r="S274" i="1"/>
  <c r="AC274" i="1" s="1"/>
  <c r="AM274" i="1" s="1"/>
  <c r="O300" i="1"/>
  <c r="Y300" i="1" s="1"/>
  <c r="AI300" i="1" s="1"/>
  <c r="Q318" i="1"/>
  <c r="U330" i="1"/>
  <c r="S215" i="1"/>
  <c r="AC215" i="1" s="1"/>
  <c r="AM215" i="1" s="1"/>
  <c r="S270" i="1"/>
  <c r="AC270" i="1" s="1"/>
  <c r="AM270" i="1" s="1"/>
  <c r="V296" i="1"/>
  <c r="V318" i="1"/>
  <c r="R332" i="1"/>
  <c r="P351" i="1"/>
  <c r="Z351" i="1" s="1"/>
  <c r="AJ351" i="1" s="1"/>
  <c r="P367" i="1"/>
  <c r="Z367" i="1" s="1"/>
  <c r="AJ367" i="1" s="1"/>
  <c r="R382" i="1"/>
  <c r="T393" i="1"/>
  <c r="P401" i="1"/>
  <c r="Z401" i="1" s="1"/>
  <c r="AJ401" i="1" s="1"/>
  <c r="T245" i="1"/>
  <c r="AS245" i="1" s="1"/>
  <c r="V279" i="1"/>
  <c r="O304" i="1"/>
  <c r="Y304" i="1" s="1"/>
  <c r="AI304" i="1" s="1"/>
  <c r="W318" i="1"/>
  <c r="U331" i="1"/>
  <c r="AG331" i="1" s="1"/>
  <c r="AQ331" i="1" s="1"/>
  <c r="Q342" i="1"/>
  <c r="R351" i="1"/>
  <c r="S360" i="1"/>
  <c r="AC360" i="1" s="1"/>
  <c r="AM360" i="1" s="1"/>
  <c r="O371" i="1"/>
  <c r="Y371" i="1" s="1"/>
  <c r="AI371" i="1" s="1"/>
  <c r="P380" i="1"/>
  <c r="Z380" i="1" s="1"/>
  <c r="AJ380" i="1" s="1"/>
  <c r="Q389" i="1"/>
  <c r="AA389" i="1" s="1"/>
  <c r="U396" i="1"/>
  <c r="AG396" i="1" s="1"/>
  <c r="AQ396" i="1" s="1"/>
  <c r="W404" i="1"/>
  <c r="Q411" i="1"/>
  <c r="Q417" i="1"/>
  <c r="U423" i="1"/>
  <c r="AA423" i="1" s="1"/>
  <c r="O430" i="1"/>
  <c r="Y430" i="1" s="1"/>
  <c r="AI430" i="1" s="1"/>
  <c r="S436" i="1"/>
  <c r="AC436" i="1" s="1"/>
  <c r="AM436" i="1" s="1"/>
  <c r="W442" i="1"/>
  <c r="Q449" i="1"/>
  <c r="AA449" i="1" s="1"/>
  <c r="R179" i="1"/>
  <c r="R264" i="1"/>
  <c r="P287" i="1"/>
  <c r="Z287" i="1" s="1"/>
  <c r="AJ287" i="1" s="1"/>
  <c r="T312" i="1"/>
  <c r="V327" i="1"/>
  <c r="V339" i="1"/>
  <c r="Q348" i="1"/>
  <c r="W356" i="1"/>
  <c r="AS356" i="1" s="1"/>
  <c r="AT356" i="1" s="1"/>
  <c r="AU356" i="1" s="1"/>
  <c r="R365" i="1"/>
  <c r="AB365" i="1" s="1"/>
  <c r="AL365" i="1" s="1"/>
  <c r="O376" i="1"/>
  <c r="Y376" i="1" s="1"/>
  <c r="AI376" i="1" s="1"/>
  <c r="O385" i="1"/>
  <c r="Y385" i="1" s="1"/>
  <c r="AI385" i="1" s="1"/>
  <c r="P394" i="1"/>
  <c r="Z394" i="1" s="1"/>
  <c r="AJ394" i="1" s="1"/>
  <c r="R403" i="1"/>
  <c r="R411" i="1"/>
  <c r="AB411" i="1" s="1"/>
  <c r="T418" i="1"/>
  <c r="V425" i="1"/>
  <c r="R435" i="1"/>
  <c r="T442" i="1"/>
  <c r="P450" i="1"/>
  <c r="Z450" i="1" s="1"/>
  <c r="AJ450" i="1" s="1"/>
  <c r="V457" i="1"/>
  <c r="R70" i="1"/>
  <c r="W89" i="1"/>
  <c r="Q139" i="1"/>
  <c r="R138" i="1"/>
  <c r="R94" i="1"/>
  <c r="Q177" i="1"/>
  <c r="W206" i="1"/>
  <c r="O232" i="1"/>
  <c r="Y232" i="1" s="1"/>
  <c r="AI232" i="1" s="1"/>
  <c r="R155" i="1"/>
  <c r="U212" i="1"/>
  <c r="O248" i="1"/>
  <c r="Y248" i="1" s="1"/>
  <c r="AI248" i="1" s="1"/>
  <c r="U127" i="1"/>
  <c r="T183" i="1"/>
  <c r="AD183" i="1" s="1"/>
  <c r="AN183" i="1" s="1"/>
  <c r="V210" i="1"/>
  <c r="P233" i="1"/>
  <c r="Z233" i="1" s="1"/>
  <c r="AJ233" i="1" s="1"/>
  <c r="O249" i="1"/>
  <c r="Y249" i="1" s="1"/>
  <c r="AI249" i="1" s="1"/>
  <c r="W261" i="1"/>
  <c r="Q274" i="1"/>
  <c r="O287" i="1"/>
  <c r="Y287" i="1" s="1"/>
  <c r="AI287" i="1" s="1"/>
  <c r="Q302" i="1"/>
  <c r="P127" i="1"/>
  <c r="Z127" i="1" s="1"/>
  <c r="AJ127" i="1" s="1"/>
  <c r="Q157" i="1"/>
  <c r="U206" i="1"/>
  <c r="AE206" i="1" s="1"/>
  <c r="AO206" i="1" s="1"/>
  <c r="V239" i="1"/>
  <c r="AF239" i="1" s="1"/>
  <c r="AP239" i="1" s="1"/>
  <c r="S211" i="1"/>
  <c r="AC211" i="1" s="1"/>
  <c r="AM211" i="1" s="1"/>
  <c r="V136" i="1"/>
  <c r="P223" i="1"/>
  <c r="Z223" i="1" s="1"/>
  <c r="AJ223" i="1" s="1"/>
  <c r="T256" i="1"/>
  <c r="V277" i="1"/>
  <c r="O298" i="1"/>
  <c r="Y298" i="1" s="1"/>
  <c r="AI298" i="1" s="1"/>
  <c r="V200" i="1"/>
  <c r="W268" i="1"/>
  <c r="S294" i="1"/>
  <c r="AC294" i="1" s="1"/>
  <c r="AM294" i="1" s="1"/>
  <c r="S315" i="1"/>
  <c r="AC315" i="1" s="1"/>
  <c r="AM315" i="1" s="1"/>
  <c r="W327" i="1"/>
  <c r="P194" i="1"/>
  <c r="Z194" i="1" s="1"/>
  <c r="AJ194" i="1" s="1"/>
  <c r="V264" i="1"/>
  <c r="R290" i="1"/>
  <c r="P315" i="1"/>
  <c r="Z315" i="1" s="1"/>
  <c r="AJ315" i="1" s="1"/>
  <c r="T333" i="1"/>
  <c r="AS333" i="1" s="1"/>
  <c r="AT333" i="1" s="1"/>
  <c r="AU333" i="1" s="1"/>
  <c r="AV333" i="1" s="1"/>
  <c r="AW333" i="1" s="1"/>
  <c r="V348" i="1"/>
  <c r="V364" i="1"/>
  <c r="V382" i="1"/>
  <c r="R394" i="1"/>
  <c r="T178" i="1"/>
  <c r="V260" i="1"/>
  <c r="R288" i="1"/>
  <c r="T310" i="1"/>
  <c r="AD310" i="1" s="1"/>
  <c r="AN310" i="1" s="1"/>
  <c r="W322" i="1"/>
  <c r="U335" i="1"/>
  <c r="S345" i="1"/>
  <c r="AC345" i="1" s="1"/>
  <c r="AM345" i="1" s="1"/>
  <c r="T354" i="1"/>
  <c r="Q365" i="1"/>
  <c r="AA365" i="1" s="1"/>
  <c r="AK365" i="1" s="1"/>
  <c r="V373" i="1"/>
  <c r="W382" i="1"/>
  <c r="W391" i="1"/>
  <c r="U403" i="1"/>
  <c r="AE403" i="1" s="1"/>
  <c r="AO403" i="1" s="1"/>
  <c r="O410" i="1"/>
  <c r="Y410" i="1" s="1"/>
  <c r="AI410" i="1" s="1"/>
  <c r="O416" i="1"/>
  <c r="Y416" i="1" s="1"/>
  <c r="AI416" i="1" s="1"/>
  <c r="S422" i="1"/>
  <c r="AC422" i="1" s="1"/>
  <c r="AM422" i="1" s="1"/>
  <c r="W428" i="1"/>
  <c r="Q435" i="1"/>
  <c r="U441" i="1"/>
  <c r="AE441" i="1" s="1"/>
  <c r="AO441" i="1" s="1"/>
  <c r="O448" i="1"/>
  <c r="Y448" i="1" s="1"/>
  <c r="AI448" i="1" s="1"/>
  <c r="W503" i="1"/>
  <c r="AG503" i="1" s="1"/>
  <c r="AQ503" i="1" s="1"/>
  <c r="S86" i="1"/>
  <c r="AC86" i="1" s="1"/>
  <c r="AM86" i="1" s="1"/>
  <c r="T72" i="1"/>
  <c r="W95" i="1"/>
  <c r="AG95" i="1" s="1"/>
  <c r="AQ95" i="1" s="1"/>
  <c r="P114" i="1"/>
  <c r="Z114" i="1" s="1"/>
  <c r="AJ114" i="1" s="1"/>
  <c r="U166" i="1"/>
  <c r="AB166" i="1" s="1"/>
  <c r="AL166" i="1" s="1"/>
  <c r="W193" i="1"/>
  <c r="S82" i="1"/>
  <c r="AC82" i="1" s="1"/>
  <c r="AM82" i="1" s="1"/>
  <c r="S121" i="1"/>
  <c r="AC121" i="1" s="1"/>
  <c r="AM121" i="1" s="1"/>
  <c r="Q154" i="1"/>
  <c r="O160" i="1"/>
  <c r="Y160" i="1" s="1"/>
  <c r="AI160" i="1" s="1"/>
  <c r="S136" i="1"/>
  <c r="AC136" i="1" s="1"/>
  <c r="AM136" i="1" s="1"/>
  <c r="V102" i="1"/>
  <c r="AF102" i="1" s="1"/>
  <c r="AP102" i="1" s="1"/>
  <c r="W157" i="1"/>
  <c r="O148" i="1"/>
  <c r="Y148" i="1" s="1"/>
  <c r="AI148" i="1" s="1"/>
  <c r="U219" i="1"/>
  <c r="AD219" i="1" s="1"/>
  <c r="AN219" i="1" s="1"/>
  <c r="P195" i="1"/>
  <c r="Z195" i="1" s="1"/>
  <c r="AJ195" i="1" s="1"/>
  <c r="Q478" i="1"/>
  <c r="U128" i="1"/>
  <c r="AE128" i="1" s="1"/>
  <c r="AO128" i="1" s="1"/>
  <c r="U196" i="1"/>
  <c r="U207" i="1"/>
  <c r="AG207" i="1" s="1"/>
  <c r="AQ207" i="1" s="1"/>
  <c r="V128" i="1"/>
  <c r="T202" i="1"/>
  <c r="S244" i="1"/>
  <c r="AC244" i="1" s="1"/>
  <c r="AM244" i="1" s="1"/>
  <c r="T133" i="1"/>
  <c r="AS133" i="1" s="1"/>
  <c r="AT133" i="1" s="1"/>
  <c r="AU133" i="1" s="1"/>
  <c r="S205" i="1"/>
  <c r="AC205" i="1" s="1"/>
  <c r="AM205" i="1" s="1"/>
  <c r="T138" i="1"/>
  <c r="O113" i="1"/>
  <c r="Y113" i="1" s="1"/>
  <c r="AI113" i="1" s="1"/>
  <c r="W174" i="1"/>
  <c r="S230" i="1"/>
  <c r="AC230" i="1" s="1"/>
  <c r="AM230" i="1" s="1"/>
  <c r="T218" i="1"/>
  <c r="AS218" i="1" s="1"/>
  <c r="AT218" i="1" s="1"/>
  <c r="U140" i="1"/>
  <c r="AE140" i="1" s="1"/>
  <c r="AO140" i="1" s="1"/>
  <c r="Q218" i="1"/>
  <c r="U254" i="1"/>
  <c r="AD254" i="1" s="1"/>
  <c r="AN254" i="1" s="1"/>
  <c r="W279" i="1"/>
  <c r="W295" i="1"/>
  <c r="V92" i="1"/>
  <c r="AF92" i="1" s="1"/>
  <c r="AP92" i="1" s="1"/>
  <c r="P174" i="1"/>
  <c r="Z174" i="1" s="1"/>
  <c r="AJ174" i="1" s="1"/>
  <c r="W241" i="1"/>
  <c r="O237" i="1"/>
  <c r="Y237" i="1" s="1"/>
  <c r="AI237" i="1" s="1"/>
  <c r="R210" i="1"/>
  <c r="R263" i="1"/>
  <c r="P291" i="1"/>
  <c r="Z291" i="1" s="1"/>
  <c r="AJ291" i="1" s="1"/>
  <c r="V203" i="1"/>
  <c r="AF203" i="1" s="1"/>
  <c r="AP203" i="1" s="1"/>
  <c r="T276" i="1"/>
  <c r="W310" i="1"/>
  <c r="W329" i="1"/>
  <c r="T209" i="1"/>
  <c r="R268" i="1"/>
  <c r="Q295" i="1"/>
  <c r="T317" i="1"/>
  <c r="V332" i="1"/>
  <c r="T347" i="1"/>
  <c r="T363" i="1"/>
  <c r="P379" i="1"/>
  <c r="Z379" i="1" s="1"/>
  <c r="AJ379" i="1" s="1"/>
  <c r="T68" i="1"/>
  <c r="P117" i="1"/>
  <c r="Z117" i="1" s="1"/>
  <c r="AJ117" i="1" s="1"/>
  <c r="Q150" i="1"/>
  <c r="AA150" i="1" s="1"/>
  <c r="P154" i="1"/>
  <c r="Z154" i="1" s="1"/>
  <c r="AJ154" i="1" s="1"/>
  <c r="O129" i="1"/>
  <c r="Y129" i="1" s="1"/>
  <c r="AI129" i="1" s="1"/>
  <c r="Q185" i="1"/>
  <c r="AA185" i="1" s="1"/>
  <c r="AK185" i="1" s="1"/>
  <c r="S212" i="1"/>
  <c r="AC212" i="1" s="1"/>
  <c r="AM212" i="1" s="1"/>
  <c r="O238" i="1"/>
  <c r="Y238" i="1" s="1"/>
  <c r="AI238" i="1" s="1"/>
  <c r="T177" i="1"/>
  <c r="W223" i="1"/>
  <c r="AG223" i="1" s="1"/>
  <c r="AQ223" i="1" s="1"/>
  <c r="O256" i="1"/>
  <c r="Y256" i="1" s="1"/>
  <c r="AI256" i="1" s="1"/>
  <c r="S148" i="1"/>
  <c r="AC148" i="1" s="1"/>
  <c r="AM148" i="1" s="1"/>
  <c r="P193" i="1"/>
  <c r="Z193" i="1" s="1"/>
  <c r="AJ193" i="1" s="1"/>
  <c r="V218" i="1"/>
  <c r="P240" i="1"/>
  <c r="Z240" i="1" s="1"/>
  <c r="AJ240" i="1" s="1"/>
  <c r="S253" i="1"/>
  <c r="AC253" i="1" s="1"/>
  <c r="AM253" i="1" s="1"/>
  <c r="W265" i="1"/>
  <c r="U278" i="1"/>
  <c r="S291" i="1"/>
  <c r="AC291" i="1" s="1"/>
  <c r="AM291" i="1" s="1"/>
  <c r="S303" i="1"/>
  <c r="AC303" i="1" s="1"/>
  <c r="AM303" i="1" s="1"/>
  <c r="S137" i="1"/>
  <c r="AC137" i="1" s="1"/>
  <c r="AM137" i="1" s="1"/>
  <c r="T188" i="1"/>
  <c r="W225" i="1"/>
  <c r="R167" i="1"/>
  <c r="P227" i="1"/>
  <c r="Z227" i="1" s="1"/>
  <c r="AJ227" i="1" s="1"/>
  <c r="S168" i="1"/>
  <c r="AC168" i="1" s="1"/>
  <c r="AM168" i="1" s="1"/>
  <c r="V231" i="1"/>
  <c r="P267" i="1"/>
  <c r="Z267" i="1" s="1"/>
  <c r="AJ267" i="1" s="1"/>
  <c r="R286" i="1"/>
  <c r="T306" i="1"/>
  <c r="V252" i="1"/>
  <c r="V283" i="1"/>
  <c r="Q309" i="1"/>
  <c r="Q322" i="1"/>
  <c r="O335" i="1"/>
  <c r="Y335" i="1" s="1"/>
  <c r="AI335" i="1" s="1"/>
  <c r="P248" i="1"/>
  <c r="Z248" i="1" s="1"/>
  <c r="AJ248" i="1" s="1"/>
  <c r="S282" i="1"/>
  <c r="AC282" i="1" s="1"/>
  <c r="AM282" i="1" s="1"/>
  <c r="W308" i="1"/>
  <c r="AS308" i="1" s="1"/>
  <c r="AT308" i="1" s="1"/>
  <c r="AU308" i="1" s="1"/>
  <c r="AV308" i="1" s="1"/>
  <c r="AW308" i="1" s="1"/>
  <c r="P327" i="1"/>
  <c r="Z327" i="1" s="1"/>
  <c r="AJ327" i="1" s="1"/>
  <c r="V344" i="1"/>
  <c r="R360" i="1"/>
  <c r="AB360" i="1" s="1"/>
  <c r="AL360" i="1" s="1"/>
  <c r="T377" i="1"/>
  <c r="AS377" i="1" s="1"/>
  <c r="R135" i="1"/>
  <c r="T137" i="1"/>
  <c r="AS137" i="1" s="1"/>
  <c r="U191" i="1"/>
  <c r="AE191" i="1" s="1"/>
  <c r="AO191" i="1" s="1"/>
  <c r="W75" i="1"/>
  <c r="V229" i="1"/>
  <c r="O158" i="1"/>
  <c r="Y158" i="1" s="1"/>
  <c r="AI158" i="1" s="1"/>
  <c r="T231" i="1"/>
  <c r="AS231" i="1" s="1"/>
  <c r="AT231" i="1" s="1"/>
  <c r="U260" i="1"/>
  <c r="AA260" i="1" s="1"/>
  <c r="W285" i="1"/>
  <c r="Q114" i="1"/>
  <c r="O213" i="1"/>
  <c r="Y213" i="1" s="1"/>
  <c r="AI213" i="1" s="1"/>
  <c r="U218" i="1"/>
  <c r="O233" i="1"/>
  <c r="Y233" i="1" s="1"/>
  <c r="AI233" i="1" s="1"/>
  <c r="T282" i="1"/>
  <c r="R246" i="1"/>
  <c r="AB246" i="1" s="1"/>
  <c r="S306" i="1"/>
  <c r="AC306" i="1" s="1"/>
  <c r="AM306" i="1" s="1"/>
  <c r="W333" i="1"/>
  <c r="W276" i="1"/>
  <c r="V320" i="1"/>
  <c r="P355" i="1"/>
  <c r="Z355" i="1" s="1"/>
  <c r="AJ355" i="1" s="1"/>
  <c r="R386" i="1"/>
  <c r="V157" i="1"/>
  <c r="T285" i="1"/>
  <c r="O322" i="1"/>
  <c r="Y322" i="1" s="1"/>
  <c r="AI322" i="1" s="1"/>
  <c r="S344" i="1"/>
  <c r="AC344" i="1" s="1"/>
  <c r="AM344" i="1" s="1"/>
  <c r="T362" i="1"/>
  <c r="Q382" i="1"/>
  <c r="W398" i="1"/>
  <c r="AS398" i="1" s="1"/>
  <c r="AT398" i="1" s="1"/>
  <c r="AU398" i="1" s="1"/>
  <c r="S412" i="1"/>
  <c r="AC412" i="1" s="1"/>
  <c r="AM412" i="1" s="1"/>
  <c r="Q425" i="1"/>
  <c r="O438" i="1"/>
  <c r="Y438" i="1" s="1"/>
  <c r="AI438" i="1" s="1"/>
  <c r="W450" i="1"/>
  <c r="O270" i="1"/>
  <c r="Y270" i="1" s="1"/>
  <c r="AI270" i="1" s="1"/>
  <c r="T316" i="1"/>
  <c r="W341" i="1"/>
  <c r="AS341" i="1" s="1"/>
  <c r="S359" i="1"/>
  <c r="AC359" i="1" s="1"/>
  <c r="AM359" i="1" s="1"/>
  <c r="P378" i="1"/>
  <c r="Z378" i="1" s="1"/>
  <c r="AJ378" i="1" s="1"/>
  <c r="Q396" i="1"/>
  <c r="R413" i="1"/>
  <c r="AB413" i="1" s="1"/>
  <c r="V427" i="1"/>
  <c r="T444" i="1"/>
  <c r="R459" i="1"/>
  <c r="T123" i="1"/>
  <c r="S158" i="1"/>
  <c r="AC158" i="1" s="1"/>
  <c r="AM158" i="1" s="1"/>
  <c r="U185" i="1"/>
  <c r="AE185" i="1" s="1"/>
  <c r="AO185" i="1" s="1"/>
  <c r="S238" i="1"/>
  <c r="AC238" i="1" s="1"/>
  <c r="AM238" i="1" s="1"/>
  <c r="V221" i="1"/>
  <c r="R146" i="1"/>
  <c r="AB146" i="1" s="1"/>
  <c r="AL146" i="1" s="1"/>
  <c r="V217" i="1"/>
  <c r="AF217" i="1" s="1"/>
  <c r="AP217" i="1" s="1"/>
  <c r="Q252" i="1"/>
  <c r="S277" i="1"/>
  <c r="AC277" i="1" s="1"/>
  <c r="AM277" i="1" s="1"/>
  <c r="S305" i="1"/>
  <c r="AC305" i="1" s="1"/>
  <c r="AM305" i="1" s="1"/>
  <c r="P172" i="1"/>
  <c r="Z172" i="1" s="1"/>
  <c r="AJ172" i="1" s="1"/>
  <c r="O111" i="1"/>
  <c r="Y111" i="1" s="1"/>
  <c r="AI111" i="1" s="1"/>
  <c r="V173" i="1"/>
  <c r="W262" i="1"/>
  <c r="R302" i="1"/>
  <c r="Q275" i="1"/>
  <c r="U318" i="1"/>
  <c r="P218" i="1"/>
  <c r="Z218" i="1" s="1"/>
  <c r="AJ218" i="1" s="1"/>
  <c r="R297" i="1"/>
  <c r="T329" i="1"/>
  <c r="AS329" i="1" s="1"/>
  <c r="V352" i="1"/>
  <c r="V374" i="1"/>
  <c r="AF374" i="1" s="1"/>
  <c r="AP374" i="1" s="1"/>
  <c r="R392" i="1"/>
  <c r="T213" i="1"/>
  <c r="P274" i="1"/>
  <c r="Z274" i="1" s="1"/>
  <c r="AJ274" i="1" s="1"/>
  <c r="R305" i="1"/>
  <c r="O326" i="1"/>
  <c r="Y326" i="1" s="1"/>
  <c r="AI326" i="1" s="1"/>
  <c r="U340" i="1"/>
  <c r="AE340" i="1" s="1"/>
  <c r="AO340" i="1" s="1"/>
  <c r="W351" i="1"/>
  <c r="R367" i="1"/>
  <c r="AB367" i="1" s="1"/>
  <c r="AL367" i="1" s="1"/>
  <c r="T378" i="1"/>
  <c r="V389" i="1"/>
  <c r="AF389" i="1" s="1"/>
  <c r="AP389" i="1" s="1"/>
  <c r="Q405" i="1"/>
  <c r="AA405" i="1" s="1"/>
  <c r="W412" i="1"/>
  <c r="W420" i="1"/>
  <c r="S430" i="1"/>
  <c r="AC430" i="1" s="1"/>
  <c r="AM430" i="1" s="1"/>
  <c r="S438" i="1"/>
  <c r="AC438" i="1" s="1"/>
  <c r="AM438" i="1" s="1"/>
  <c r="S446" i="1"/>
  <c r="AC446" i="1" s="1"/>
  <c r="AM446" i="1" s="1"/>
  <c r="T139" i="1"/>
  <c r="AS139" i="1" s="1"/>
  <c r="AT139" i="1" s="1"/>
  <c r="AU139" i="1" s="1"/>
  <c r="V256" i="1"/>
  <c r="W282" i="1"/>
  <c r="AG282" i="1" s="1"/>
  <c r="AQ282" i="1" s="1"/>
  <c r="U309" i="1"/>
  <c r="T324" i="1"/>
  <c r="P338" i="1"/>
  <c r="Z338" i="1" s="1"/>
  <c r="AJ338" i="1" s="1"/>
  <c r="Q347" i="1"/>
  <c r="AA347" i="1" s="1"/>
  <c r="Q355" i="1"/>
  <c r="S367" i="1"/>
  <c r="AC367" i="1" s="1"/>
  <c r="AM367" i="1" s="1"/>
  <c r="T376" i="1"/>
  <c r="U385" i="1"/>
  <c r="U394" i="1"/>
  <c r="AF394" i="1" s="1"/>
  <c r="AP394" i="1" s="1"/>
  <c r="V403" i="1"/>
  <c r="V411" i="1"/>
  <c r="P422" i="1"/>
  <c r="Z422" i="1" s="1"/>
  <c r="AJ422" i="1" s="1"/>
  <c r="P430" i="1"/>
  <c r="Z430" i="1" s="1"/>
  <c r="AJ430" i="1" s="1"/>
  <c r="R437" i="1"/>
  <c r="R445" i="1"/>
  <c r="P454" i="1"/>
  <c r="Z454" i="1" s="1"/>
  <c r="AJ454" i="1" s="1"/>
  <c r="V461" i="1"/>
  <c r="R469" i="1"/>
  <c r="R477" i="1"/>
  <c r="T486" i="1"/>
  <c r="P222" i="1"/>
  <c r="Z222" i="1" s="1"/>
  <c r="AJ222" i="1" s="1"/>
  <c r="V294" i="1"/>
  <c r="W328" i="1"/>
  <c r="S348" i="1"/>
  <c r="AC348" i="1" s="1"/>
  <c r="AM348" i="1" s="1"/>
  <c r="S365" i="1"/>
  <c r="AC365" i="1" s="1"/>
  <c r="AM365" i="1" s="1"/>
  <c r="U383" i="1"/>
  <c r="AE383" i="1" s="1"/>
  <c r="AO383" i="1" s="1"/>
  <c r="U400" i="1"/>
  <c r="W413" i="1"/>
  <c r="AG413" i="1" s="1"/>
  <c r="AQ413" i="1" s="1"/>
  <c r="U426" i="1"/>
  <c r="S439" i="1"/>
  <c r="AC439" i="1" s="1"/>
  <c r="AM439" i="1" s="1"/>
  <c r="Q452" i="1"/>
  <c r="W462" i="1"/>
  <c r="AG462" i="1" s="1"/>
  <c r="AQ462" i="1" s="1"/>
  <c r="S472" i="1"/>
  <c r="AC472" i="1" s="1"/>
  <c r="AM472" i="1" s="1"/>
  <c r="T481" i="1"/>
  <c r="Q492" i="1"/>
  <c r="W497" i="1"/>
  <c r="Q504" i="1"/>
  <c r="AA504" i="1" s="1"/>
  <c r="AK504" i="1" s="1"/>
  <c r="U510" i="1"/>
  <c r="AE510" i="1" s="1"/>
  <c r="AO510" i="1" s="1"/>
  <c r="O517" i="1"/>
  <c r="Y517" i="1" s="1"/>
  <c r="AI517" i="1" s="1"/>
  <c r="S523" i="1"/>
  <c r="AC523" i="1" s="1"/>
  <c r="AM523" i="1" s="1"/>
  <c r="W529" i="1"/>
  <c r="Q536" i="1"/>
  <c r="U542" i="1"/>
  <c r="O549" i="1"/>
  <c r="Y549" i="1" s="1"/>
  <c r="AI549" i="1" s="1"/>
  <c r="S555" i="1"/>
  <c r="AC555" i="1" s="1"/>
  <c r="AM555" i="1" s="1"/>
  <c r="W561" i="1"/>
  <c r="Q568" i="1"/>
  <c r="U574" i="1"/>
  <c r="AB574" i="1" s="1"/>
  <c r="O581" i="1"/>
  <c r="Y581" i="1" s="1"/>
  <c r="AI581" i="1" s="1"/>
  <c r="S587" i="1"/>
  <c r="AC587" i="1" s="1"/>
  <c r="AM587" i="1" s="1"/>
  <c r="W593" i="1"/>
  <c r="W599" i="1"/>
  <c r="Q606" i="1"/>
  <c r="P244" i="1"/>
  <c r="Z244" i="1" s="1"/>
  <c r="AJ244" i="1" s="1"/>
  <c r="R306" i="1"/>
  <c r="W337" i="1"/>
  <c r="AG337" i="1" s="1"/>
  <c r="AQ337" i="1" s="1"/>
  <c r="Q359" i="1"/>
  <c r="AA359" i="1" s="1"/>
  <c r="AK359" i="1" s="1"/>
  <c r="R377" i="1"/>
  <c r="S394" i="1"/>
  <c r="AC394" i="1" s="1"/>
  <c r="AM394" i="1" s="1"/>
  <c r="V410" i="1"/>
  <c r="R424" i="1"/>
  <c r="AB424" i="1" s="1"/>
  <c r="T439" i="1"/>
  <c r="O456" i="1"/>
  <c r="Y456" i="1" s="1"/>
  <c r="AI456" i="1" s="1"/>
  <c r="P465" i="1"/>
  <c r="Z465" i="1" s="1"/>
  <c r="AJ465" i="1" s="1"/>
  <c r="Q474" i="1"/>
  <c r="Q483" i="1"/>
  <c r="W491" i="1"/>
  <c r="V500" i="1"/>
  <c r="V508" i="1"/>
  <c r="T515" i="1"/>
  <c r="P523" i="1"/>
  <c r="Z523" i="1" s="1"/>
  <c r="AJ523" i="1" s="1"/>
  <c r="R532" i="1"/>
  <c r="AB532" i="1" s="1"/>
  <c r="AL532" i="1" s="1"/>
  <c r="T539" i="1"/>
  <c r="AS539" i="1" s="1"/>
  <c r="T547" i="1"/>
  <c r="V554" i="1"/>
  <c r="V562" i="1"/>
  <c r="P571" i="1"/>
  <c r="Z571" i="1" s="1"/>
  <c r="AJ571" i="1" s="1"/>
  <c r="T579" i="1"/>
  <c r="R588" i="1"/>
  <c r="T597" i="1"/>
  <c r="AD597" i="1" s="1"/>
  <c r="AN597" i="1" s="1"/>
  <c r="T605" i="1"/>
  <c r="P613" i="1"/>
  <c r="Z613" i="1" s="1"/>
  <c r="AJ613" i="1" s="1"/>
  <c r="P621" i="1"/>
  <c r="Z621" i="1" s="1"/>
  <c r="AJ621" i="1" s="1"/>
  <c r="V628" i="1"/>
  <c r="V636" i="1"/>
  <c r="AF636" i="1" s="1"/>
  <c r="AP636" i="1" s="1"/>
  <c r="T647" i="1"/>
  <c r="AS647" i="1" s="1"/>
  <c r="AT647" i="1" s="1"/>
  <c r="T655" i="1"/>
  <c r="V662" i="1"/>
  <c r="R273" i="1"/>
  <c r="Q337" i="1"/>
  <c r="S373" i="1"/>
  <c r="AC373" i="1" s="1"/>
  <c r="AM373" i="1" s="1"/>
  <c r="W407" i="1"/>
  <c r="S433" i="1"/>
  <c r="AC433" i="1" s="1"/>
  <c r="AM433" i="1" s="1"/>
  <c r="Q456" i="1"/>
  <c r="R474" i="1"/>
  <c r="W494" i="1"/>
  <c r="O510" i="1"/>
  <c r="Y510" i="1" s="1"/>
  <c r="AI510" i="1" s="1"/>
  <c r="W522" i="1"/>
  <c r="O538" i="1"/>
  <c r="Y538" i="1" s="1"/>
  <c r="AI538" i="1" s="1"/>
  <c r="T70" i="1"/>
  <c r="AS70" i="1" s="1"/>
  <c r="W110" i="1"/>
  <c r="AS110" i="1" s="1"/>
  <c r="AX110" i="1" s="1"/>
  <c r="Q182" i="1"/>
  <c r="Q195" i="1"/>
  <c r="S113" i="1"/>
  <c r="AC113" i="1" s="1"/>
  <c r="AM113" i="1" s="1"/>
  <c r="O235" i="1"/>
  <c r="Y235" i="1" s="1"/>
  <c r="AI235" i="1" s="1"/>
  <c r="R163" i="1"/>
  <c r="U240" i="1"/>
  <c r="AE240" i="1" s="1"/>
  <c r="AO240" i="1" s="1"/>
  <c r="Q266" i="1"/>
  <c r="W291" i="1"/>
  <c r="AS291" i="1" s="1"/>
  <c r="Q140" i="1"/>
  <c r="V207" i="1"/>
  <c r="O217" i="1"/>
  <c r="Y217" i="1" s="1"/>
  <c r="AI217" i="1" s="1"/>
  <c r="P203" i="1"/>
  <c r="Z203" i="1" s="1"/>
  <c r="AJ203" i="1" s="1"/>
  <c r="S280" i="1"/>
  <c r="AC280" i="1" s="1"/>
  <c r="AM280" i="1" s="1"/>
  <c r="Q212" i="1"/>
  <c r="R310" i="1"/>
  <c r="W335" i="1"/>
  <c r="AG335" i="1" s="1"/>
  <c r="AQ335" i="1" s="1"/>
  <c r="T294" i="1"/>
  <c r="R330" i="1"/>
  <c r="P361" i="1"/>
  <c r="Z361" i="1" s="1"/>
  <c r="AJ361" i="1" s="1"/>
  <c r="P393" i="1"/>
  <c r="Z393" i="1" s="1"/>
  <c r="AJ393" i="1" s="1"/>
  <c r="P242" i="1"/>
  <c r="Z242" i="1" s="1"/>
  <c r="AJ242" i="1" s="1"/>
  <c r="P301" i="1"/>
  <c r="Z301" i="1" s="1"/>
  <c r="AJ301" i="1" s="1"/>
  <c r="O330" i="1"/>
  <c r="Y330" i="1" s="1"/>
  <c r="AI330" i="1" s="1"/>
  <c r="Q350" i="1"/>
  <c r="Q366" i="1"/>
  <c r="R383" i="1"/>
  <c r="O404" i="1"/>
  <c r="Y404" i="1" s="1"/>
  <c r="AI404" i="1" s="1"/>
  <c r="S416" i="1"/>
  <c r="AC416" i="1" s="1"/>
  <c r="AM416" i="1" s="1"/>
  <c r="Q429" i="1"/>
  <c r="O442" i="1"/>
  <c r="Y442" i="1" s="1"/>
  <c r="AI442" i="1" s="1"/>
  <c r="R158" i="1"/>
  <c r="R284" i="1"/>
  <c r="R325" i="1"/>
  <c r="V347" i="1"/>
  <c r="Q364" i="1"/>
  <c r="T384" i="1"/>
  <c r="AS384" i="1" s="1"/>
  <c r="AT384" i="1" s="1"/>
  <c r="AU384" i="1" s="1"/>
  <c r="AV384" i="1" s="1"/>
  <c r="AW384" i="1" s="1"/>
  <c r="T402" i="1"/>
  <c r="P418" i="1"/>
  <c r="Z418" i="1" s="1"/>
  <c r="AJ418" i="1" s="1"/>
  <c r="V439" i="1"/>
  <c r="R457" i="1"/>
  <c r="V471" i="1"/>
  <c r="P482" i="1"/>
  <c r="Z482" i="1" s="1"/>
  <c r="AJ482" i="1" s="1"/>
  <c r="V491" i="1"/>
  <c r="P289" i="1"/>
  <c r="Z289" i="1" s="1"/>
  <c r="AJ289" i="1" s="1"/>
  <c r="U336" i="1"/>
  <c r="AE336" i="1" s="1"/>
  <c r="AO336" i="1" s="1"/>
  <c r="S364" i="1"/>
  <c r="AC364" i="1" s="1"/>
  <c r="AM364" i="1" s="1"/>
  <c r="W387" i="1"/>
  <c r="O409" i="1"/>
  <c r="Y409" i="1" s="1"/>
  <c r="AI409" i="1" s="1"/>
  <c r="W425" i="1"/>
  <c r="S443" i="1"/>
  <c r="AC443" i="1" s="1"/>
  <c r="AM443" i="1" s="1"/>
  <c r="O458" i="1"/>
  <c r="Y458" i="1" s="1"/>
  <c r="AI458" i="1" s="1"/>
  <c r="Q469" i="1"/>
  <c r="O482" i="1"/>
  <c r="Y482" i="1" s="1"/>
  <c r="AI482" i="1" s="1"/>
  <c r="U492" i="1"/>
  <c r="AA492" i="1" s="1"/>
  <c r="Q500" i="1"/>
  <c r="U508" i="1"/>
  <c r="S517" i="1"/>
  <c r="AC517" i="1" s="1"/>
  <c r="AM517" i="1" s="1"/>
  <c r="W525" i="1"/>
  <c r="Q534" i="1"/>
  <c r="O543" i="1"/>
  <c r="Y543" i="1" s="1"/>
  <c r="AI543" i="1" s="1"/>
  <c r="W549" i="1"/>
  <c r="U88" i="1"/>
  <c r="AE88" i="1" s="1"/>
  <c r="AO88" i="1" s="1"/>
  <c r="T76" i="1"/>
  <c r="AS76" i="1" s="1"/>
  <c r="O100" i="1"/>
  <c r="Y100" i="1" s="1"/>
  <c r="AI100" i="1" s="1"/>
  <c r="R121" i="1"/>
  <c r="Q168" i="1"/>
  <c r="O197" i="1"/>
  <c r="Y197" i="1" s="1"/>
  <c r="AI197" i="1" s="1"/>
  <c r="R92" i="1"/>
  <c r="U124" i="1"/>
  <c r="W155" i="1"/>
  <c r="P162" i="1"/>
  <c r="Z162" i="1" s="1"/>
  <c r="AJ162" i="1" s="1"/>
  <c r="S139" i="1"/>
  <c r="AC139" i="1" s="1"/>
  <c r="AM139" i="1" s="1"/>
  <c r="R112" i="1"/>
  <c r="O161" i="1"/>
  <c r="Y161" i="1" s="1"/>
  <c r="AI161" i="1" s="1"/>
  <c r="R152" i="1"/>
  <c r="Q221" i="1"/>
  <c r="V198" i="1"/>
  <c r="S620" i="1"/>
  <c r="AC620" i="1" s="1"/>
  <c r="AM620" i="1" s="1"/>
  <c r="W132" i="1"/>
  <c r="O83" i="1"/>
  <c r="Y83" i="1" s="1"/>
  <c r="AI83" i="1" s="1"/>
  <c r="W208" i="1"/>
  <c r="U135" i="1"/>
  <c r="U204" i="1"/>
  <c r="O246" i="1"/>
  <c r="Y246" i="1" s="1"/>
  <c r="AI246" i="1" s="1"/>
  <c r="P139" i="1"/>
  <c r="Z139" i="1" s="1"/>
  <c r="AJ139" i="1" s="1"/>
  <c r="T207" i="1"/>
  <c r="O73" i="1"/>
  <c r="Y73" i="1" s="1"/>
  <c r="AI73" i="1" s="1"/>
  <c r="U131" i="1"/>
  <c r="AD131" i="1" s="1"/>
  <c r="AN131" i="1" s="1"/>
  <c r="Q179" i="1"/>
  <c r="U233" i="1"/>
  <c r="AE233" i="1" s="1"/>
  <c r="AO233" i="1" s="1"/>
  <c r="Q222" i="1"/>
  <c r="AA222" i="1" s="1"/>
  <c r="R147" i="1"/>
  <c r="U224" i="1"/>
  <c r="Q256" i="1"/>
  <c r="S281" i="1"/>
  <c r="AC281" i="1" s="1"/>
  <c r="AM281" i="1" s="1"/>
  <c r="O299" i="1"/>
  <c r="Y299" i="1" s="1"/>
  <c r="AI299" i="1" s="1"/>
  <c r="U118" i="1"/>
  <c r="R185" i="1"/>
  <c r="V164" i="1"/>
  <c r="T243" i="1"/>
  <c r="T217" i="1"/>
  <c r="V268" i="1"/>
  <c r="Q293" i="1"/>
  <c r="W217" i="1"/>
  <c r="AG217" i="1" s="1"/>
  <c r="AQ217" i="1" s="1"/>
  <c r="R282" i="1"/>
  <c r="U312" i="1"/>
  <c r="AE312" i="1" s="1"/>
  <c r="AO312" i="1" s="1"/>
  <c r="S331" i="1"/>
  <c r="AC331" i="1" s="1"/>
  <c r="AM331" i="1" s="1"/>
  <c r="O221" i="1"/>
  <c r="Y221" i="1" s="1"/>
  <c r="AI221" i="1" s="1"/>
  <c r="V271" i="1"/>
  <c r="P298" i="1"/>
  <c r="Z298" i="1" s="1"/>
  <c r="AJ298" i="1" s="1"/>
  <c r="T319" i="1"/>
  <c r="V334" i="1"/>
  <c r="T349" i="1"/>
  <c r="T365" i="1"/>
  <c r="P381" i="1"/>
  <c r="Z381" i="1" s="1"/>
  <c r="AJ381" i="1" s="1"/>
  <c r="U96" i="1"/>
  <c r="AA96" i="1" s="1"/>
  <c r="W128" i="1"/>
  <c r="U156" i="1"/>
  <c r="AE156" i="1" s="1"/>
  <c r="AO156" i="1" s="1"/>
  <c r="Q163" i="1"/>
  <c r="O140" i="1"/>
  <c r="Y140" i="1" s="1"/>
  <c r="AI140" i="1" s="1"/>
  <c r="Q189" i="1"/>
  <c r="U215" i="1"/>
  <c r="AE215" i="1" s="1"/>
  <c r="AO215" i="1" s="1"/>
  <c r="Q241" i="1"/>
  <c r="T185" i="1"/>
  <c r="AS185" i="1" s="1"/>
  <c r="AT185" i="1" s="1"/>
  <c r="P229" i="1"/>
  <c r="Z229" i="1" s="1"/>
  <c r="AJ229" i="1" s="1"/>
  <c r="Q259" i="1"/>
  <c r="W154" i="1"/>
  <c r="P197" i="1"/>
  <c r="Z197" i="1" s="1"/>
  <c r="AJ197" i="1" s="1"/>
  <c r="T222" i="1"/>
  <c r="AS222" i="1" s="1"/>
  <c r="AT222" i="1" s="1"/>
  <c r="Q242" i="1"/>
  <c r="O255" i="1"/>
  <c r="Y255" i="1" s="1"/>
  <c r="AI255" i="1" s="1"/>
  <c r="S267" i="1"/>
  <c r="AC267" i="1" s="1"/>
  <c r="AM267" i="1" s="1"/>
  <c r="Q280" i="1"/>
  <c r="O293" i="1"/>
  <c r="Y293" i="1" s="1"/>
  <c r="AI293" i="1" s="1"/>
  <c r="O305" i="1"/>
  <c r="Y305" i="1" s="1"/>
  <c r="AI305" i="1" s="1"/>
  <c r="R150" i="1"/>
  <c r="T196" i="1"/>
  <c r="P231" i="1"/>
  <c r="Z231" i="1" s="1"/>
  <c r="AJ231" i="1" s="1"/>
  <c r="V177" i="1"/>
  <c r="V232" i="1"/>
  <c r="P178" i="1"/>
  <c r="Z178" i="1" s="1"/>
  <c r="AJ178" i="1" s="1"/>
  <c r="R237" i="1"/>
  <c r="Q269" i="1"/>
  <c r="T289" i="1"/>
  <c r="V308" i="1"/>
  <c r="P260" i="1"/>
  <c r="Z260" i="1" s="1"/>
  <c r="AJ260" i="1" s="1"/>
  <c r="T286" i="1"/>
  <c r="R311" i="1"/>
  <c r="W323" i="1"/>
  <c r="U90" i="1"/>
  <c r="P256" i="1"/>
  <c r="Z256" i="1" s="1"/>
  <c r="AJ256" i="1" s="1"/>
  <c r="O286" i="1"/>
  <c r="Y286" i="1" s="1"/>
  <c r="AI286" i="1" s="1"/>
  <c r="R312" i="1"/>
  <c r="P329" i="1"/>
  <c r="Z329" i="1" s="1"/>
  <c r="AJ329" i="1" s="1"/>
  <c r="V346" i="1"/>
  <c r="R362" i="1"/>
  <c r="T379" i="1"/>
  <c r="V88" i="1"/>
  <c r="R157" i="1"/>
  <c r="S198" i="1"/>
  <c r="AC198" i="1" s="1"/>
  <c r="AM198" i="1" s="1"/>
  <c r="S124" i="1"/>
  <c r="AC124" i="1" s="1"/>
  <c r="AM124" i="1" s="1"/>
  <c r="V238" i="1"/>
  <c r="P181" i="1"/>
  <c r="Z181" i="1" s="1"/>
  <c r="AJ181" i="1" s="1"/>
  <c r="W235" i="1"/>
  <c r="AS235" i="1" s="1"/>
  <c r="AT235" i="1" s="1"/>
  <c r="S263" i="1"/>
  <c r="AC263" i="1" s="1"/>
  <c r="AM263" i="1" s="1"/>
  <c r="O289" i="1"/>
  <c r="Y289" i="1" s="1"/>
  <c r="AI289" i="1" s="1"/>
  <c r="P143" i="1"/>
  <c r="Z143" i="1" s="1"/>
  <c r="AJ143" i="1" s="1"/>
  <c r="T220" i="1"/>
  <c r="T228" i="1"/>
  <c r="Q240" i="1"/>
  <c r="W286" i="1"/>
  <c r="P261" i="1"/>
  <c r="Z261" i="1" s="1"/>
  <c r="AJ261" i="1" s="1"/>
  <c r="W311" i="1"/>
  <c r="T117" i="1"/>
  <c r="AS117" i="1" s="1"/>
  <c r="AT117" i="1" s="1"/>
  <c r="Q283" i="1"/>
  <c r="R324" i="1"/>
  <c r="P359" i="1"/>
  <c r="Z359" i="1" s="1"/>
  <c r="AJ359" i="1" s="1"/>
  <c r="T389" i="1"/>
  <c r="AD389" i="1" s="1"/>
  <c r="AN389" i="1" s="1"/>
  <c r="P202" i="1"/>
  <c r="Z202" i="1" s="1"/>
  <c r="AJ202" i="1" s="1"/>
  <c r="T292" i="1"/>
  <c r="AS292" i="1" s="1"/>
  <c r="AX292" i="1" s="1"/>
  <c r="Q325" i="1"/>
  <c r="O347" i="1"/>
  <c r="Y347" i="1" s="1"/>
  <c r="AI347" i="1" s="1"/>
  <c r="U364" i="1"/>
  <c r="S384" i="1"/>
  <c r="AC384" i="1" s="1"/>
  <c r="AM384" i="1" s="1"/>
  <c r="S401" i="1"/>
  <c r="AC401" i="1" s="1"/>
  <c r="AM401" i="1" s="1"/>
  <c r="O414" i="1"/>
  <c r="Y414" i="1" s="1"/>
  <c r="AI414" i="1" s="1"/>
  <c r="W426" i="1"/>
  <c r="U439" i="1"/>
  <c r="S452" i="1"/>
  <c r="AC452" i="1" s="1"/>
  <c r="AM452" i="1" s="1"/>
  <c r="V275" i="1"/>
  <c r="T320" i="1"/>
  <c r="T344" i="1"/>
  <c r="U361" i="1"/>
  <c r="AG361" i="1" s="1"/>
  <c r="AQ361" i="1" s="1"/>
  <c r="Q380" i="1"/>
  <c r="S398" i="1"/>
  <c r="AC398" i="1" s="1"/>
  <c r="AM398" i="1" s="1"/>
  <c r="R415" i="1"/>
  <c r="V429" i="1"/>
  <c r="T446" i="1"/>
  <c r="R461" i="1"/>
  <c r="AB461" i="1" s="1"/>
  <c r="AL461" i="1" s="1"/>
  <c r="V96" i="1"/>
  <c r="Q176" i="1"/>
  <c r="O194" i="1"/>
  <c r="Y194" i="1" s="1"/>
  <c r="AI194" i="1" s="1"/>
  <c r="W103" i="1"/>
  <c r="AS103" i="1" s="1"/>
  <c r="R231" i="1"/>
  <c r="P159" i="1"/>
  <c r="Z159" i="1" s="1"/>
  <c r="AJ159" i="1" s="1"/>
  <c r="O223" i="1"/>
  <c r="Y223" i="1" s="1"/>
  <c r="AI223" i="1" s="1"/>
  <c r="S255" i="1"/>
  <c r="AC255" i="1" s="1"/>
  <c r="AM255" i="1" s="1"/>
  <c r="U280" i="1"/>
  <c r="AE280" i="1" s="1"/>
  <c r="AO280" i="1" s="1"/>
  <c r="U308" i="1"/>
  <c r="AF308" i="1" s="1"/>
  <c r="AP308" i="1" s="1"/>
  <c r="P182" i="1"/>
  <c r="Z182" i="1" s="1"/>
  <c r="AJ182" i="1" s="1"/>
  <c r="W158" i="1"/>
  <c r="R195" i="1"/>
  <c r="P268" i="1"/>
  <c r="Z268" i="1" s="1"/>
  <c r="AJ268" i="1" s="1"/>
  <c r="U307" i="1"/>
  <c r="U281" i="1"/>
  <c r="S321" i="1"/>
  <c r="AC321" i="1" s="1"/>
  <c r="AM321" i="1" s="1"/>
  <c r="R243" i="1"/>
  <c r="V303" i="1"/>
  <c r="P337" i="1"/>
  <c r="Z337" i="1" s="1"/>
  <c r="AJ337" i="1" s="1"/>
  <c r="V356" i="1"/>
  <c r="V378" i="1"/>
  <c r="R396" i="1"/>
  <c r="Q236" i="1"/>
  <c r="Q281" i="1"/>
  <c r="O314" i="1"/>
  <c r="Y314" i="1" s="1"/>
  <c r="AI314" i="1" s="1"/>
  <c r="Q329" i="1"/>
  <c r="W342" i="1"/>
  <c r="AG342" i="1" s="1"/>
  <c r="AQ342" i="1" s="1"/>
  <c r="U356" i="1"/>
  <c r="AE356" i="1" s="1"/>
  <c r="AO356" i="1" s="1"/>
  <c r="S369" i="1"/>
  <c r="AC369" i="1" s="1"/>
  <c r="AM369" i="1" s="1"/>
  <c r="U380" i="1"/>
  <c r="Q397" i="1"/>
  <c r="W406" i="1"/>
  <c r="S414" i="1"/>
  <c r="AC414" i="1" s="1"/>
  <c r="AM414" i="1" s="1"/>
  <c r="O424" i="1"/>
  <c r="Y424" i="1" s="1"/>
  <c r="AI424" i="1" s="1"/>
  <c r="O432" i="1"/>
  <c r="Y432" i="1" s="1"/>
  <c r="AI432" i="1" s="1"/>
  <c r="O440" i="1"/>
  <c r="Y440" i="1" s="1"/>
  <c r="AI440" i="1" s="1"/>
  <c r="U449" i="1"/>
  <c r="AE449" i="1" s="1"/>
  <c r="AO449" i="1" s="1"/>
  <c r="V187" i="1"/>
  <c r="V265" i="1"/>
  <c r="T288" i="1"/>
  <c r="AS288" i="1" s="1"/>
  <c r="R313" i="1"/>
  <c r="T328" i="1"/>
  <c r="AS328" i="1" s="1"/>
  <c r="Q340" i="1"/>
  <c r="W348" i="1"/>
  <c r="AS348" i="1" s="1"/>
  <c r="R357" i="1"/>
  <c r="U369" i="1"/>
  <c r="AE369" i="1" s="1"/>
  <c r="AO369" i="1" s="1"/>
  <c r="U378" i="1"/>
  <c r="V387" i="1"/>
  <c r="AF387" i="1" s="1"/>
  <c r="AP387" i="1" s="1"/>
  <c r="W396" i="1"/>
  <c r="V405" i="1"/>
  <c r="AF405" i="1" s="1"/>
  <c r="AP405" i="1" s="1"/>
  <c r="V413" i="1"/>
  <c r="AF413" i="1" s="1"/>
  <c r="AP413" i="1" s="1"/>
  <c r="P424" i="1"/>
  <c r="Z424" i="1" s="1"/>
  <c r="AJ424" i="1" s="1"/>
  <c r="P432" i="1"/>
  <c r="Z432" i="1" s="1"/>
  <c r="AJ432" i="1" s="1"/>
  <c r="R439" i="1"/>
  <c r="T448" i="1"/>
  <c r="P456" i="1"/>
  <c r="Z456" i="1" s="1"/>
  <c r="AJ456" i="1" s="1"/>
  <c r="V463" i="1"/>
  <c r="R471" i="1"/>
  <c r="R479" i="1"/>
  <c r="T488" i="1"/>
  <c r="R255" i="1"/>
  <c r="P306" i="1"/>
  <c r="Z306" i="1" s="1"/>
  <c r="AJ306" i="1" s="1"/>
  <c r="Q335" i="1"/>
  <c r="U352" i="1"/>
  <c r="V369" i="1"/>
  <c r="W386" i="1"/>
  <c r="AS386" i="1" s="1"/>
  <c r="AT386" i="1" s="1"/>
  <c r="Q404" i="1"/>
  <c r="O417" i="1"/>
  <c r="Y417" i="1" s="1"/>
  <c r="AI417" i="1" s="1"/>
  <c r="W429" i="1"/>
  <c r="U442" i="1"/>
  <c r="AG442" i="1" s="1"/>
  <c r="AQ442" i="1" s="1"/>
  <c r="W454" i="1"/>
  <c r="AG454" i="1" s="1"/>
  <c r="AQ454" i="1" s="1"/>
  <c r="T465" i="1"/>
  <c r="U474" i="1"/>
  <c r="U483" i="1"/>
  <c r="S493" i="1"/>
  <c r="AC493" i="1" s="1"/>
  <c r="AM493" i="1" s="1"/>
  <c r="S499" i="1"/>
  <c r="AC499" i="1" s="1"/>
  <c r="AM499" i="1" s="1"/>
  <c r="W505" i="1"/>
  <c r="Q512" i="1"/>
  <c r="U518" i="1"/>
  <c r="AE518" i="1" s="1"/>
  <c r="AO518" i="1" s="1"/>
  <c r="O525" i="1"/>
  <c r="Y525" i="1" s="1"/>
  <c r="AI525" i="1" s="1"/>
  <c r="S531" i="1"/>
  <c r="AC531" i="1" s="1"/>
  <c r="AM531" i="1" s="1"/>
  <c r="W537" i="1"/>
  <c r="AG537" i="1" s="1"/>
  <c r="AQ537" i="1" s="1"/>
  <c r="Q544" i="1"/>
  <c r="AA544" i="1" s="1"/>
  <c r="AK544" i="1" s="1"/>
  <c r="U550" i="1"/>
  <c r="AE550" i="1" s="1"/>
  <c r="AO550" i="1" s="1"/>
  <c r="O557" i="1"/>
  <c r="Y557" i="1" s="1"/>
  <c r="AI557" i="1" s="1"/>
  <c r="S563" i="1"/>
  <c r="AC563" i="1" s="1"/>
  <c r="AM563" i="1" s="1"/>
  <c r="W569" i="1"/>
  <c r="Q576" i="1"/>
  <c r="U582" i="1"/>
  <c r="AE582" i="1" s="1"/>
  <c r="AO582" i="1" s="1"/>
  <c r="O589" i="1"/>
  <c r="Y589" i="1" s="1"/>
  <c r="AI589" i="1" s="1"/>
  <c r="S595" i="1"/>
  <c r="AC595" i="1" s="1"/>
  <c r="AM595" i="1" s="1"/>
  <c r="S601" i="1"/>
  <c r="AC601" i="1" s="1"/>
  <c r="AM601" i="1" s="1"/>
  <c r="W607" i="1"/>
  <c r="U263" i="1"/>
  <c r="AF263" i="1" s="1"/>
  <c r="AP263" i="1" s="1"/>
  <c r="P316" i="1"/>
  <c r="Z316" i="1" s="1"/>
  <c r="AJ316" i="1" s="1"/>
  <c r="P342" i="1"/>
  <c r="Z342" i="1" s="1"/>
  <c r="AJ342" i="1" s="1"/>
  <c r="S363" i="1"/>
  <c r="AC363" i="1" s="1"/>
  <c r="AM363" i="1" s="1"/>
  <c r="U381" i="1"/>
  <c r="U398" i="1"/>
  <c r="AE398" i="1" s="1"/>
  <c r="AO398" i="1" s="1"/>
  <c r="P413" i="1"/>
  <c r="Z413" i="1" s="1"/>
  <c r="AJ413" i="1" s="1"/>
  <c r="R428" i="1"/>
  <c r="T443" i="1"/>
  <c r="Q458" i="1"/>
  <c r="Q467" i="1"/>
  <c r="R476" i="1"/>
  <c r="S485" i="1"/>
  <c r="AC485" i="1" s="1"/>
  <c r="AM485" i="1" s="1"/>
  <c r="T493" i="1"/>
  <c r="AD493" i="1" s="1"/>
  <c r="AN493" i="1" s="1"/>
  <c r="V502" i="1"/>
  <c r="AF502" i="1" s="1"/>
  <c r="AP502" i="1" s="1"/>
  <c r="R510" i="1"/>
  <c r="T517" i="1"/>
  <c r="P525" i="1"/>
  <c r="Z525" i="1" s="1"/>
  <c r="AJ525" i="1" s="1"/>
  <c r="R534" i="1"/>
  <c r="T541" i="1"/>
  <c r="P549" i="1"/>
  <c r="Z549" i="1" s="1"/>
  <c r="AJ549" i="1" s="1"/>
  <c r="V556" i="1"/>
  <c r="R564" i="1"/>
  <c r="AB564" i="1" s="1"/>
  <c r="V572" i="1"/>
  <c r="T581" i="1"/>
  <c r="R590" i="1"/>
  <c r="T599" i="1"/>
  <c r="AS599" i="1" s="1"/>
  <c r="AX599" i="1" s="1"/>
  <c r="T607" i="1"/>
  <c r="P615" i="1"/>
  <c r="Z615" i="1" s="1"/>
  <c r="AJ615" i="1" s="1"/>
  <c r="V622" i="1"/>
  <c r="V630" i="1"/>
  <c r="R640" i="1"/>
  <c r="T649" i="1"/>
  <c r="P657" i="1"/>
  <c r="Z657" i="1" s="1"/>
  <c r="AJ657" i="1" s="1"/>
  <c r="V664" i="1"/>
  <c r="S290" i="1"/>
  <c r="AC290" i="1" s="1"/>
  <c r="AM290" i="1" s="1"/>
  <c r="V345" i="1"/>
  <c r="O382" i="1"/>
  <c r="Y382" i="1" s="1"/>
  <c r="AI382" i="1" s="1"/>
  <c r="Q414" i="1"/>
  <c r="AA414" i="1" s="1"/>
  <c r="W439" i="1"/>
  <c r="S460" i="1"/>
  <c r="AC460" i="1" s="1"/>
  <c r="AM460" i="1" s="1"/>
  <c r="U478" i="1"/>
  <c r="O498" i="1"/>
  <c r="Y498" i="1" s="1"/>
  <c r="AI498" i="1" s="1"/>
  <c r="Q513" i="1"/>
  <c r="O526" i="1"/>
  <c r="Y526" i="1" s="1"/>
  <c r="AI526" i="1" s="1"/>
  <c r="Q541" i="1"/>
  <c r="R89" i="1"/>
  <c r="U146" i="1"/>
  <c r="AE146" i="1" s="1"/>
  <c r="AO146" i="1" s="1"/>
  <c r="R118" i="1"/>
  <c r="O208" i="1"/>
  <c r="Y208" i="1" s="1"/>
  <c r="AI208" i="1" s="1"/>
  <c r="V160" i="1"/>
  <c r="O250" i="1"/>
  <c r="Y250" i="1" s="1"/>
  <c r="AI250" i="1" s="1"/>
  <c r="V201" i="1"/>
  <c r="S247" i="1"/>
  <c r="AC247" i="1" s="1"/>
  <c r="AM247" i="1" s="1"/>
  <c r="U272" i="1"/>
  <c r="AF272" i="1" s="1"/>
  <c r="AP272" i="1" s="1"/>
  <c r="Q298" i="1"/>
  <c r="Q135" i="1"/>
  <c r="V224" i="1"/>
  <c r="P234" i="1"/>
  <c r="Z234" i="1" s="1"/>
  <c r="AJ234" i="1" s="1"/>
  <c r="V228" i="1"/>
  <c r="T290" i="1"/>
  <c r="V254" i="1"/>
  <c r="O317" i="1"/>
  <c r="Y317" i="1" s="1"/>
  <c r="AI317" i="1" s="1"/>
  <c r="R251" i="1"/>
  <c r="R307" i="1"/>
  <c r="T337" i="1"/>
  <c r="AS337" i="1" s="1"/>
  <c r="AT337" i="1" s="1"/>
  <c r="AU337" i="1" s="1"/>
  <c r="V372" i="1"/>
  <c r="AF372" i="1" s="1"/>
  <c r="AP372" i="1" s="1"/>
  <c r="P397" i="1"/>
  <c r="Z397" i="1" s="1"/>
  <c r="AJ397" i="1" s="1"/>
  <c r="V262" i="1"/>
  <c r="U311" i="1"/>
  <c r="S336" i="1"/>
  <c r="AC336" i="1" s="1"/>
  <c r="AM336" i="1" s="1"/>
  <c r="O355" i="1"/>
  <c r="Y355" i="1" s="1"/>
  <c r="AI355" i="1" s="1"/>
  <c r="O370" i="1"/>
  <c r="Y370" i="1" s="1"/>
  <c r="AI370" i="1" s="1"/>
  <c r="P388" i="1"/>
  <c r="Z388" i="1" s="1"/>
  <c r="AJ388" i="1" s="1"/>
  <c r="Q407" i="1"/>
  <c r="U419" i="1"/>
  <c r="S432" i="1"/>
  <c r="AC432" i="1" s="1"/>
  <c r="AM432" i="1" s="1"/>
  <c r="Q445" i="1"/>
  <c r="V219" i="1"/>
  <c r="P297" i="1"/>
  <c r="Z297" i="1" s="1"/>
  <c r="AJ297" i="1" s="1"/>
  <c r="T332" i="1"/>
  <c r="O352" i="1"/>
  <c r="Y352" i="1" s="1"/>
  <c r="AI352" i="1" s="1"/>
  <c r="U370" i="1"/>
  <c r="AG370" i="1" s="1"/>
  <c r="AQ370" i="1" s="1"/>
  <c r="W388" i="1"/>
  <c r="T406" i="1"/>
  <c r="T424" i="1"/>
  <c r="V443" i="1"/>
  <c r="AF443" i="1" s="1"/>
  <c r="AP443" i="1" s="1"/>
  <c r="T460" i="1"/>
  <c r="P474" i="1"/>
  <c r="Z474" i="1" s="1"/>
  <c r="AJ474" i="1" s="1"/>
  <c r="T484" i="1"/>
  <c r="AS484" i="1" s="1"/>
  <c r="AT484" i="1" s="1"/>
  <c r="AU484" i="1" s="1"/>
  <c r="AV484" i="1" s="1"/>
  <c r="AW484" i="1" s="1"/>
  <c r="U210" i="1"/>
  <c r="P311" i="1"/>
  <c r="Z311" i="1" s="1"/>
  <c r="AJ311" i="1" s="1"/>
  <c r="O342" i="1"/>
  <c r="Y342" i="1" s="1"/>
  <c r="AI342" i="1" s="1"/>
  <c r="W370" i="1"/>
  <c r="Q394" i="1"/>
  <c r="O413" i="1"/>
  <c r="Y413" i="1" s="1"/>
  <c r="AI413" i="1" s="1"/>
  <c r="U430" i="1"/>
  <c r="AE430" i="1" s="1"/>
  <c r="AO430" i="1" s="1"/>
  <c r="S447" i="1"/>
  <c r="AC447" i="1" s="1"/>
  <c r="AM447" i="1" s="1"/>
  <c r="V460" i="1"/>
  <c r="O473" i="1"/>
  <c r="Y473" i="1" s="1"/>
  <c r="AI473" i="1" s="1"/>
  <c r="V484" i="1"/>
  <c r="Q494" i="1"/>
  <c r="Q502" i="1"/>
  <c r="O511" i="1"/>
  <c r="Y511" i="1" s="1"/>
  <c r="AI511" i="1" s="1"/>
  <c r="S519" i="1"/>
  <c r="AC519" i="1" s="1"/>
  <c r="AM519" i="1" s="1"/>
  <c r="W527" i="1"/>
  <c r="U536" i="1"/>
  <c r="AG536" i="1" s="1"/>
  <c r="AQ536" i="1" s="1"/>
  <c r="O545" i="1"/>
  <c r="Y545" i="1" s="1"/>
  <c r="AI545" i="1" s="1"/>
  <c r="S553" i="1"/>
  <c r="AC553" i="1" s="1"/>
  <c r="AM553" i="1" s="1"/>
  <c r="Q562" i="1"/>
  <c r="U570" i="1"/>
  <c r="AD570" i="1" s="1"/>
  <c r="AN570" i="1" s="1"/>
  <c r="O579" i="1"/>
  <c r="Y579" i="1" s="1"/>
  <c r="AI579" i="1" s="1"/>
  <c r="W587" i="1"/>
  <c r="Q596" i="1"/>
  <c r="U606" i="1"/>
  <c r="AD606" i="1" s="1"/>
  <c r="AN606" i="1" s="1"/>
  <c r="R269" i="1"/>
  <c r="T293" i="1"/>
  <c r="V561" i="1"/>
  <c r="S112" i="1"/>
  <c r="AC112" i="1" s="1"/>
  <c r="AM112" i="1" s="1"/>
  <c r="P149" i="1"/>
  <c r="Z149" i="1" s="1"/>
  <c r="AJ149" i="1" s="1"/>
  <c r="U120" i="1"/>
  <c r="AD120" i="1" s="1"/>
  <c r="AN120" i="1" s="1"/>
  <c r="W189" i="1"/>
  <c r="Q119" i="1"/>
  <c r="AA119" i="1" s="1"/>
  <c r="AK119" i="1" s="1"/>
  <c r="S192" i="1"/>
  <c r="AC192" i="1" s="1"/>
  <c r="AM192" i="1" s="1"/>
  <c r="T235" i="1"/>
  <c r="W118" i="1"/>
  <c r="AS118" i="1" s="1"/>
  <c r="AX118" i="1" s="1"/>
  <c r="W232" i="1"/>
  <c r="R223" i="1"/>
  <c r="V174" i="1"/>
  <c r="S125" i="1"/>
  <c r="AC125" i="1" s="1"/>
  <c r="AM125" i="1" s="1"/>
  <c r="Q205" i="1"/>
  <c r="AA205" i="1" s="1"/>
  <c r="AK205" i="1" s="1"/>
  <c r="U251" i="1"/>
  <c r="AE251" i="1" s="1"/>
  <c r="AO251" i="1" s="1"/>
  <c r="V241" i="1"/>
  <c r="W287" i="1"/>
  <c r="O103" i="1"/>
  <c r="Y103" i="1" s="1"/>
  <c r="AI103" i="1" s="1"/>
  <c r="T201" i="1"/>
  <c r="P246" i="1"/>
  <c r="Z246" i="1" s="1"/>
  <c r="AJ246" i="1" s="1"/>
  <c r="W302" i="1"/>
  <c r="AS302" i="1" s="1"/>
  <c r="AT302" i="1" s="1"/>
  <c r="P295" i="1"/>
  <c r="Z295" i="1" s="1"/>
  <c r="AJ295" i="1" s="1"/>
  <c r="Q336" i="1"/>
  <c r="V281" i="1"/>
  <c r="V324" i="1"/>
  <c r="T355" i="1"/>
  <c r="P387" i="1"/>
  <c r="Z387" i="1" s="1"/>
  <c r="AJ387" i="1" s="1"/>
  <c r="W116" i="1"/>
  <c r="W185" i="1"/>
  <c r="AG185" i="1" s="1"/>
  <c r="AQ185" i="1" s="1"/>
  <c r="O200" i="1"/>
  <c r="Y200" i="1" s="1"/>
  <c r="AI200" i="1" s="1"/>
  <c r="O137" i="1"/>
  <c r="Y137" i="1" s="1"/>
  <c r="AI137" i="1" s="1"/>
  <c r="Q243" i="1"/>
  <c r="T175" i="1"/>
  <c r="T230" i="1"/>
  <c r="AS230" i="1" s="1"/>
  <c r="AT230" i="1" s="1"/>
  <c r="AU230" i="1" s="1"/>
  <c r="W259" i="1"/>
  <c r="O285" i="1"/>
  <c r="Y285" i="1" s="1"/>
  <c r="AI285" i="1" s="1"/>
  <c r="W309" i="1"/>
  <c r="W209" i="1"/>
  <c r="AG209" i="1" s="1"/>
  <c r="AQ209" i="1" s="1"/>
  <c r="Q204" i="1"/>
  <c r="P206" i="1"/>
  <c r="Z206" i="1" s="1"/>
  <c r="AJ206" i="1" s="1"/>
  <c r="V276" i="1"/>
  <c r="R206" i="1"/>
  <c r="V295" i="1"/>
  <c r="U328" i="1"/>
  <c r="AE328" i="1" s="1"/>
  <c r="AO328" i="1" s="1"/>
  <c r="U269" i="1"/>
  <c r="AA269" i="1" s="1"/>
  <c r="R318" i="1"/>
  <c r="R352" i="1"/>
  <c r="T385" i="1"/>
  <c r="Q92" i="1"/>
  <c r="R186" i="1"/>
  <c r="W203" i="1"/>
  <c r="O273" i="1"/>
  <c r="Y273" i="1" s="1"/>
  <c r="AI273" i="1" s="1"/>
  <c r="P155" i="1"/>
  <c r="Z155" i="1" s="1"/>
  <c r="AJ155" i="1" s="1"/>
  <c r="R130" i="1"/>
  <c r="AB130" i="1" s="1"/>
  <c r="AL130" i="1" s="1"/>
  <c r="V301" i="1"/>
  <c r="O321" i="1"/>
  <c r="Y321" i="1" s="1"/>
  <c r="AI321" i="1" s="1"/>
  <c r="P303" i="1"/>
  <c r="Z303" i="1" s="1"/>
  <c r="AJ303" i="1" s="1"/>
  <c r="R370" i="1"/>
  <c r="T258" i="1"/>
  <c r="W334" i="1"/>
  <c r="Q373" i="1"/>
  <c r="S406" i="1"/>
  <c r="AC406" i="1" s="1"/>
  <c r="AM406" i="1" s="1"/>
  <c r="U431" i="1"/>
  <c r="AE431" i="1" s="1"/>
  <c r="AO431" i="1" s="1"/>
  <c r="Q208" i="1"/>
  <c r="P330" i="1"/>
  <c r="Z330" i="1" s="1"/>
  <c r="AJ330" i="1" s="1"/>
  <c r="O369" i="1"/>
  <c r="Y369" i="1" s="1"/>
  <c r="AI369" i="1" s="1"/>
  <c r="R405" i="1"/>
  <c r="AB405" i="1" s="1"/>
  <c r="T436" i="1"/>
  <c r="O76" i="1"/>
  <c r="Y76" i="1" s="1"/>
  <c r="AI76" i="1" s="1"/>
  <c r="P135" i="1"/>
  <c r="Z135" i="1" s="1"/>
  <c r="AJ135" i="1" s="1"/>
  <c r="T173" i="1"/>
  <c r="T191" i="1"/>
  <c r="U264" i="1"/>
  <c r="S152" i="1"/>
  <c r="AC152" i="1" s="1"/>
  <c r="AM152" i="1" s="1"/>
  <c r="W229" i="1"/>
  <c r="P283" i="1"/>
  <c r="Z283" i="1" s="1"/>
  <c r="AJ283" i="1" s="1"/>
  <c r="W300" i="1"/>
  <c r="P271" i="1"/>
  <c r="Z271" i="1" s="1"/>
  <c r="AJ271" i="1" s="1"/>
  <c r="P341" i="1"/>
  <c r="Z341" i="1" s="1"/>
  <c r="AJ341" i="1" s="1"/>
  <c r="V386" i="1"/>
  <c r="V248" i="1"/>
  <c r="Q317" i="1"/>
  <c r="AA317" i="1" s="1"/>
  <c r="AK317" i="1" s="1"/>
  <c r="U347" i="1"/>
  <c r="AE347" i="1" s="1"/>
  <c r="AO347" i="1" s="1"/>
  <c r="U371" i="1"/>
  <c r="R399" i="1"/>
  <c r="U417" i="1"/>
  <c r="U433" i="1"/>
  <c r="Q451" i="1"/>
  <c r="T271" i="1"/>
  <c r="AS271" i="1" s="1"/>
  <c r="AT271" i="1" s="1"/>
  <c r="R317" i="1"/>
  <c r="S342" i="1"/>
  <c r="AC342" i="1" s="1"/>
  <c r="AM342" i="1" s="1"/>
  <c r="O360" i="1"/>
  <c r="Y360" i="1" s="1"/>
  <c r="AI360" i="1" s="1"/>
  <c r="W380" i="1"/>
  <c r="AG380" i="1" s="1"/>
  <c r="AQ380" i="1" s="1"/>
  <c r="S399" i="1"/>
  <c r="AC399" i="1" s="1"/>
  <c r="AM399" i="1" s="1"/>
  <c r="R417" i="1"/>
  <c r="V433" i="1"/>
  <c r="T450" i="1"/>
  <c r="V465" i="1"/>
  <c r="R481" i="1"/>
  <c r="P269" i="1"/>
  <c r="Z269" i="1" s="1"/>
  <c r="AJ269" i="1" s="1"/>
  <c r="W339" i="1"/>
  <c r="O375" i="1"/>
  <c r="Y375" i="1" s="1"/>
  <c r="AI375" i="1" s="1"/>
  <c r="S407" i="1"/>
  <c r="AC407" i="1" s="1"/>
  <c r="AM407" i="1" s="1"/>
  <c r="O433" i="1"/>
  <c r="Y433" i="1" s="1"/>
  <c r="AI433" i="1" s="1"/>
  <c r="O457" i="1"/>
  <c r="Y457" i="1" s="1"/>
  <c r="AI457" i="1" s="1"/>
  <c r="V476" i="1"/>
  <c r="AF476" i="1" s="1"/>
  <c r="AP476" i="1" s="1"/>
  <c r="O495" i="1"/>
  <c r="Y495" i="1" s="1"/>
  <c r="AI495" i="1" s="1"/>
  <c r="S507" i="1"/>
  <c r="AC507" i="1" s="1"/>
  <c r="AM507" i="1" s="1"/>
  <c r="Q520" i="1"/>
  <c r="AA520" i="1" s="1"/>
  <c r="AK520" i="1" s="1"/>
  <c r="O533" i="1"/>
  <c r="Y533" i="1" s="1"/>
  <c r="AI533" i="1" s="1"/>
  <c r="W545" i="1"/>
  <c r="U558" i="1"/>
  <c r="AE558" i="1" s="1"/>
  <c r="AO558" i="1" s="1"/>
  <c r="S571" i="1"/>
  <c r="AC571" i="1" s="1"/>
  <c r="AM571" i="1" s="1"/>
  <c r="Q584" i="1"/>
  <c r="O597" i="1"/>
  <c r="Y597" i="1" s="1"/>
  <c r="AI597" i="1" s="1"/>
  <c r="S609" i="1"/>
  <c r="AC609" i="1" s="1"/>
  <c r="AM609" i="1" s="1"/>
  <c r="P324" i="1"/>
  <c r="Z324" i="1" s="1"/>
  <c r="AJ324" i="1" s="1"/>
  <c r="V367" i="1"/>
  <c r="V402" i="1"/>
  <c r="R432" i="1"/>
  <c r="R460" i="1"/>
  <c r="O479" i="1"/>
  <c r="Y479" i="1" s="1"/>
  <c r="AI479" i="1" s="1"/>
  <c r="P495" i="1"/>
  <c r="Z495" i="1" s="1"/>
  <c r="AJ495" i="1" s="1"/>
  <c r="R512" i="1"/>
  <c r="V528" i="1"/>
  <c r="AF528" i="1" s="1"/>
  <c r="AP528" i="1" s="1"/>
  <c r="T543" i="1"/>
  <c r="V558" i="1"/>
  <c r="V574" i="1"/>
  <c r="R592" i="1"/>
  <c r="P609" i="1"/>
  <c r="Z609" i="1" s="1"/>
  <c r="AJ609" i="1" s="1"/>
  <c r="V624" i="1"/>
  <c r="R642" i="1"/>
  <c r="P659" i="1"/>
  <c r="Z659" i="1" s="1"/>
  <c r="AJ659" i="1" s="1"/>
  <c r="O312" i="1"/>
  <c r="Y312" i="1" s="1"/>
  <c r="AI312" i="1" s="1"/>
  <c r="T390" i="1"/>
  <c r="Q446" i="1"/>
  <c r="W482" i="1"/>
  <c r="S516" i="1"/>
  <c r="AC516" i="1" s="1"/>
  <c r="AM516" i="1" s="1"/>
  <c r="S544" i="1"/>
  <c r="AC544" i="1" s="1"/>
  <c r="AM544" i="1" s="1"/>
  <c r="Q172" i="1"/>
  <c r="S220" i="1"/>
  <c r="AC220" i="1" s="1"/>
  <c r="AM220" i="1" s="1"/>
  <c r="S262" i="1"/>
  <c r="AC262" i="1" s="1"/>
  <c r="AM262" i="1" s="1"/>
  <c r="W253" i="1"/>
  <c r="W303" i="1"/>
  <c r="V240" i="1"/>
  <c r="V259" i="1"/>
  <c r="R272" i="1"/>
  <c r="T267" i="1"/>
  <c r="T345" i="1"/>
  <c r="AS345" i="1" s="1"/>
  <c r="R400" i="1"/>
  <c r="O318" i="1"/>
  <c r="Y318" i="1" s="1"/>
  <c r="AI318" i="1" s="1"/>
  <c r="R359" i="1"/>
  <c r="S392" i="1"/>
  <c r="AC392" i="1" s="1"/>
  <c r="AM392" i="1" s="1"/>
  <c r="W422" i="1"/>
  <c r="S448" i="1"/>
  <c r="AC448" i="1" s="1"/>
  <c r="AM448" i="1" s="1"/>
  <c r="V310" i="1"/>
  <c r="V355" i="1"/>
  <c r="U393" i="1"/>
  <c r="T428" i="1"/>
  <c r="P464" i="1"/>
  <c r="Z464" i="1" s="1"/>
  <c r="AJ464" i="1" s="1"/>
  <c r="P486" i="1"/>
  <c r="Z486" i="1" s="1"/>
  <c r="AJ486" i="1" s="1"/>
  <c r="Q319" i="1"/>
  <c r="Q377" i="1"/>
  <c r="W417" i="1"/>
  <c r="S451" i="1"/>
  <c r="AC451" i="1" s="1"/>
  <c r="AM451" i="1" s="1"/>
  <c r="U475" i="1"/>
  <c r="W495" i="1"/>
  <c r="O513" i="1"/>
  <c r="Y513" i="1" s="1"/>
  <c r="AI513" i="1" s="1"/>
  <c r="Q530" i="1"/>
  <c r="AA530" i="1" s="1"/>
  <c r="O547" i="1"/>
  <c r="Y547" i="1" s="1"/>
  <c r="AI547" i="1" s="1"/>
  <c r="W557" i="1"/>
  <c r="U568" i="1"/>
  <c r="AE568" i="1" s="1"/>
  <c r="AO568" i="1" s="1"/>
  <c r="S581" i="1"/>
  <c r="AC581" i="1" s="1"/>
  <c r="AM581" i="1" s="1"/>
  <c r="W591" i="1"/>
  <c r="AG591" i="1" s="1"/>
  <c r="AQ591" i="1" s="1"/>
  <c r="Q604" i="1"/>
  <c r="Q289" i="1"/>
  <c r="Q344" i="1"/>
  <c r="U366" i="1"/>
  <c r="AG366" i="1" s="1"/>
  <c r="AQ366" i="1" s="1"/>
  <c r="T396" i="1"/>
  <c r="AS396" i="1" s="1"/>
  <c r="AT396" i="1" s="1"/>
  <c r="AU396" i="1" s="1"/>
  <c r="AV396" i="1" s="1"/>
  <c r="AW396" i="1" s="1"/>
  <c r="R416" i="1"/>
  <c r="P437" i="1"/>
  <c r="Z437" i="1" s="1"/>
  <c r="AJ437" i="1" s="1"/>
  <c r="W459" i="1"/>
  <c r="U472" i="1"/>
  <c r="AE472" i="1" s="1"/>
  <c r="AO472" i="1" s="1"/>
  <c r="R484" i="1"/>
  <c r="T497" i="1"/>
  <c r="AS497" i="1" s="1"/>
  <c r="AT497" i="1" s="1"/>
  <c r="T507" i="1"/>
  <c r="AS507" i="1" s="1"/>
  <c r="R522" i="1"/>
  <c r="V534" i="1"/>
  <c r="V544" i="1"/>
  <c r="U109" i="1"/>
  <c r="U194" i="1"/>
  <c r="AE194" i="1" s="1"/>
  <c r="AO194" i="1" s="1"/>
  <c r="O216" i="1"/>
  <c r="Y216" i="1" s="1"/>
  <c r="AI216" i="1" s="1"/>
  <c r="S217" i="1"/>
  <c r="AC217" i="1" s="1"/>
  <c r="AM217" i="1" s="1"/>
  <c r="R176" i="1"/>
  <c r="AB176" i="1" s="1"/>
  <c r="Q244" i="1"/>
  <c r="W277" i="1"/>
  <c r="W83" i="1"/>
  <c r="R217" i="1"/>
  <c r="V246" i="1"/>
  <c r="P275" i="1"/>
  <c r="Z275" i="1" s="1"/>
  <c r="AJ275" i="1" s="1"/>
  <c r="T240" i="1"/>
  <c r="AS240" i="1" s="1"/>
  <c r="U316" i="1"/>
  <c r="Q273" i="1"/>
  <c r="P335" i="1"/>
  <c r="Z335" i="1" s="1"/>
  <c r="AJ335" i="1" s="1"/>
  <c r="R372" i="1"/>
  <c r="AB372" i="1" s="1"/>
  <c r="AL372" i="1" s="1"/>
  <c r="V400" i="1"/>
  <c r="T295" i="1"/>
  <c r="V341" i="1"/>
  <c r="P364" i="1"/>
  <c r="Z364" i="1" s="1"/>
  <c r="AJ364" i="1" s="1"/>
  <c r="S393" i="1"/>
  <c r="AC393" i="1" s="1"/>
  <c r="AM393" i="1" s="1"/>
  <c r="O412" i="1"/>
  <c r="Y412" i="1" s="1"/>
  <c r="AI412" i="1" s="1"/>
  <c r="O428" i="1"/>
  <c r="Y428" i="1" s="1"/>
  <c r="AI428" i="1" s="1"/>
  <c r="U445" i="1"/>
  <c r="AA445" i="1" s="1"/>
  <c r="Q267" i="1"/>
  <c r="R333" i="1"/>
  <c r="W357" i="1"/>
  <c r="O384" i="1"/>
  <c r="Y384" i="1" s="1"/>
  <c r="AI384" i="1" s="1"/>
  <c r="P408" i="1"/>
  <c r="Z408" i="1" s="1"/>
  <c r="AJ408" i="1" s="1"/>
  <c r="T430" i="1"/>
  <c r="V447" i="1"/>
  <c r="T472" i="1"/>
  <c r="V485" i="1"/>
  <c r="S300" i="1"/>
  <c r="AC300" i="1" s="1"/>
  <c r="AM300" i="1" s="1"/>
  <c r="Q346" i="1"/>
  <c r="Q378" i="1"/>
  <c r="U406" i="1"/>
  <c r="AG406" i="1" s="1"/>
  <c r="AQ406" i="1" s="1"/>
  <c r="O429" i="1"/>
  <c r="Y429" i="1" s="1"/>
  <c r="AI429" i="1" s="1"/>
  <c r="O453" i="1"/>
  <c r="Y453" i="1" s="1"/>
  <c r="AI453" i="1" s="1"/>
  <c r="Q468" i="1"/>
  <c r="Q484" i="1"/>
  <c r="O499" i="1"/>
  <c r="Y499" i="1" s="1"/>
  <c r="AI499" i="1" s="1"/>
  <c r="Q510" i="1"/>
  <c r="Q522" i="1"/>
  <c r="AA522" i="1" s="1"/>
  <c r="S533" i="1"/>
  <c r="AC533" i="1" s="1"/>
  <c r="AM533" i="1" s="1"/>
  <c r="U544" i="1"/>
  <c r="AE544" i="1" s="1"/>
  <c r="AO544" i="1" s="1"/>
  <c r="Q556" i="1"/>
  <c r="S567" i="1"/>
  <c r="AC567" i="1" s="1"/>
  <c r="AM567" i="1" s="1"/>
  <c r="U578" i="1"/>
  <c r="Q590" i="1"/>
  <c r="S603" i="1"/>
  <c r="AC603" i="1" s="1"/>
  <c r="AM603" i="1" s="1"/>
  <c r="S266" i="1"/>
  <c r="AC266" i="1" s="1"/>
  <c r="AM266" i="1" s="1"/>
  <c r="R345" i="1"/>
  <c r="Q376" i="1"/>
  <c r="P405" i="1"/>
  <c r="Z405" i="1" s="1"/>
  <c r="AJ405" i="1" s="1"/>
  <c r="V438" i="1"/>
  <c r="U457" i="1"/>
  <c r="U473" i="1"/>
  <c r="AE473" i="1" s="1"/>
  <c r="AO473" i="1" s="1"/>
  <c r="P489" i="1"/>
  <c r="Z489" i="1" s="1"/>
  <c r="AJ489" i="1" s="1"/>
  <c r="P503" i="1"/>
  <c r="Z503" i="1" s="1"/>
  <c r="AJ503" i="1" s="1"/>
  <c r="P515" i="1"/>
  <c r="Z515" i="1" s="1"/>
  <c r="AJ515" i="1" s="1"/>
  <c r="T531" i="1"/>
  <c r="R544" i="1"/>
  <c r="R560" i="1"/>
  <c r="T569" i="1"/>
  <c r="AS569" i="1" s="1"/>
  <c r="AT569" i="1" s="1"/>
  <c r="P579" i="1"/>
  <c r="Z579" i="1" s="1"/>
  <c r="AJ579" i="1" s="1"/>
  <c r="V590" i="1"/>
  <c r="R600" i="1"/>
  <c r="AB600" i="1" s="1"/>
  <c r="R610" i="1"/>
  <c r="AB610" i="1" s="1"/>
  <c r="AL610" i="1" s="1"/>
  <c r="V620" i="1"/>
  <c r="P631" i="1"/>
  <c r="Z631" i="1" s="1"/>
  <c r="AJ631" i="1" s="1"/>
  <c r="P641" i="1"/>
  <c r="Z641" i="1" s="1"/>
  <c r="AJ641" i="1" s="1"/>
  <c r="P653" i="1"/>
  <c r="Z653" i="1" s="1"/>
  <c r="AJ653" i="1" s="1"/>
  <c r="P663" i="1"/>
  <c r="Z663" i="1" s="1"/>
  <c r="AJ663" i="1" s="1"/>
  <c r="U321" i="1"/>
  <c r="AE321" i="1" s="1"/>
  <c r="AO321" i="1" s="1"/>
  <c r="U375" i="1"/>
  <c r="AF375" i="1" s="1"/>
  <c r="AP375" i="1" s="1"/>
  <c r="S417" i="1"/>
  <c r="AC417" i="1" s="1"/>
  <c r="AM417" i="1" s="1"/>
  <c r="O451" i="1"/>
  <c r="Y451" i="1" s="1"/>
  <c r="AI451" i="1" s="1"/>
  <c r="S475" i="1"/>
  <c r="AC475" i="1" s="1"/>
  <c r="AM475" i="1" s="1"/>
  <c r="S496" i="1"/>
  <c r="AC496" i="1" s="1"/>
  <c r="AM496" i="1" s="1"/>
  <c r="S512" i="1"/>
  <c r="AC512" i="1" s="1"/>
  <c r="AM512" i="1" s="1"/>
  <c r="O530" i="1"/>
  <c r="Y530" i="1" s="1"/>
  <c r="AI530" i="1" s="1"/>
  <c r="O546" i="1"/>
  <c r="Y546" i="1" s="1"/>
  <c r="AI546" i="1" s="1"/>
  <c r="W558" i="1"/>
  <c r="U571" i="1"/>
  <c r="S584" i="1"/>
  <c r="AC584" i="1" s="1"/>
  <c r="AM584" i="1" s="1"/>
  <c r="S596" i="1"/>
  <c r="AC596" i="1" s="1"/>
  <c r="AM596" i="1" s="1"/>
  <c r="Q609" i="1"/>
  <c r="S618" i="1"/>
  <c r="AC618" i="1" s="1"/>
  <c r="AM618" i="1" s="1"/>
  <c r="O628" i="1"/>
  <c r="Y628" i="1" s="1"/>
  <c r="AI628" i="1" s="1"/>
  <c r="O637" i="1"/>
  <c r="Y637" i="1" s="1"/>
  <c r="AI637" i="1" s="1"/>
  <c r="U645" i="1"/>
  <c r="U654" i="1"/>
  <c r="AF654" i="1" s="1"/>
  <c r="AP654" i="1" s="1"/>
  <c r="V663" i="1"/>
  <c r="V307" i="1"/>
  <c r="P350" i="1"/>
  <c r="Z350" i="1" s="1"/>
  <c r="AJ350" i="1" s="1"/>
  <c r="S386" i="1"/>
  <c r="AC386" i="1" s="1"/>
  <c r="AM386" i="1" s="1"/>
  <c r="V420" i="1"/>
  <c r="T449" i="1"/>
  <c r="P469" i="1"/>
  <c r="Z469" i="1" s="1"/>
  <c r="AJ469" i="1" s="1"/>
  <c r="Q487" i="1"/>
  <c r="P502" i="1"/>
  <c r="Z502" i="1" s="1"/>
  <c r="AJ502" i="1" s="1"/>
  <c r="R521" i="1"/>
  <c r="R537" i="1"/>
  <c r="V551" i="1"/>
  <c r="AF551" i="1" s="1"/>
  <c r="AP551" i="1" s="1"/>
  <c r="P570" i="1"/>
  <c r="Z570" i="1" s="1"/>
  <c r="AJ570" i="1" s="1"/>
  <c r="P586" i="1"/>
  <c r="Z586" i="1" s="1"/>
  <c r="AJ586" i="1" s="1"/>
  <c r="R601" i="1"/>
  <c r="V613" i="1"/>
  <c r="W622" i="1"/>
  <c r="W631" i="1"/>
  <c r="S641" i="1"/>
  <c r="AC641" i="1" s="1"/>
  <c r="AM641" i="1" s="1"/>
  <c r="T650" i="1"/>
  <c r="U659" i="1"/>
  <c r="T270" i="1"/>
  <c r="AS270" i="1" s="1"/>
  <c r="AT270" i="1" s="1"/>
  <c r="V393" i="1"/>
  <c r="O447" i="1"/>
  <c r="Y447" i="1" s="1"/>
  <c r="AI447" i="1" s="1"/>
  <c r="T485" i="1"/>
  <c r="S514" i="1"/>
  <c r="AC514" i="1" s="1"/>
  <c r="AM514" i="1" s="1"/>
  <c r="O540" i="1"/>
  <c r="Y540" i="1" s="1"/>
  <c r="AI540" i="1" s="1"/>
  <c r="O564" i="1"/>
  <c r="Y564" i="1" s="1"/>
  <c r="AI564" i="1" s="1"/>
  <c r="U589" i="1"/>
  <c r="R613" i="1"/>
  <c r="S631" i="1"/>
  <c r="AC631" i="1" s="1"/>
  <c r="AM631" i="1" s="1"/>
  <c r="U649" i="1"/>
  <c r="AE649" i="1" s="1"/>
  <c r="AO649" i="1" s="1"/>
  <c r="U666" i="1"/>
  <c r="V361" i="1"/>
  <c r="U432" i="1"/>
  <c r="AE432" i="1" s="1"/>
  <c r="AO432" i="1" s="1"/>
  <c r="W473" i="1"/>
  <c r="AG473" i="1" s="1"/>
  <c r="AQ473" i="1" s="1"/>
  <c r="U505" i="1"/>
  <c r="AG505" i="1" s="1"/>
  <c r="AQ505" i="1" s="1"/>
  <c r="U529" i="1"/>
  <c r="AE529" i="1" s="1"/>
  <c r="AO529" i="1" s="1"/>
  <c r="Q555" i="1"/>
  <c r="W580" i="1"/>
  <c r="AG580" i="1" s="1"/>
  <c r="AQ580" i="1" s="1"/>
  <c r="U609" i="1"/>
  <c r="U626" i="1"/>
  <c r="V643" i="1"/>
  <c r="O665" i="1"/>
  <c r="Y665" i="1" s="1"/>
  <c r="AI665" i="1" s="1"/>
  <c r="T421" i="1"/>
  <c r="T498" i="1"/>
  <c r="AD498" i="1" s="1"/>
  <c r="AN498" i="1" s="1"/>
  <c r="T562" i="1"/>
  <c r="AS562" i="1" s="1"/>
  <c r="T614" i="1"/>
  <c r="AD614" i="1" s="1"/>
  <c r="AN614" i="1" s="1"/>
  <c r="W650" i="1"/>
  <c r="T405" i="1"/>
  <c r="V525" i="1"/>
  <c r="T586" i="1"/>
  <c r="AD586" i="1" s="1"/>
  <c r="AN586" i="1" s="1"/>
  <c r="S645" i="1"/>
  <c r="AC645" i="1" s="1"/>
  <c r="AM645" i="1" s="1"/>
  <c r="V657" i="1"/>
  <c r="T566" i="1"/>
  <c r="AD566" i="1" s="1"/>
  <c r="AN566" i="1" s="1"/>
  <c r="S387" i="1"/>
  <c r="AC387" i="1" s="1"/>
  <c r="AM387" i="1" s="1"/>
  <c r="V625" i="1"/>
  <c r="P512" i="1"/>
  <c r="Z512" i="1" s="1"/>
  <c r="AJ512" i="1" s="1"/>
  <c r="V287" i="1"/>
  <c r="V130" i="1"/>
  <c r="AF130" i="1" s="1"/>
  <c r="AP130" i="1" s="1"/>
  <c r="Q159" i="1"/>
  <c r="U239" i="1"/>
  <c r="AE239" i="1" s="1"/>
  <c r="AO239" i="1" s="1"/>
  <c r="W244" i="1"/>
  <c r="T214" i="1"/>
  <c r="W255" i="1"/>
  <c r="O297" i="1"/>
  <c r="Y297" i="1" s="1"/>
  <c r="AI297" i="1" s="1"/>
  <c r="R177" i="1"/>
  <c r="V181" i="1"/>
  <c r="AF181" i="1" s="1"/>
  <c r="AP181" i="1" s="1"/>
  <c r="S227" i="1"/>
  <c r="AC227" i="1" s="1"/>
  <c r="AM227" i="1" s="1"/>
  <c r="S304" i="1"/>
  <c r="AC304" i="1" s="1"/>
  <c r="AM304" i="1" s="1"/>
  <c r="W290" i="1"/>
  <c r="S335" i="1"/>
  <c r="AC335" i="1" s="1"/>
  <c r="AM335" i="1" s="1"/>
  <c r="V312" i="1"/>
  <c r="P349" i="1"/>
  <c r="Z349" i="1" s="1"/>
  <c r="AJ349" i="1" s="1"/>
  <c r="V392" i="1"/>
  <c r="AF392" i="1" s="1"/>
  <c r="AP392" i="1" s="1"/>
  <c r="V282" i="1"/>
  <c r="AF282" i="1" s="1"/>
  <c r="AP282" i="1" s="1"/>
  <c r="U327" i="1"/>
  <c r="U355" i="1"/>
  <c r="AE355" i="1" s="1"/>
  <c r="AO355" i="1" s="1"/>
  <c r="V381" i="1"/>
  <c r="S404" i="1"/>
  <c r="AC404" i="1" s="1"/>
  <c r="AM404" i="1" s="1"/>
  <c r="W424" i="1"/>
  <c r="S442" i="1"/>
  <c r="AC442" i="1" s="1"/>
  <c r="AM442" i="1" s="1"/>
  <c r="V245" i="1"/>
  <c r="V315" i="1"/>
  <c r="S358" i="1"/>
  <c r="AC358" i="1" s="1"/>
  <c r="AM358" i="1" s="1"/>
  <c r="Q379" i="1"/>
  <c r="P404" i="1"/>
  <c r="Z404" i="1" s="1"/>
  <c r="AJ404" i="1" s="1"/>
  <c r="T426" i="1"/>
  <c r="AS426" i="1" s="1"/>
  <c r="AT426" i="1" s="1"/>
  <c r="P446" i="1"/>
  <c r="Z446" i="1" s="1"/>
  <c r="AJ446" i="1" s="1"/>
  <c r="R463" i="1"/>
  <c r="V477" i="1"/>
  <c r="P490" i="1"/>
  <c r="Z490" i="1" s="1"/>
  <c r="AJ490" i="1" s="1"/>
  <c r="Q303" i="1"/>
  <c r="W355" i="1"/>
  <c r="R395" i="1"/>
  <c r="S419" i="1"/>
  <c r="AC419" i="1" s="1"/>
  <c r="AM419" i="1" s="1"/>
  <c r="W441" i="1"/>
  <c r="Q461" i="1"/>
  <c r="Q477" i="1"/>
  <c r="AA477" i="1" s="1"/>
  <c r="AK477" i="1" s="1"/>
  <c r="U491" i="1"/>
  <c r="O503" i="1"/>
  <c r="Y503" i="1" s="1"/>
  <c r="AI503" i="1" s="1"/>
  <c r="Q514" i="1"/>
  <c r="S525" i="1"/>
  <c r="AC525" i="1" s="1"/>
  <c r="AM525" i="1" s="1"/>
  <c r="O537" i="1"/>
  <c r="Y537" i="1" s="1"/>
  <c r="AI537" i="1" s="1"/>
  <c r="Q548" i="1"/>
  <c r="S559" i="1"/>
  <c r="AC559" i="1" s="1"/>
  <c r="AM559" i="1" s="1"/>
  <c r="O571" i="1"/>
  <c r="Y571" i="1" s="1"/>
  <c r="AI571" i="1" s="1"/>
  <c r="Q582" i="1"/>
  <c r="S593" i="1"/>
  <c r="AC593" i="1" s="1"/>
  <c r="AM593" i="1" s="1"/>
  <c r="W603" i="1"/>
  <c r="AS603" i="1" s="1"/>
  <c r="P272" i="1"/>
  <c r="Z272" i="1" s="1"/>
  <c r="AJ272" i="1" s="1"/>
  <c r="O340" i="1"/>
  <c r="Y340" i="1" s="1"/>
  <c r="AI340" i="1" s="1"/>
  <c r="W369" i="1"/>
  <c r="W400" i="1"/>
  <c r="T427" i="1"/>
  <c r="AS427" i="1" s="1"/>
  <c r="AT427" i="1" s="1"/>
  <c r="AU427" i="1" s="1"/>
  <c r="V458" i="1"/>
  <c r="V474" i="1"/>
  <c r="V490" i="1"/>
  <c r="T503" i="1"/>
  <c r="P519" i="1"/>
  <c r="Z519" i="1" s="1"/>
  <c r="AJ519" i="1" s="1"/>
  <c r="P535" i="1"/>
  <c r="Z535" i="1" s="1"/>
  <c r="AJ535" i="1" s="1"/>
  <c r="R548" i="1"/>
  <c r="R558" i="1"/>
  <c r="AB558" i="1" s="1"/>
  <c r="AL558" i="1" s="1"/>
  <c r="R570" i="1"/>
  <c r="AU570" i="1" s="1"/>
  <c r="AV570" i="1" s="1"/>
  <c r="AW570" i="1" s="1"/>
  <c r="V586" i="1"/>
  <c r="P595" i="1"/>
  <c r="Z595" i="1" s="1"/>
  <c r="AJ595" i="1" s="1"/>
  <c r="R606" i="1"/>
  <c r="R616" i="1"/>
  <c r="R626" i="1"/>
  <c r="P637" i="1"/>
  <c r="Z637" i="1" s="1"/>
  <c r="AJ637" i="1" s="1"/>
  <c r="R646" i="1"/>
  <c r="AB646" i="1" s="1"/>
  <c r="V656" i="1"/>
  <c r="R666" i="1"/>
  <c r="S341" i="1"/>
  <c r="AC341" i="1" s="1"/>
  <c r="AM341" i="1" s="1"/>
  <c r="S388" i="1"/>
  <c r="AC388" i="1" s="1"/>
  <c r="AM388" i="1" s="1"/>
  <c r="U428" i="1"/>
  <c r="R458" i="1"/>
  <c r="W481" i="1"/>
  <c r="Q501" i="1"/>
  <c r="O518" i="1"/>
  <c r="Y518" i="1" s="1"/>
  <c r="AI518" i="1" s="1"/>
  <c r="O534" i="1"/>
  <c r="Y534" i="1" s="1"/>
  <c r="AI534" i="1" s="1"/>
  <c r="Q553" i="1"/>
  <c r="O566" i="1"/>
  <c r="Y566" i="1" s="1"/>
  <c r="AI566" i="1" s="1"/>
  <c r="W578" i="1"/>
  <c r="AS578" i="1" s="1"/>
  <c r="AT578" i="1" s="1"/>
  <c r="W590" i="1"/>
  <c r="U603" i="1"/>
  <c r="U614" i="1"/>
  <c r="V623" i="1"/>
  <c r="AF623" i="1" s="1"/>
  <c r="AP623" i="1" s="1"/>
  <c r="W632" i="1"/>
  <c r="O644" i="1"/>
  <c r="Y644" i="1" s="1"/>
  <c r="AI644" i="1" s="1"/>
  <c r="O653" i="1"/>
  <c r="Y653" i="1" s="1"/>
  <c r="AI653" i="1" s="1"/>
  <c r="P662" i="1"/>
  <c r="Z662" i="1" s="1"/>
  <c r="AJ662" i="1" s="1"/>
  <c r="V290" i="1"/>
  <c r="Q352" i="1"/>
  <c r="T388" i="1"/>
  <c r="R422" i="1"/>
  <c r="P451" i="1"/>
  <c r="Z451" i="1" s="1"/>
  <c r="AJ451" i="1" s="1"/>
  <c r="Q470" i="1"/>
  <c r="AA470" i="1" s="1"/>
  <c r="R488" i="1"/>
  <c r="V503" i="1"/>
  <c r="P518" i="1"/>
  <c r="Z518" i="1" s="1"/>
  <c r="AJ518" i="1" s="1"/>
  <c r="P534" i="1"/>
  <c r="Z534" i="1" s="1"/>
  <c r="AJ534" i="1" s="1"/>
  <c r="T552" i="1"/>
  <c r="V567" i="1"/>
  <c r="AF567" i="1" s="1"/>
  <c r="AP567" i="1" s="1"/>
  <c r="V583" i="1"/>
  <c r="P602" i="1"/>
  <c r="Z602" i="1" s="1"/>
  <c r="AJ602" i="1" s="1"/>
  <c r="Q614" i="1"/>
  <c r="R623" i="1"/>
  <c r="AB623" i="1" s="1"/>
  <c r="AL623" i="1" s="1"/>
  <c r="S632" i="1"/>
  <c r="AC632" i="1" s="1"/>
  <c r="AM632" i="1" s="1"/>
  <c r="O642" i="1"/>
  <c r="Y642" i="1" s="1"/>
  <c r="AI642" i="1" s="1"/>
  <c r="O651" i="1"/>
  <c r="Y651" i="1" s="1"/>
  <c r="AI651" i="1" s="1"/>
  <c r="P660" i="1"/>
  <c r="Z660" i="1" s="1"/>
  <c r="AJ660" i="1" s="1"/>
  <c r="R293" i="1"/>
  <c r="U376" i="1"/>
  <c r="S437" i="1"/>
  <c r="AC437" i="1" s="1"/>
  <c r="AM437" i="1" s="1"/>
  <c r="P479" i="1"/>
  <c r="Z479" i="1" s="1"/>
  <c r="AJ479" i="1" s="1"/>
  <c r="U509" i="1"/>
  <c r="Q535" i="1"/>
  <c r="Q559" i="1"/>
  <c r="W584" i="1"/>
  <c r="AG584" i="1" s="1"/>
  <c r="AQ584" i="1" s="1"/>
  <c r="P610" i="1"/>
  <c r="Z610" i="1" s="1"/>
  <c r="AJ610" i="1" s="1"/>
  <c r="Q628" i="1"/>
  <c r="S646" i="1"/>
  <c r="AC646" i="1" s="1"/>
  <c r="AM646" i="1" s="1"/>
  <c r="S663" i="1"/>
  <c r="AC663" i="1" s="1"/>
  <c r="AM663" i="1" s="1"/>
  <c r="U344" i="1"/>
  <c r="AF344" i="1" s="1"/>
  <c r="AP344" i="1" s="1"/>
  <c r="Q410" i="1"/>
  <c r="W458" i="1"/>
  <c r="S494" i="1"/>
  <c r="AC494" i="1" s="1"/>
  <c r="AM494" i="1" s="1"/>
  <c r="O520" i="1"/>
  <c r="Y520" i="1" s="1"/>
  <c r="AI520" i="1" s="1"/>
  <c r="O544" i="1"/>
  <c r="Y544" i="1" s="1"/>
  <c r="AI544" i="1" s="1"/>
  <c r="U569" i="1"/>
  <c r="AA569" i="1" s="1"/>
  <c r="U593" i="1"/>
  <c r="AD593" i="1" s="1"/>
  <c r="AN593" i="1" s="1"/>
  <c r="O616" i="1"/>
  <c r="Y616" i="1" s="1"/>
  <c r="AI616" i="1" s="1"/>
  <c r="O632" i="1"/>
  <c r="Y632" i="1" s="1"/>
  <c r="AI632" i="1" s="1"/>
  <c r="O649" i="1"/>
  <c r="Y649" i="1" s="1"/>
  <c r="AI649" i="1" s="1"/>
  <c r="P666" i="1"/>
  <c r="Z666" i="1" s="1"/>
  <c r="AJ666" i="1" s="1"/>
  <c r="R434" i="1"/>
  <c r="V501" i="1"/>
  <c r="V565" i="1"/>
  <c r="U616" i="1"/>
  <c r="O655" i="1"/>
  <c r="Y655" i="1" s="1"/>
  <c r="AI655" i="1" s="1"/>
  <c r="O381" i="1"/>
  <c r="Y381" i="1" s="1"/>
  <c r="AI381" i="1" s="1"/>
  <c r="S481" i="1"/>
  <c r="AC481" i="1" s="1"/>
  <c r="AM481" i="1" s="1"/>
  <c r="P548" i="1"/>
  <c r="Z548" i="1" s="1"/>
  <c r="AJ548" i="1" s="1"/>
  <c r="U615" i="1"/>
  <c r="AE615" i="1" s="1"/>
  <c r="AO615" i="1" s="1"/>
  <c r="U647" i="1"/>
  <c r="AE647" i="1" s="1"/>
  <c r="AO647" i="1" s="1"/>
  <c r="S653" i="1"/>
  <c r="AC653" i="1" s="1"/>
  <c r="AM653" i="1" s="1"/>
  <c r="P560" i="1"/>
  <c r="Z560" i="1" s="1"/>
  <c r="AJ560" i="1" s="1"/>
  <c r="R442" i="1"/>
  <c r="Q634" i="1"/>
  <c r="AA634" i="1" s="1"/>
  <c r="AK634" i="1" s="1"/>
  <c r="R531" i="1"/>
  <c r="R205" i="1"/>
  <c r="O190" i="1"/>
  <c r="Y190" i="1" s="1"/>
  <c r="AI190" i="1" s="1"/>
  <c r="W219" i="1"/>
  <c r="Q284" i="1"/>
  <c r="V235" i="1"/>
  <c r="U303" i="1"/>
  <c r="AG303" i="1" s="1"/>
  <c r="AQ303" i="1" s="1"/>
  <c r="V286" i="1"/>
  <c r="R380" i="1"/>
  <c r="Q321" i="1"/>
  <c r="S377" i="1"/>
  <c r="AC377" i="1" s="1"/>
  <c r="AM377" i="1" s="1"/>
  <c r="O418" i="1"/>
  <c r="Y418" i="1" s="1"/>
  <c r="AI418" i="1" s="1"/>
  <c r="O452" i="1"/>
  <c r="Y452" i="1" s="1"/>
  <c r="AI452" i="1" s="1"/>
  <c r="U345" i="1"/>
  <c r="AB345" i="1" s="1"/>
  <c r="AL345" i="1" s="1"/>
  <c r="U386" i="1"/>
  <c r="AF386" i="1" s="1"/>
  <c r="AP386" i="1" s="1"/>
  <c r="R433" i="1"/>
  <c r="R465" i="1"/>
  <c r="P492" i="1"/>
  <c r="Z492" i="1" s="1"/>
  <c r="AJ492" i="1" s="1"/>
  <c r="T350" i="1"/>
  <c r="W409" i="1"/>
  <c r="R454" i="1"/>
  <c r="R486" i="1"/>
  <c r="AB486" i="1" s="1"/>
  <c r="AL486" i="1" s="1"/>
  <c r="O507" i="1"/>
  <c r="Y507" i="1" s="1"/>
  <c r="AI507" i="1" s="1"/>
  <c r="S529" i="1"/>
  <c r="AC529" i="1" s="1"/>
  <c r="AM529" i="1" s="1"/>
  <c r="U552" i="1"/>
  <c r="AD552" i="1" s="1"/>
  <c r="AN552" i="1" s="1"/>
  <c r="S575" i="1"/>
  <c r="AC575" i="1" s="1"/>
  <c r="AM575" i="1" s="1"/>
  <c r="W597" i="1"/>
  <c r="T303" i="1"/>
  <c r="AS303" i="1" s="1"/>
  <c r="AT303" i="1" s="1"/>
  <c r="Q375" i="1"/>
  <c r="R444" i="1"/>
  <c r="U480" i="1"/>
  <c r="AE480" i="1" s="1"/>
  <c r="AO480" i="1" s="1"/>
  <c r="P509" i="1"/>
  <c r="Z509" i="1" s="1"/>
  <c r="AJ509" i="1" s="1"/>
  <c r="P531" i="1"/>
  <c r="Z531" i="1" s="1"/>
  <c r="AJ531" i="1" s="1"/>
  <c r="P557" i="1"/>
  <c r="Z557" i="1" s="1"/>
  <c r="AJ557" i="1" s="1"/>
  <c r="R576" i="1"/>
  <c r="V596" i="1"/>
  <c r="T617" i="1"/>
  <c r="R638" i="1"/>
  <c r="T661" i="1"/>
  <c r="W347" i="1"/>
  <c r="W431" i="1"/>
  <c r="AG431" i="1" s="1"/>
  <c r="AQ431" i="1" s="1"/>
  <c r="O486" i="1"/>
  <c r="Y486" i="1" s="1"/>
  <c r="AI486" i="1" s="1"/>
  <c r="S520" i="1"/>
  <c r="AC520" i="1" s="1"/>
  <c r="AM520" i="1" s="1"/>
  <c r="U551" i="1"/>
  <c r="AE551" i="1" s="1"/>
  <c r="AO551" i="1" s="1"/>
  <c r="Q577" i="1"/>
  <c r="AA577" i="1" s="1"/>
  <c r="AK577" i="1" s="1"/>
  <c r="O602" i="1"/>
  <c r="Y602" i="1" s="1"/>
  <c r="AI602" i="1" s="1"/>
  <c r="U622" i="1"/>
  <c r="AE622" i="1" s="1"/>
  <c r="AO622" i="1" s="1"/>
  <c r="W640" i="1"/>
  <c r="S658" i="1"/>
  <c r="AC658" i="1" s="1"/>
  <c r="AM658" i="1" s="1"/>
  <c r="P328" i="1"/>
  <c r="Z328" i="1" s="1"/>
  <c r="AJ328" i="1" s="1"/>
  <c r="R401" i="1"/>
  <c r="S457" i="1"/>
  <c r="AC457" i="1" s="1"/>
  <c r="AM457" i="1" s="1"/>
  <c r="R493" i="1"/>
  <c r="V523" i="1"/>
  <c r="AF523" i="1" s="1"/>
  <c r="AP523" i="1" s="1"/>
  <c r="R553" i="1"/>
  <c r="R581" i="1"/>
  <c r="O611" i="1"/>
  <c r="Y611" i="1" s="1"/>
  <c r="AI611" i="1" s="1"/>
  <c r="Q629" i="1"/>
  <c r="R647" i="1"/>
  <c r="O666" i="1"/>
  <c r="Y666" i="1" s="1"/>
  <c r="AI666" i="1" s="1"/>
  <c r="Q418" i="1"/>
  <c r="O500" i="1"/>
  <c r="Y500" i="1" s="1"/>
  <c r="AI500" i="1" s="1"/>
  <c r="U549" i="1"/>
  <c r="AE549" i="1" s="1"/>
  <c r="AO549" i="1" s="1"/>
  <c r="W600" i="1"/>
  <c r="AG600" i="1" s="1"/>
  <c r="AQ600" i="1" s="1"/>
  <c r="O640" i="1"/>
  <c r="Y640" i="1" s="1"/>
  <c r="AI640" i="1" s="1"/>
  <c r="S357" i="1"/>
  <c r="AC357" i="1" s="1"/>
  <c r="AM357" i="1" s="1"/>
  <c r="P463" i="1"/>
  <c r="Z463" i="1" s="1"/>
  <c r="AJ463" i="1" s="1"/>
  <c r="S534" i="1"/>
  <c r="AC534" i="1" s="1"/>
  <c r="AM534" i="1" s="1"/>
  <c r="U585" i="1"/>
  <c r="AF585" i="1" s="1"/>
  <c r="AP585" i="1" s="1"/>
  <c r="U642" i="1"/>
  <c r="R385" i="1"/>
  <c r="R543" i="1"/>
  <c r="R659" i="1"/>
  <c r="AB659" i="1" s="1"/>
  <c r="AL659" i="1" s="1"/>
  <c r="V493" i="1"/>
  <c r="P596" i="1"/>
  <c r="Z596" i="1" s="1"/>
  <c r="AJ596" i="1" s="1"/>
  <c r="W666" i="1"/>
  <c r="AS666" i="1" s="1"/>
  <c r="AT666" i="1" s="1"/>
  <c r="P336" i="1"/>
  <c r="Z336" i="1" s="1"/>
  <c r="AJ336" i="1" s="1"/>
  <c r="R499" i="1"/>
  <c r="AB499" i="1" s="1"/>
  <c r="AL499" i="1" s="1"/>
  <c r="Q197" i="1"/>
  <c r="O117" i="1"/>
  <c r="Y117" i="1" s="1"/>
  <c r="AI117" i="1" s="1"/>
  <c r="O257" i="1"/>
  <c r="Y257" i="1" s="1"/>
  <c r="AI257" i="1" s="1"/>
  <c r="V148" i="1"/>
  <c r="P245" i="1"/>
  <c r="Z245" i="1" s="1"/>
  <c r="AJ245" i="1" s="1"/>
  <c r="R209" i="1"/>
  <c r="T261" i="1"/>
  <c r="AD261" i="1" s="1"/>
  <c r="AN261" i="1" s="1"/>
  <c r="R368" i="1"/>
  <c r="AB368" i="1" s="1"/>
  <c r="AL368" i="1" s="1"/>
  <c r="W306" i="1"/>
  <c r="S361" i="1"/>
  <c r="AC361" i="1" s="1"/>
  <c r="AM361" i="1" s="1"/>
  <c r="W410" i="1"/>
  <c r="AS410" i="1" s="1"/>
  <c r="AT410" i="1" s="1"/>
  <c r="AU410" i="1" s="1"/>
  <c r="AV410" i="1" s="1"/>
  <c r="AW410" i="1" s="1"/>
  <c r="O444" i="1"/>
  <c r="Y444" i="1" s="1"/>
  <c r="AI444" i="1" s="1"/>
  <c r="O337" i="1"/>
  <c r="Y337" i="1" s="1"/>
  <c r="AI337" i="1" s="1"/>
  <c r="Q388" i="1"/>
  <c r="R423" i="1"/>
  <c r="P460" i="1"/>
  <c r="Z460" i="1" s="1"/>
  <c r="AJ460" i="1" s="1"/>
  <c r="V487" i="1"/>
  <c r="U351" i="1"/>
  <c r="S411" i="1"/>
  <c r="AC411" i="1" s="1"/>
  <c r="AM411" i="1" s="1"/>
  <c r="R462" i="1"/>
  <c r="AB462" i="1" s="1"/>
  <c r="AL462" i="1" s="1"/>
  <c r="S497" i="1"/>
  <c r="AC497" i="1" s="1"/>
  <c r="AM497" i="1" s="1"/>
  <c r="U520" i="1"/>
  <c r="S543" i="1"/>
  <c r="AC543" i="1" s="1"/>
  <c r="AM543" i="1" s="1"/>
  <c r="W565" i="1"/>
  <c r="AS565" i="1" s="1"/>
  <c r="AT565" i="1" s="1"/>
  <c r="AU565" i="1" s="1"/>
  <c r="AV565" i="1" s="1"/>
  <c r="AW565" i="1" s="1"/>
  <c r="U588" i="1"/>
  <c r="Q311" i="1"/>
  <c r="T380" i="1"/>
  <c r="AS380" i="1" s="1"/>
  <c r="T435" i="1"/>
  <c r="W475" i="1"/>
  <c r="R504" i="1"/>
  <c r="V536" i="1"/>
  <c r="P559" i="1"/>
  <c r="Z559" i="1" s="1"/>
  <c r="AJ559" i="1" s="1"/>
  <c r="T585" i="1"/>
  <c r="R614" i="1"/>
  <c r="P635" i="1"/>
  <c r="Z635" i="1" s="1"/>
  <c r="AJ635" i="1" s="1"/>
  <c r="V652" i="1"/>
  <c r="P296" i="1"/>
  <c r="Z296" i="1" s="1"/>
  <c r="AJ296" i="1" s="1"/>
  <c r="U404" i="1"/>
  <c r="T477" i="1"/>
  <c r="AS477" i="1" s="1"/>
  <c r="AT477" i="1" s="1"/>
  <c r="W514" i="1"/>
  <c r="U547" i="1"/>
  <c r="AD547" i="1" s="1"/>
  <c r="AN547" i="1" s="1"/>
  <c r="Q573" i="1"/>
  <c r="O598" i="1"/>
  <c r="Y598" i="1" s="1"/>
  <c r="AI598" i="1" s="1"/>
  <c r="O620" i="1"/>
  <c r="Y620" i="1" s="1"/>
  <c r="AI620" i="1" s="1"/>
  <c r="P638" i="1"/>
  <c r="Z638" i="1" s="1"/>
  <c r="AJ638" i="1" s="1"/>
  <c r="V655" i="1"/>
  <c r="R315" i="1"/>
  <c r="Q384" i="1"/>
  <c r="S458" i="1"/>
  <c r="AC458" i="1" s="1"/>
  <c r="AM458" i="1" s="1"/>
  <c r="P494" i="1"/>
  <c r="Z494" i="1" s="1"/>
  <c r="AJ494" i="1" s="1"/>
  <c r="T524" i="1"/>
  <c r="T560" i="1"/>
  <c r="AS560" i="1" s="1"/>
  <c r="AT560" i="1" s="1"/>
  <c r="AU560" i="1" s="1"/>
  <c r="AV560" i="1" s="1"/>
  <c r="AW560" i="1" s="1"/>
  <c r="T592" i="1"/>
  <c r="S617" i="1"/>
  <c r="AC617" i="1" s="1"/>
  <c r="AM617" i="1" s="1"/>
  <c r="U635" i="1"/>
  <c r="V653" i="1"/>
  <c r="W332" i="1"/>
  <c r="S453" i="1"/>
  <c r="AC453" i="1" s="1"/>
  <c r="AM453" i="1" s="1"/>
  <c r="U517" i="1"/>
  <c r="O580" i="1"/>
  <c r="Y580" i="1" s="1"/>
  <c r="AI580" i="1" s="1"/>
  <c r="O625" i="1"/>
  <c r="Y625" i="1" s="1"/>
  <c r="AI625" i="1" s="1"/>
  <c r="Q660" i="1"/>
  <c r="Q426" i="1"/>
  <c r="S502" i="1"/>
  <c r="AC502" i="1" s="1"/>
  <c r="AM502" i="1" s="1"/>
  <c r="O552" i="1"/>
  <c r="Y552" i="1" s="1"/>
  <c r="AI552" i="1" s="1"/>
  <c r="U601" i="1"/>
  <c r="AE601" i="1" s="1"/>
  <c r="AO601" i="1" s="1"/>
  <c r="W645" i="1"/>
  <c r="O492" i="1"/>
  <c r="Y492" i="1" s="1"/>
  <c r="AI492" i="1" s="1"/>
  <c r="Q610" i="1"/>
  <c r="S355" i="1"/>
  <c r="AC355" i="1" s="1"/>
  <c r="AM355" i="1" s="1"/>
  <c r="T554" i="1"/>
  <c r="W651" i="1"/>
  <c r="P496" i="1"/>
  <c r="Z496" i="1" s="1"/>
  <c r="AJ496" i="1" s="1"/>
  <c r="R595" i="1"/>
  <c r="AB595" i="1" s="1"/>
  <c r="AL595" i="1" s="1"/>
  <c r="O147" i="1"/>
  <c r="Y147" i="1" s="1"/>
  <c r="AI147" i="1" s="1"/>
  <c r="O207" i="1"/>
  <c r="Y207" i="1" s="1"/>
  <c r="AI207" i="1" s="1"/>
  <c r="T162" i="1"/>
  <c r="AS162" i="1" s="1"/>
  <c r="R280" i="1"/>
  <c r="U315" i="1"/>
  <c r="AD315" i="1" s="1"/>
  <c r="AN315" i="1" s="1"/>
  <c r="P396" i="1"/>
  <c r="Z396" i="1" s="1"/>
  <c r="AJ396" i="1" s="1"/>
  <c r="R274" i="1"/>
  <c r="V419" i="1"/>
  <c r="R250" i="1"/>
  <c r="W405" i="1"/>
  <c r="AG405" i="1" s="1"/>
  <c r="AQ405" i="1" s="1"/>
  <c r="P483" i="1"/>
  <c r="Z483" i="1" s="1"/>
  <c r="AJ483" i="1" s="1"/>
  <c r="Q540" i="1"/>
  <c r="Q586" i="1"/>
  <c r="O357" i="1"/>
  <c r="Y357" i="1" s="1"/>
  <c r="AI357" i="1" s="1"/>
  <c r="W460" i="1"/>
  <c r="P511" i="1"/>
  <c r="Z511" i="1" s="1"/>
  <c r="AJ511" i="1" s="1"/>
  <c r="T551" i="1"/>
  <c r="V582" i="1"/>
  <c r="AF582" i="1" s="1"/>
  <c r="AP582" i="1" s="1"/>
  <c r="V616" i="1"/>
  <c r="P665" i="1"/>
  <c r="Z665" i="1" s="1"/>
  <c r="AJ665" i="1" s="1"/>
  <c r="W447" i="1"/>
  <c r="U527" i="1"/>
  <c r="AE527" i="1" s="1"/>
  <c r="AO527" i="1" s="1"/>
  <c r="W582" i="1"/>
  <c r="S626" i="1"/>
  <c r="AC626" i="1" s="1"/>
  <c r="AM626" i="1" s="1"/>
  <c r="U662" i="1"/>
  <c r="P411" i="1"/>
  <c r="Z411" i="1" s="1"/>
  <c r="AJ411" i="1" s="1"/>
  <c r="R497" i="1"/>
  <c r="P550" i="1"/>
  <c r="Z550" i="1" s="1"/>
  <c r="AJ550" i="1" s="1"/>
  <c r="T610" i="1"/>
  <c r="W646" i="1"/>
  <c r="AG646" i="1" s="1"/>
  <c r="AQ646" i="1" s="1"/>
  <c r="O415" i="1"/>
  <c r="Y415" i="1" s="1"/>
  <c r="AI415" i="1" s="1"/>
  <c r="O548" i="1"/>
  <c r="Y548" i="1" s="1"/>
  <c r="AI548" i="1" s="1"/>
  <c r="W637" i="1"/>
  <c r="AS637" i="1" s="1"/>
  <c r="AT637" i="1" s="1"/>
  <c r="O439" i="1"/>
  <c r="Y439" i="1" s="1"/>
  <c r="AI439" i="1" s="1"/>
  <c r="S558" i="1"/>
  <c r="AC558" i="1" s="1"/>
  <c r="AM558" i="1" s="1"/>
  <c r="U641" i="1"/>
  <c r="P572" i="1"/>
  <c r="Z572" i="1" s="1"/>
  <c r="AJ572" i="1" s="1"/>
  <c r="R611" i="1"/>
  <c r="AB611" i="1" s="1"/>
  <c r="O663" i="1"/>
  <c r="Y663" i="1" s="1"/>
  <c r="AI663" i="1" s="1"/>
  <c r="Q115" i="1"/>
  <c r="Q151" i="1"/>
  <c r="AA151" i="1" s="1"/>
  <c r="V122" i="1"/>
  <c r="S191" i="1"/>
  <c r="AC191" i="1" s="1"/>
  <c r="AM191" i="1" s="1"/>
  <c r="U125" i="1"/>
  <c r="AE125" i="1" s="1"/>
  <c r="AO125" i="1" s="1"/>
  <c r="S194" i="1"/>
  <c r="AC194" i="1" s="1"/>
  <c r="AM194" i="1" s="1"/>
  <c r="V237" i="1"/>
  <c r="S128" i="1"/>
  <c r="AC128" i="1" s="1"/>
  <c r="AM128" i="1" s="1"/>
  <c r="S234" i="1"/>
  <c r="AC234" i="1" s="1"/>
  <c r="AM234" i="1" s="1"/>
  <c r="T226" i="1"/>
  <c r="V178" i="1"/>
  <c r="O135" i="1"/>
  <c r="Y135" i="1" s="1"/>
  <c r="AI135" i="1" s="1"/>
  <c r="S208" i="1"/>
  <c r="AC208" i="1" s="1"/>
  <c r="AM208" i="1" s="1"/>
  <c r="W254" i="1"/>
  <c r="AS254" i="1" s="1"/>
  <c r="AT254" i="1" s="1"/>
  <c r="S243" i="1"/>
  <c r="AC243" i="1" s="1"/>
  <c r="AM243" i="1" s="1"/>
  <c r="S289" i="1"/>
  <c r="AC289" i="1" s="1"/>
  <c r="AM289" i="1" s="1"/>
  <c r="O141" i="1"/>
  <c r="Y141" i="1" s="1"/>
  <c r="AI141" i="1" s="1"/>
  <c r="T208" i="1"/>
  <c r="AS208" i="1" s="1"/>
  <c r="AT208" i="1" s="1"/>
  <c r="AU208" i="1" s="1"/>
  <c r="R249" i="1"/>
  <c r="AB249" i="1" s="1"/>
  <c r="AL249" i="1" s="1"/>
  <c r="P308" i="1"/>
  <c r="Z308" i="1" s="1"/>
  <c r="AJ308" i="1" s="1"/>
  <c r="V298" i="1"/>
  <c r="Q145" i="1"/>
  <c r="AA145" i="1" s="1"/>
  <c r="AK145" i="1" s="1"/>
  <c r="R285" i="1"/>
  <c r="V326" i="1"/>
  <c r="T357" i="1"/>
  <c r="P389" i="1"/>
  <c r="Z389" i="1" s="1"/>
  <c r="AJ389" i="1" s="1"/>
  <c r="S126" i="1"/>
  <c r="AC126" i="1" s="1"/>
  <c r="AM126" i="1" s="1"/>
  <c r="Q192" i="1"/>
  <c r="Q203" i="1"/>
  <c r="P151" i="1"/>
  <c r="Z151" i="1" s="1"/>
  <c r="AJ151" i="1" s="1"/>
  <c r="S246" i="1"/>
  <c r="AC246" i="1" s="1"/>
  <c r="AM246" i="1" s="1"/>
  <c r="R180" i="1"/>
  <c r="U232" i="1"/>
  <c r="AE232" i="1" s="1"/>
  <c r="AO232" i="1" s="1"/>
  <c r="S261" i="1"/>
  <c r="AC261" i="1" s="1"/>
  <c r="AM261" i="1" s="1"/>
  <c r="U286" i="1"/>
  <c r="AD286" i="1" s="1"/>
  <c r="AN286" i="1" s="1"/>
  <c r="S311" i="1"/>
  <c r="AC311" i="1" s="1"/>
  <c r="AM311" i="1" s="1"/>
  <c r="P215" i="1"/>
  <c r="Z215" i="1" s="1"/>
  <c r="AJ215" i="1" s="1"/>
  <c r="P210" i="1"/>
  <c r="Z210" i="1" s="1"/>
  <c r="AJ210" i="1" s="1"/>
  <c r="V211" i="1"/>
  <c r="W278" i="1"/>
  <c r="V220" i="1"/>
  <c r="R299" i="1"/>
  <c r="Q330" i="1"/>
  <c r="AA330" i="1" s="1"/>
  <c r="AK330" i="1" s="1"/>
  <c r="T272" i="1"/>
  <c r="T321" i="1"/>
  <c r="R354" i="1"/>
  <c r="T387" i="1"/>
  <c r="AS387" i="1" s="1"/>
  <c r="AT387" i="1" s="1"/>
  <c r="AU387" i="1" s="1"/>
  <c r="AV387" i="1" s="1"/>
  <c r="AW387" i="1" s="1"/>
  <c r="R161" i="1"/>
  <c r="R200" i="1"/>
  <c r="Q210" i="1"/>
  <c r="Q276" i="1"/>
  <c r="O170" i="1"/>
  <c r="Y170" i="1" s="1"/>
  <c r="AI170" i="1" s="1"/>
  <c r="P171" i="1"/>
  <c r="Z171" i="1" s="1"/>
  <c r="AJ171" i="1" s="1"/>
  <c r="P307" i="1"/>
  <c r="Z307" i="1" s="1"/>
  <c r="AJ307" i="1" s="1"/>
  <c r="Q324" i="1"/>
  <c r="R309" i="1"/>
  <c r="R374" i="1"/>
  <c r="U265" i="1"/>
  <c r="O338" i="1"/>
  <c r="Y338" i="1" s="1"/>
  <c r="AI338" i="1" s="1"/>
  <c r="R375" i="1"/>
  <c r="O408" i="1"/>
  <c r="Y408" i="1" s="1"/>
  <c r="AI408" i="1" s="1"/>
  <c r="Q433" i="1"/>
  <c r="AA433" i="1" s="1"/>
  <c r="V236" i="1"/>
  <c r="P334" i="1"/>
  <c r="Z334" i="1" s="1"/>
  <c r="AJ334" i="1" s="1"/>
  <c r="Q371" i="1"/>
  <c r="R407" i="1"/>
  <c r="AB407" i="1" s="1"/>
  <c r="AL407" i="1" s="1"/>
  <c r="T438" i="1"/>
  <c r="P102" i="1"/>
  <c r="Z102" i="1" s="1"/>
  <c r="AJ102" i="1" s="1"/>
  <c r="V150" i="1"/>
  <c r="T189" i="1"/>
  <c r="AS189" i="1" s="1"/>
  <c r="T199" i="1"/>
  <c r="W267" i="1"/>
  <c r="S115" i="1"/>
  <c r="AC115" i="1" s="1"/>
  <c r="AM115" i="1" s="1"/>
  <c r="T242" i="1"/>
  <c r="R287" i="1"/>
  <c r="Q307" i="1"/>
  <c r="T277" i="1"/>
  <c r="P345" i="1"/>
  <c r="Z345" i="1" s="1"/>
  <c r="AJ345" i="1" s="1"/>
  <c r="R390" i="1"/>
  <c r="S268" i="1"/>
  <c r="AC268" i="1" s="1"/>
  <c r="AM268" i="1" s="1"/>
  <c r="U319" i="1"/>
  <c r="AE319" i="1" s="1"/>
  <c r="AO319" i="1" s="1"/>
  <c r="V349" i="1"/>
  <c r="W375" i="1"/>
  <c r="O402" i="1"/>
  <c r="Y402" i="1" s="1"/>
  <c r="AI402" i="1" s="1"/>
  <c r="Q419" i="1"/>
  <c r="W436" i="1"/>
  <c r="W452" i="1"/>
  <c r="AS452" i="1" s="1"/>
  <c r="P277" i="1"/>
  <c r="Z277" i="1" s="1"/>
  <c r="AJ277" i="1" s="1"/>
  <c r="R321" i="1"/>
  <c r="O345" i="1"/>
  <c r="Y345" i="1" s="1"/>
  <c r="AI345" i="1" s="1"/>
  <c r="P362" i="1"/>
  <c r="Z362" i="1" s="1"/>
  <c r="AJ362" i="1" s="1"/>
  <c r="S383" i="1"/>
  <c r="AC383" i="1" s="1"/>
  <c r="AM383" i="1" s="1"/>
  <c r="U401" i="1"/>
  <c r="AE401" i="1" s="1"/>
  <c r="AO401" i="1" s="1"/>
  <c r="T420" i="1"/>
  <c r="V435" i="1"/>
  <c r="T452" i="1"/>
  <c r="R467" i="1"/>
  <c r="R483" i="1"/>
  <c r="T280" i="1"/>
  <c r="AS280" i="1" s="1"/>
  <c r="AT280" i="1" s="1"/>
  <c r="P344" i="1"/>
  <c r="Z344" i="1" s="1"/>
  <c r="AJ344" i="1" s="1"/>
  <c r="R379" i="1"/>
  <c r="U410" i="1"/>
  <c r="AG410" i="1" s="1"/>
  <c r="AQ410" i="1" s="1"/>
  <c r="Q436" i="1"/>
  <c r="AA436" i="1" s="1"/>
  <c r="P459" i="1"/>
  <c r="Z459" i="1" s="1"/>
  <c r="AJ459" i="1" s="1"/>
  <c r="W478" i="1"/>
  <c r="Q496" i="1"/>
  <c r="O509" i="1"/>
  <c r="Y509" i="1" s="1"/>
  <c r="AI509" i="1" s="1"/>
  <c r="W521" i="1"/>
  <c r="U534" i="1"/>
  <c r="AE534" i="1" s="1"/>
  <c r="AO534" i="1" s="1"/>
  <c r="S547" i="1"/>
  <c r="AC547" i="1" s="1"/>
  <c r="AM547" i="1" s="1"/>
  <c r="Q560" i="1"/>
  <c r="O573" i="1"/>
  <c r="Y573" i="1" s="1"/>
  <c r="AI573" i="1" s="1"/>
  <c r="W585" i="1"/>
  <c r="Q598" i="1"/>
  <c r="V199" i="1"/>
  <c r="P332" i="1"/>
  <c r="Z332" i="1" s="1"/>
  <c r="AJ332" i="1" s="1"/>
  <c r="O373" i="1"/>
  <c r="Y373" i="1" s="1"/>
  <c r="AI373" i="1" s="1"/>
  <c r="V406" i="1"/>
  <c r="R436" i="1"/>
  <c r="AB436" i="1" s="1"/>
  <c r="O463" i="1"/>
  <c r="Y463" i="1" s="1"/>
  <c r="AI463" i="1" s="1"/>
  <c r="P481" i="1"/>
  <c r="Z481" i="1" s="1"/>
  <c r="AJ481" i="1" s="1"/>
  <c r="P497" i="1"/>
  <c r="Z497" i="1" s="1"/>
  <c r="AJ497" i="1" s="1"/>
  <c r="T513" i="1"/>
  <c r="AS513" i="1" s="1"/>
  <c r="AT513" i="1" s="1"/>
  <c r="AU513" i="1" s="1"/>
  <c r="AV513" i="1" s="1"/>
  <c r="AW513" i="1" s="1"/>
  <c r="V530" i="1"/>
  <c r="AF530" i="1" s="1"/>
  <c r="AP530" i="1" s="1"/>
  <c r="T545" i="1"/>
  <c r="V560" i="1"/>
  <c r="R578" i="1"/>
  <c r="T595" i="1"/>
  <c r="P611" i="1"/>
  <c r="Z611" i="1" s="1"/>
  <c r="AJ611" i="1" s="1"/>
  <c r="V626" i="1"/>
  <c r="R644" i="1"/>
  <c r="AB644" i="1" s="1"/>
  <c r="V660" i="1"/>
  <c r="W324" i="1"/>
  <c r="Q401" i="1"/>
  <c r="U452" i="1"/>
  <c r="S491" i="1"/>
  <c r="AC491" i="1" s="1"/>
  <c r="AM491" i="1" s="1"/>
  <c r="U519" i="1"/>
  <c r="AF519" i="1" s="1"/>
  <c r="AP519" i="1" s="1"/>
  <c r="W546" i="1"/>
  <c r="AS546" i="1" s="1"/>
  <c r="R148" i="1"/>
  <c r="Q233" i="1"/>
  <c r="R136" i="1"/>
  <c r="Q260" i="1"/>
  <c r="Q310" i="1"/>
  <c r="O162" i="1"/>
  <c r="Y162" i="1" s="1"/>
  <c r="AI162" i="1" s="1"/>
  <c r="R270" i="1"/>
  <c r="Q297" i="1"/>
  <c r="P281" i="1"/>
  <c r="Z281" i="1" s="1"/>
  <c r="AJ281" i="1" s="1"/>
  <c r="P353" i="1"/>
  <c r="Z353" i="1" s="1"/>
  <c r="AJ353" i="1" s="1"/>
  <c r="R187" i="1"/>
  <c r="U323" i="1"/>
  <c r="O362" i="1"/>
  <c r="Y362" i="1" s="1"/>
  <c r="AI362" i="1" s="1"/>
  <c r="W399" i="1"/>
  <c r="O426" i="1"/>
  <c r="Y426" i="1" s="1"/>
  <c r="AI426" i="1" s="1"/>
  <c r="U451" i="1"/>
  <c r="AB451" i="1" s="1"/>
  <c r="AL451" i="1" s="1"/>
  <c r="P318" i="1"/>
  <c r="Z318" i="1" s="1"/>
  <c r="AJ318" i="1" s="1"/>
  <c r="T360" i="1"/>
  <c r="W397" i="1"/>
  <c r="T432" i="1"/>
  <c r="T468" i="1"/>
  <c r="R489" i="1"/>
  <c r="Q327" i="1"/>
  <c r="T382" i="1"/>
  <c r="AD382" i="1" s="1"/>
  <c r="AN382" i="1" s="1"/>
  <c r="W421" i="1"/>
  <c r="AG421" i="1" s="1"/>
  <c r="AQ421" i="1" s="1"/>
  <c r="S455" i="1"/>
  <c r="AC455" i="1" s="1"/>
  <c r="AM455" i="1" s="1"/>
  <c r="R478" i="1"/>
  <c r="Q498" i="1"/>
  <c r="AA498" i="1" s="1"/>
  <c r="O515" i="1"/>
  <c r="Y515" i="1" s="1"/>
  <c r="AI515" i="1" s="1"/>
  <c r="Q532" i="1"/>
  <c r="S549" i="1"/>
  <c r="AC549" i="1" s="1"/>
  <c r="AM549" i="1" s="1"/>
  <c r="W559" i="1"/>
  <c r="U572" i="1"/>
  <c r="S583" i="1"/>
  <c r="AC583" i="1" s="1"/>
  <c r="AM583" i="1" s="1"/>
  <c r="Q594" i="1"/>
  <c r="U608" i="1"/>
  <c r="AD608" i="1" s="1"/>
  <c r="AN608" i="1" s="1"/>
  <c r="P309" i="1"/>
  <c r="Z309" i="1" s="1"/>
  <c r="AJ309" i="1" s="1"/>
  <c r="U349" i="1"/>
  <c r="AE349" i="1" s="1"/>
  <c r="AO349" i="1" s="1"/>
  <c r="P374" i="1"/>
  <c r="Z374" i="1" s="1"/>
  <c r="AJ374" i="1" s="1"/>
  <c r="W401" i="1"/>
  <c r="P421" i="1"/>
  <c r="Z421" i="1" s="1"/>
  <c r="AJ421" i="1" s="1"/>
  <c r="P441" i="1"/>
  <c r="Z441" i="1" s="1"/>
  <c r="AJ441" i="1" s="1"/>
  <c r="T463" i="1"/>
  <c r="Q475" i="1"/>
  <c r="Q490" i="1"/>
  <c r="T499" i="1"/>
  <c r="V514" i="1"/>
  <c r="V524" i="1"/>
  <c r="P537" i="1"/>
  <c r="Z537" i="1" s="1"/>
  <c r="AJ537" i="1" s="1"/>
  <c r="P547" i="1"/>
  <c r="Z547" i="1" s="1"/>
  <c r="AJ547" i="1" s="1"/>
  <c r="Q130" i="1"/>
  <c r="AA130" i="1" s="1"/>
  <c r="V140" i="1"/>
  <c r="Q235" i="1"/>
  <c r="U243" i="1"/>
  <c r="AB243" i="1" s="1"/>
  <c r="V194" i="1"/>
  <c r="U252" i="1"/>
  <c r="AD252" i="1" s="1"/>
  <c r="AN252" i="1" s="1"/>
  <c r="S287" i="1"/>
  <c r="AC287" i="1" s="1"/>
  <c r="AM287" i="1" s="1"/>
  <c r="R86" i="1"/>
  <c r="S235" i="1"/>
  <c r="AC235" i="1" s="1"/>
  <c r="AM235" i="1" s="1"/>
  <c r="T182" i="1"/>
  <c r="AS182" i="1" s="1"/>
  <c r="AT182" i="1" s="1"/>
  <c r="AU182" i="1" s="1"/>
  <c r="AV182" i="1" s="1"/>
  <c r="AW182" i="1" s="1"/>
  <c r="Q285" i="1"/>
  <c r="U271" i="1"/>
  <c r="AG271" i="1" s="1"/>
  <c r="AQ271" i="1" s="1"/>
  <c r="W325" i="1"/>
  <c r="T287" i="1"/>
  <c r="AS287" i="1" s="1"/>
  <c r="AT287" i="1" s="1"/>
  <c r="P347" i="1"/>
  <c r="Z347" i="1" s="1"/>
  <c r="AJ347" i="1" s="1"/>
  <c r="R384" i="1"/>
  <c r="P219" i="1"/>
  <c r="Z219" i="1" s="1"/>
  <c r="AJ219" i="1" s="1"/>
  <c r="R308" i="1"/>
  <c r="AB308" i="1" s="1"/>
  <c r="AL308" i="1" s="1"/>
  <c r="P348" i="1"/>
  <c r="Z348" i="1" s="1"/>
  <c r="AJ348" i="1" s="1"/>
  <c r="W374" i="1"/>
  <c r="V397" i="1"/>
  <c r="Q415" i="1"/>
  <c r="W432" i="1"/>
  <c r="O450" i="1"/>
  <c r="Y450" i="1" s="1"/>
  <c r="AI450" i="1" s="1"/>
  <c r="O280" i="1"/>
  <c r="Y280" i="1" s="1"/>
  <c r="AI280" i="1" s="1"/>
  <c r="W340" i="1"/>
  <c r="Q363" i="1"/>
  <c r="S390" i="1"/>
  <c r="AC390" i="1" s="1"/>
  <c r="AM390" i="1" s="1"/>
  <c r="T412" i="1"/>
  <c r="T434" i="1"/>
  <c r="AS434" i="1" s="1"/>
  <c r="AX434" i="1" s="1"/>
  <c r="T462" i="1"/>
  <c r="AS462" i="1" s="1"/>
  <c r="P476" i="1"/>
  <c r="Z476" i="1" s="1"/>
  <c r="AJ476" i="1" s="1"/>
  <c r="V489" i="1"/>
  <c r="U317" i="1"/>
  <c r="W354" i="1"/>
  <c r="AS354" i="1" s="1"/>
  <c r="AT354" i="1" s="1"/>
  <c r="AU354" i="1" s="1"/>
  <c r="AV354" i="1" s="1"/>
  <c r="AW354" i="1" s="1"/>
  <c r="V385" i="1"/>
  <c r="Q412" i="1"/>
  <c r="S435" i="1"/>
  <c r="AC435" i="1" s="1"/>
  <c r="AM435" i="1" s="1"/>
  <c r="S456" i="1"/>
  <c r="AC456" i="1" s="1"/>
  <c r="AM456" i="1" s="1"/>
  <c r="S471" i="1"/>
  <c r="AC471" i="1" s="1"/>
  <c r="AM471" i="1" s="1"/>
  <c r="P491" i="1"/>
  <c r="Z491" i="1" s="1"/>
  <c r="AJ491" i="1" s="1"/>
  <c r="W501" i="1"/>
  <c r="S513" i="1"/>
  <c r="AC513" i="1" s="1"/>
  <c r="AM513" i="1" s="1"/>
  <c r="U524" i="1"/>
  <c r="W535" i="1"/>
  <c r="W547" i="1"/>
  <c r="O559" i="1"/>
  <c r="Y559" i="1" s="1"/>
  <c r="AI559" i="1" s="1"/>
  <c r="Q570" i="1"/>
  <c r="W581" i="1"/>
  <c r="O593" i="1"/>
  <c r="Y593" i="1" s="1"/>
  <c r="AI593" i="1" s="1"/>
  <c r="W605" i="1"/>
  <c r="V297" i="1"/>
  <c r="V351" i="1"/>
  <c r="V383" i="1"/>
  <c r="AF383" i="1" s="1"/>
  <c r="AP383" i="1" s="1"/>
  <c r="V418" i="1"/>
  <c r="P445" i="1"/>
  <c r="Z445" i="1" s="1"/>
  <c r="AJ445" i="1" s="1"/>
  <c r="S461" i="1"/>
  <c r="AC461" i="1" s="1"/>
  <c r="AM461" i="1" s="1"/>
  <c r="S477" i="1"/>
  <c r="AC477" i="1" s="1"/>
  <c r="AM477" i="1" s="1"/>
  <c r="P493" i="1"/>
  <c r="Z493" i="1" s="1"/>
  <c r="AJ493" i="1" s="1"/>
  <c r="R506" i="1"/>
  <c r="V518" i="1"/>
  <c r="T533" i="1"/>
  <c r="AS533" i="1" s="1"/>
  <c r="AT533" i="1" s="1"/>
  <c r="R550" i="1"/>
  <c r="P563" i="1"/>
  <c r="Z563" i="1" s="1"/>
  <c r="AJ563" i="1" s="1"/>
  <c r="R572" i="1"/>
  <c r="P581" i="1"/>
  <c r="Z581" i="1" s="1"/>
  <c r="AJ581" i="1" s="1"/>
  <c r="P593" i="1"/>
  <c r="Z593" i="1" s="1"/>
  <c r="AJ593" i="1" s="1"/>
  <c r="V602" i="1"/>
  <c r="V612" i="1"/>
  <c r="P623" i="1"/>
  <c r="Z623" i="1" s="1"/>
  <c r="AJ623" i="1" s="1"/>
  <c r="T633" i="1"/>
  <c r="T643" i="1"/>
  <c r="AS643" i="1" s="1"/>
  <c r="AT643" i="1" s="1"/>
  <c r="R656" i="1"/>
  <c r="T665" i="1"/>
  <c r="R339" i="1"/>
  <c r="Q386" i="1"/>
  <c r="AA386" i="1" s="1"/>
  <c r="S425" i="1"/>
  <c r="AC425" i="1" s="1"/>
  <c r="AM425" i="1" s="1"/>
  <c r="Q457" i="1"/>
  <c r="V480" i="1"/>
  <c r="AF480" i="1" s="1"/>
  <c r="AP480" i="1" s="1"/>
  <c r="S500" i="1"/>
  <c r="AC500" i="1" s="1"/>
  <c r="AM500" i="1" s="1"/>
  <c r="Q517" i="1"/>
  <c r="Q533" i="1"/>
  <c r="Q549" i="1"/>
  <c r="O562" i="1"/>
  <c r="Y562" i="1" s="1"/>
  <c r="AI562" i="1" s="1"/>
  <c r="W574" i="1"/>
  <c r="W586" i="1"/>
  <c r="U599" i="1"/>
  <c r="O612" i="1"/>
  <c r="Y612" i="1" s="1"/>
  <c r="AI612" i="1" s="1"/>
  <c r="O621" i="1"/>
  <c r="Y621" i="1" s="1"/>
  <c r="AI621" i="1" s="1"/>
  <c r="P630" i="1"/>
  <c r="Z630" i="1" s="1"/>
  <c r="AJ630" i="1" s="1"/>
  <c r="Q639" i="1"/>
  <c r="V647" i="1"/>
  <c r="W656" i="1"/>
  <c r="W665" i="1"/>
  <c r="V321" i="1"/>
  <c r="AF321" i="1" s="1"/>
  <c r="AP321" i="1" s="1"/>
  <c r="U358" i="1"/>
  <c r="AB358" i="1" s="1"/>
  <c r="O397" i="1"/>
  <c r="Y397" i="1" s="1"/>
  <c r="AI397" i="1" s="1"/>
  <c r="P427" i="1"/>
  <c r="Z427" i="1" s="1"/>
  <c r="AJ427" i="1" s="1"/>
  <c r="Q455" i="1"/>
  <c r="S473" i="1"/>
  <c r="AC473" i="1" s="1"/>
  <c r="AM473" i="1" s="1"/>
  <c r="T491" i="1"/>
  <c r="AS491" i="1" s="1"/>
  <c r="P506" i="1"/>
  <c r="Z506" i="1" s="1"/>
  <c r="AJ506" i="1" s="1"/>
  <c r="R525" i="1"/>
  <c r="R541" i="1"/>
  <c r="P558" i="1"/>
  <c r="Z558" i="1" s="1"/>
  <c r="AJ558" i="1" s="1"/>
  <c r="P574" i="1"/>
  <c r="Z574" i="1" s="1"/>
  <c r="AJ574" i="1" s="1"/>
  <c r="P590" i="1"/>
  <c r="Z590" i="1" s="1"/>
  <c r="AJ590" i="1" s="1"/>
  <c r="R605" i="1"/>
  <c r="W615" i="1"/>
  <c r="S625" i="1"/>
  <c r="AC625" i="1" s="1"/>
  <c r="AM625" i="1" s="1"/>
  <c r="T634" i="1"/>
  <c r="AD634" i="1" s="1"/>
  <c r="AN634" i="1" s="1"/>
  <c r="U643" i="1"/>
  <c r="AG643" i="1" s="1"/>
  <c r="AQ643" i="1" s="1"/>
  <c r="U652" i="1"/>
  <c r="AE652" i="1" s="1"/>
  <c r="AO652" i="1" s="1"/>
  <c r="V661" i="1"/>
  <c r="O320" i="1"/>
  <c r="Y320" i="1" s="1"/>
  <c r="AI320" i="1" s="1"/>
  <c r="U408" i="1"/>
  <c r="W457" i="1"/>
  <c r="Q495" i="1"/>
  <c r="W520" i="1"/>
  <c r="W544" i="1"/>
  <c r="S570" i="1"/>
  <c r="AC570" i="1" s="1"/>
  <c r="AM570" i="1" s="1"/>
  <c r="O596" i="1"/>
  <c r="Y596" i="1" s="1"/>
  <c r="AI596" i="1" s="1"/>
  <c r="U617" i="1"/>
  <c r="AF617" i="1" s="1"/>
  <c r="AP617" i="1" s="1"/>
  <c r="V635" i="1"/>
  <c r="W653" i="1"/>
  <c r="W264" i="1"/>
  <c r="AS264" i="1" s="1"/>
  <c r="AX264" i="1" s="1"/>
  <c r="W378" i="1"/>
  <c r="AS378" i="1" s="1"/>
  <c r="AT378" i="1" s="1"/>
  <c r="AU378" i="1" s="1"/>
  <c r="AV378" i="1" s="1"/>
  <c r="AW378" i="1" s="1"/>
  <c r="S445" i="1"/>
  <c r="AC445" i="1" s="1"/>
  <c r="AM445" i="1" s="1"/>
  <c r="S484" i="1"/>
  <c r="AC484" i="1" s="1"/>
  <c r="AM484" i="1" s="1"/>
  <c r="O512" i="1"/>
  <c r="Y512" i="1" s="1"/>
  <c r="AI512" i="1" s="1"/>
  <c r="O536" i="1"/>
  <c r="Y536" i="1" s="1"/>
  <c r="AI536" i="1" s="1"/>
  <c r="U561" i="1"/>
  <c r="AB561" i="1" s="1"/>
  <c r="Q587" i="1"/>
  <c r="W613" i="1"/>
  <c r="AS613" i="1" s="1"/>
  <c r="W629" i="1"/>
  <c r="AG629" i="1" s="1"/>
  <c r="AQ629" i="1" s="1"/>
  <c r="Q652" i="1"/>
  <c r="W304" i="1"/>
  <c r="P447" i="1"/>
  <c r="Z447" i="1" s="1"/>
  <c r="AJ447" i="1" s="1"/>
  <c r="T514" i="1"/>
  <c r="AS514" i="1" s="1"/>
  <c r="AT514" i="1" s="1"/>
  <c r="T578" i="1"/>
  <c r="Q625" i="1"/>
  <c r="Q228" i="1"/>
  <c r="T437" i="1"/>
  <c r="AD437" i="1" s="1"/>
  <c r="AN437" i="1" s="1"/>
  <c r="V541" i="1"/>
  <c r="R599" i="1"/>
  <c r="O654" i="1"/>
  <c r="Y654" i="1" s="1"/>
  <c r="AI654" i="1" s="1"/>
  <c r="S636" i="1"/>
  <c r="AC636" i="1" s="1"/>
  <c r="AM636" i="1" s="1"/>
  <c r="T534" i="1"/>
  <c r="P310" i="1"/>
  <c r="Z310" i="1" s="1"/>
  <c r="AJ310" i="1" s="1"/>
  <c r="P608" i="1"/>
  <c r="Z608" i="1" s="1"/>
  <c r="AJ608" i="1" s="1"/>
  <c r="U484" i="1"/>
  <c r="R635" i="1"/>
  <c r="U172" i="1"/>
  <c r="AB172" i="1" s="1"/>
  <c r="Q187" i="1"/>
  <c r="Q144" i="1"/>
  <c r="AA144" i="1" s="1"/>
  <c r="U72" i="1"/>
  <c r="T223" i="1"/>
  <c r="AD223" i="1" s="1"/>
  <c r="AN223" i="1" s="1"/>
  <c r="S271" i="1"/>
  <c r="AC271" i="1" s="1"/>
  <c r="AM271" i="1" s="1"/>
  <c r="W305" i="1"/>
  <c r="P199" i="1"/>
  <c r="Z199" i="1" s="1"/>
  <c r="AJ199" i="1" s="1"/>
  <c r="W205" i="1"/>
  <c r="T265" i="1"/>
  <c r="AS265" i="1" s="1"/>
  <c r="AT265" i="1" s="1"/>
  <c r="AU265" i="1" s="1"/>
  <c r="AV265" i="1" s="1"/>
  <c r="AW265" i="1" s="1"/>
  <c r="T176" i="1"/>
  <c r="V309" i="1"/>
  <c r="R260" i="1"/>
  <c r="R320" i="1"/>
  <c r="V358" i="1"/>
  <c r="AF358" i="1" s="1"/>
  <c r="AP358" i="1" s="1"/>
  <c r="U104" i="1"/>
  <c r="W296" i="1"/>
  <c r="S337" i="1"/>
  <c r="AC337" i="1" s="1"/>
  <c r="AM337" i="1" s="1"/>
  <c r="V365" i="1"/>
  <c r="AF365" i="1" s="1"/>
  <c r="AP365" i="1" s="1"/>
  <c r="U388" i="1"/>
  <c r="AF388" i="1" s="1"/>
  <c r="AP388" i="1" s="1"/>
  <c r="W408" i="1"/>
  <c r="U429" i="1"/>
  <c r="AF429" i="1" s="1"/>
  <c r="AP429" i="1" s="1"/>
  <c r="W446" i="1"/>
  <c r="AG446" i="1" s="1"/>
  <c r="AQ446" i="1" s="1"/>
  <c r="T268" i="1"/>
  <c r="P326" i="1"/>
  <c r="Z326" i="1" s="1"/>
  <c r="AJ326" i="1" s="1"/>
  <c r="W364" i="1"/>
  <c r="P386" i="1"/>
  <c r="Z386" i="1" s="1"/>
  <c r="AJ386" i="1" s="1"/>
  <c r="T408" i="1"/>
  <c r="R431" i="1"/>
  <c r="R449" i="1"/>
  <c r="AB449" i="1" s="1"/>
  <c r="T466" i="1"/>
  <c r="AS466" i="1" s="1"/>
  <c r="AT466" i="1" s="1"/>
  <c r="T480" i="1"/>
  <c r="S199" i="1"/>
  <c r="AC199" i="1" s="1"/>
  <c r="AM199" i="1" s="1"/>
  <c r="W320" i="1"/>
  <c r="R363" i="1"/>
  <c r="U402" i="1"/>
  <c r="AF402" i="1" s="1"/>
  <c r="AP402" i="1" s="1"/>
  <c r="O425" i="1"/>
  <c r="Y425" i="1" s="1"/>
  <c r="AI425" i="1" s="1"/>
  <c r="Q448" i="1"/>
  <c r="O465" i="1"/>
  <c r="Y465" i="1" s="1"/>
  <c r="AI465" i="1" s="1"/>
  <c r="O481" i="1"/>
  <c r="Y481" i="1" s="1"/>
  <c r="AI481" i="1" s="1"/>
  <c r="U494" i="1"/>
  <c r="S505" i="1"/>
  <c r="AC505" i="1" s="1"/>
  <c r="AM505" i="1" s="1"/>
  <c r="U516" i="1"/>
  <c r="U528" i="1"/>
  <c r="AD528" i="1" s="1"/>
  <c r="AN528" i="1" s="1"/>
  <c r="W539" i="1"/>
  <c r="O551" i="1"/>
  <c r="Y551" i="1" s="1"/>
  <c r="AI551" i="1" s="1"/>
  <c r="U562" i="1"/>
  <c r="AE562" i="1" s="1"/>
  <c r="AO562" i="1" s="1"/>
  <c r="W573" i="1"/>
  <c r="O585" i="1"/>
  <c r="Y585" i="1" s="1"/>
  <c r="AI585" i="1" s="1"/>
  <c r="U596" i="1"/>
  <c r="AE596" i="1" s="1"/>
  <c r="AO596" i="1" s="1"/>
  <c r="O607" i="1"/>
  <c r="Y607" i="1" s="1"/>
  <c r="AI607" i="1" s="1"/>
  <c r="T300" i="1"/>
  <c r="S347" i="1"/>
  <c r="AC347" i="1" s="1"/>
  <c r="AM347" i="1" s="1"/>
  <c r="S378" i="1"/>
  <c r="AC378" i="1" s="1"/>
  <c r="AM378" i="1" s="1"/>
  <c r="R408" i="1"/>
  <c r="V434" i="1"/>
  <c r="S462" i="1"/>
  <c r="AC462" i="1" s="1"/>
  <c r="AM462" i="1" s="1"/>
  <c r="T479" i="1"/>
  <c r="R494" i="1"/>
  <c r="P507" i="1"/>
  <c r="Z507" i="1" s="1"/>
  <c r="AJ507" i="1" s="1"/>
  <c r="V522" i="1"/>
  <c r="V538" i="1"/>
  <c r="V550" i="1"/>
  <c r="P561" i="1"/>
  <c r="Z561" i="1" s="1"/>
  <c r="AJ561" i="1" s="1"/>
  <c r="P575" i="1"/>
  <c r="Z575" i="1" s="1"/>
  <c r="AJ575" i="1" s="1"/>
  <c r="V588" i="1"/>
  <c r="AF588" i="1" s="1"/>
  <c r="AP588" i="1" s="1"/>
  <c r="R598" i="1"/>
  <c r="AB598" i="1" s="1"/>
  <c r="AL598" i="1" s="1"/>
  <c r="V608" i="1"/>
  <c r="V618" i="1"/>
  <c r="P629" i="1"/>
  <c r="Z629" i="1" s="1"/>
  <c r="AJ629" i="1" s="1"/>
  <c r="P639" i="1"/>
  <c r="Z639" i="1" s="1"/>
  <c r="AJ639" i="1" s="1"/>
  <c r="V648" i="1"/>
  <c r="V658" i="1"/>
  <c r="P253" i="1"/>
  <c r="Z253" i="1" s="1"/>
  <c r="AJ253" i="1" s="1"/>
  <c r="P352" i="1"/>
  <c r="Z352" i="1" s="1"/>
  <c r="AJ352" i="1" s="1"/>
  <c r="O403" i="1"/>
  <c r="Y403" i="1" s="1"/>
  <c r="AI403" i="1" s="1"/>
  <c r="U436" i="1"/>
  <c r="AE436" i="1" s="1"/>
  <c r="AO436" i="1" s="1"/>
  <c r="U463" i="1"/>
  <c r="Q488" i="1"/>
  <c r="Q505" i="1"/>
  <c r="O522" i="1"/>
  <c r="Y522" i="1" s="1"/>
  <c r="AI522" i="1" s="1"/>
  <c r="W538" i="1"/>
  <c r="S556" i="1"/>
  <c r="AC556" i="1" s="1"/>
  <c r="AM556" i="1" s="1"/>
  <c r="Q569" i="1"/>
  <c r="O582" i="1"/>
  <c r="Y582" i="1" s="1"/>
  <c r="AI582" i="1" s="1"/>
  <c r="O594" i="1"/>
  <c r="Y594" i="1" s="1"/>
  <c r="AI594" i="1" s="1"/>
  <c r="W606" i="1"/>
  <c r="W616" i="1"/>
  <c r="W625" i="1"/>
  <c r="S635" i="1"/>
  <c r="AC635" i="1" s="1"/>
  <c r="AM635" i="1" s="1"/>
  <c r="P646" i="1"/>
  <c r="Z646" i="1" s="1"/>
  <c r="AJ646" i="1" s="1"/>
  <c r="Q655" i="1"/>
  <c r="Q664" i="1"/>
  <c r="P312" i="1"/>
  <c r="Z312" i="1" s="1"/>
  <c r="AJ312" i="1" s="1"/>
  <c r="W360" i="1"/>
  <c r="AS360" i="1" s="1"/>
  <c r="AT360" i="1" s="1"/>
  <c r="AU360" i="1" s="1"/>
  <c r="Q399" i="1"/>
  <c r="V428" i="1"/>
  <c r="R456" i="1"/>
  <c r="S474" i="1"/>
  <c r="AC474" i="1" s="1"/>
  <c r="AM474" i="1" s="1"/>
  <c r="T492" i="1"/>
  <c r="V507" i="1"/>
  <c r="P522" i="1"/>
  <c r="Z522" i="1" s="1"/>
  <c r="AJ522" i="1" s="1"/>
  <c r="P538" i="1"/>
  <c r="Z538" i="1" s="1"/>
  <c r="AJ538" i="1" s="1"/>
  <c r="V555" i="1"/>
  <c r="V571" i="1"/>
  <c r="V587" i="1"/>
  <c r="P606" i="1"/>
  <c r="Z606" i="1" s="1"/>
  <c r="AJ606" i="1" s="1"/>
  <c r="S616" i="1"/>
  <c r="AC616" i="1" s="1"/>
  <c r="AM616" i="1" s="1"/>
  <c r="O626" i="1"/>
  <c r="Y626" i="1" s="1"/>
  <c r="AI626" i="1" s="1"/>
  <c r="O635" i="1"/>
  <c r="Y635" i="1" s="1"/>
  <c r="AI635" i="1" s="1"/>
  <c r="P644" i="1"/>
  <c r="Z644" i="1" s="1"/>
  <c r="AJ644" i="1" s="1"/>
  <c r="Q653" i="1"/>
  <c r="Q662" i="1"/>
  <c r="S326" i="1"/>
  <c r="AC326" i="1" s="1"/>
  <c r="AM326" i="1" s="1"/>
  <c r="O398" i="1"/>
  <c r="Y398" i="1" s="1"/>
  <c r="AI398" i="1" s="1"/>
  <c r="Q450" i="1"/>
  <c r="U487" i="1"/>
  <c r="AB487" i="1" s="1"/>
  <c r="O516" i="1"/>
  <c r="Y516" i="1" s="1"/>
  <c r="AI516" i="1" s="1"/>
  <c r="U541" i="1"/>
  <c r="U565" i="1"/>
  <c r="Q591" i="1"/>
  <c r="S614" i="1"/>
  <c r="AC614" i="1" s="1"/>
  <c r="AM614" i="1" s="1"/>
  <c r="T632" i="1"/>
  <c r="AD632" i="1" s="1"/>
  <c r="AN632" i="1" s="1"/>
  <c r="U650" i="1"/>
  <c r="O205" i="1"/>
  <c r="Y205" i="1" s="1"/>
  <c r="AI205" i="1" s="1"/>
  <c r="O366" i="1"/>
  <c r="Y366" i="1" s="1"/>
  <c r="AI366" i="1" s="1"/>
  <c r="O423" i="1"/>
  <c r="Y423" i="1" s="1"/>
  <c r="AI423" i="1" s="1"/>
  <c r="S467" i="1"/>
  <c r="AC467" i="1" s="1"/>
  <c r="AM467" i="1" s="1"/>
  <c r="W500" i="1"/>
  <c r="W524" i="1"/>
  <c r="AG524" i="1" s="1"/>
  <c r="AQ524" i="1" s="1"/>
  <c r="S550" i="1"/>
  <c r="AC550" i="1" s="1"/>
  <c r="AM550" i="1" s="1"/>
  <c r="O576" i="1"/>
  <c r="Y576" i="1" s="1"/>
  <c r="AI576" i="1" s="1"/>
  <c r="O600" i="1"/>
  <c r="Y600" i="1" s="1"/>
  <c r="AI600" i="1" s="1"/>
  <c r="Q620" i="1"/>
  <c r="AA620" i="1" s="1"/>
  <c r="AK620" i="1" s="1"/>
  <c r="Q636" i="1"/>
  <c r="AA636" i="1" s="1"/>
  <c r="AK636" i="1" s="1"/>
  <c r="R653" i="1"/>
  <c r="P320" i="1"/>
  <c r="Z320" i="1" s="1"/>
  <c r="AJ320" i="1" s="1"/>
  <c r="T453" i="1"/>
  <c r="V517" i="1"/>
  <c r="V581" i="1"/>
  <c r="R627" i="1"/>
  <c r="S661" i="1"/>
  <c r="AC661" i="1" s="1"/>
  <c r="AM661" i="1" s="1"/>
  <c r="R418" i="1"/>
  <c r="P500" i="1"/>
  <c r="Z500" i="1" s="1"/>
  <c r="AJ500" i="1" s="1"/>
  <c r="V573" i="1"/>
  <c r="P624" i="1"/>
  <c r="Z624" i="1" s="1"/>
  <c r="AJ624" i="1" s="1"/>
  <c r="P656" i="1"/>
  <c r="Z656" i="1" s="1"/>
  <c r="AJ656" i="1" s="1"/>
  <c r="P632" i="1"/>
  <c r="Z632" i="1" s="1"/>
  <c r="AJ632" i="1" s="1"/>
  <c r="P528" i="1"/>
  <c r="Z528" i="1" s="1"/>
  <c r="AJ528" i="1" s="1"/>
  <c r="S370" i="1"/>
  <c r="AC370" i="1" s="1"/>
  <c r="AM370" i="1" s="1"/>
  <c r="S621" i="1"/>
  <c r="AC621" i="1" s="1"/>
  <c r="AM621" i="1" s="1"/>
  <c r="V505" i="1"/>
  <c r="O77" i="1"/>
  <c r="Y77" i="1" s="1"/>
  <c r="AI77" i="1" s="1"/>
  <c r="W226" i="1"/>
  <c r="R228" i="1"/>
  <c r="AB228" i="1" s="1"/>
  <c r="O301" i="1"/>
  <c r="Y301" i="1" s="1"/>
  <c r="AI301" i="1" s="1"/>
  <c r="V284" i="1"/>
  <c r="U322" i="1"/>
  <c r="V316" i="1"/>
  <c r="P395" i="1"/>
  <c r="Z395" i="1" s="1"/>
  <c r="AJ395" i="1" s="1"/>
  <c r="O339" i="1"/>
  <c r="Y339" i="1" s="1"/>
  <c r="AI339" i="1" s="1"/>
  <c r="Q390" i="1"/>
  <c r="S426" i="1"/>
  <c r="AC426" i="1" s="1"/>
  <c r="AM426" i="1" s="1"/>
  <c r="P252" i="1"/>
  <c r="Z252" i="1" s="1"/>
  <c r="AJ252" i="1" s="1"/>
  <c r="Q356" i="1"/>
  <c r="O400" i="1"/>
  <c r="Y400" i="1" s="1"/>
  <c r="AI400" i="1" s="1"/>
  <c r="P442" i="1"/>
  <c r="Z442" i="1" s="1"/>
  <c r="AJ442" i="1" s="1"/>
  <c r="P472" i="1"/>
  <c r="Z472" i="1" s="1"/>
  <c r="AJ472" i="1" s="1"/>
  <c r="O272" i="1"/>
  <c r="Y272" i="1" s="1"/>
  <c r="AI272" i="1" s="1"/>
  <c r="T366" i="1"/>
  <c r="O421" i="1"/>
  <c r="Y421" i="1" s="1"/>
  <c r="AI421" i="1" s="1"/>
  <c r="W461" i="1"/>
  <c r="U490" i="1"/>
  <c r="AB490" i="1" s="1"/>
  <c r="U512" i="1"/>
  <c r="AE512" i="1" s="1"/>
  <c r="AO512" i="1" s="1"/>
  <c r="S535" i="1"/>
  <c r="AC535" i="1" s="1"/>
  <c r="AM535" i="1" s="1"/>
  <c r="Q558" i="1"/>
  <c r="U580" i="1"/>
  <c r="W601" i="1"/>
  <c r="R335" i="1"/>
  <c r="AB335" i="1" s="1"/>
  <c r="AL335" i="1" s="1"/>
  <c r="O389" i="1"/>
  <c r="Y389" i="1" s="1"/>
  <c r="AI389" i="1" s="1"/>
  <c r="U456" i="1"/>
  <c r="U488" i="1"/>
  <c r="AF488" i="1" s="1"/>
  <c r="AP488" i="1" s="1"/>
  <c r="P513" i="1"/>
  <c r="Z513" i="1" s="1"/>
  <c r="AJ513" i="1" s="1"/>
  <c r="T535" i="1"/>
  <c r="AS535" i="1" s="1"/>
  <c r="AX535" i="1" s="1"/>
  <c r="R562" i="1"/>
  <c r="V580" i="1"/>
  <c r="R602" i="1"/>
  <c r="R622" i="1"/>
  <c r="P643" i="1"/>
  <c r="Z643" i="1" s="1"/>
  <c r="AJ643" i="1" s="1"/>
  <c r="Q149" i="1"/>
  <c r="R371" i="1"/>
  <c r="AB371" i="1" s="1"/>
  <c r="S449" i="1"/>
  <c r="AC449" i="1" s="1"/>
  <c r="AM449" i="1" s="1"/>
  <c r="U495" i="1"/>
  <c r="S528" i="1"/>
  <c r="AC528" i="1" s="1"/>
  <c r="AM528" i="1" s="1"/>
  <c r="O558" i="1"/>
  <c r="Y558" i="1" s="1"/>
  <c r="AI558" i="1" s="1"/>
  <c r="U583" i="1"/>
  <c r="S608" i="1"/>
  <c r="AC608" i="1" s="1"/>
  <c r="AM608" i="1" s="1"/>
  <c r="S627" i="1"/>
  <c r="AC627" i="1" s="1"/>
  <c r="AM627" i="1" s="1"/>
  <c r="O645" i="1"/>
  <c r="Y645" i="1" s="1"/>
  <c r="AI645" i="1" s="1"/>
  <c r="Q663" i="1"/>
  <c r="W345" i="1"/>
  <c r="T417" i="1"/>
  <c r="O467" i="1"/>
  <c r="Y467" i="1" s="1"/>
  <c r="AI467" i="1" s="1"/>
  <c r="T500" i="1"/>
  <c r="V531" i="1"/>
  <c r="R557" i="1"/>
  <c r="AB557" i="1" s="1"/>
  <c r="R589" i="1"/>
  <c r="R615" i="1"/>
  <c r="O634" i="1"/>
  <c r="Y634" i="1" s="1"/>
  <c r="AI634" i="1" s="1"/>
  <c r="P652" i="1"/>
  <c r="Z652" i="1" s="1"/>
  <c r="AJ652" i="1" s="1"/>
  <c r="U313" i="1"/>
  <c r="AE313" i="1" s="1"/>
  <c r="AO313" i="1" s="1"/>
  <c r="W443" i="1"/>
  <c r="W512" i="1"/>
  <c r="S562" i="1"/>
  <c r="AC562" i="1" s="1"/>
  <c r="AM562" i="1" s="1"/>
  <c r="Q612" i="1"/>
  <c r="T648" i="1"/>
  <c r="U391" i="1"/>
  <c r="AE391" i="1" s="1"/>
  <c r="AO391" i="1" s="1"/>
  <c r="R482" i="1"/>
  <c r="Q547" i="1"/>
  <c r="AA547" i="1" s="1"/>
  <c r="AK547" i="1" s="1"/>
  <c r="W596" i="1"/>
  <c r="Q651" i="1"/>
  <c r="V440" i="1"/>
  <c r="AF440" i="1" s="1"/>
  <c r="AP440" i="1" s="1"/>
  <c r="R575" i="1"/>
  <c r="AB575" i="1" s="1"/>
  <c r="V313" i="1"/>
  <c r="R519" i="1"/>
  <c r="W619" i="1"/>
  <c r="Q649" i="1"/>
  <c r="W642" i="1"/>
  <c r="R410" i="1"/>
  <c r="W228" i="1"/>
  <c r="AS228" i="1" s="1"/>
  <c r="AT228" i="1" s="1"/>
  <c r="V186" i="1"/>
  <c r="AF186" i="1" s="1"/>
  <c r="AP186" i="1" s="1"/>
  <c r="U274" i="1"/>
  <c r="AA274" i="1" s="1"/>
  <c r="R202" i="1"/>
  <c r="W201" i="1"/>
  <c r="AS201" i="1" s="1"/>
  <c r="AT201" i="1" s="1"/>
  <c r="V278" i="1"/>
  <c r="T299" i="1"/>
  <c r="R388" i="1"/>
  <c r="V83" i="1"/>
  <c r="T152" i="1"/>
  <c r="O105" i="1"/>
  <c r="Y105" i="1" s="1"/>
  <c r="AI105" i="1" s="1"/>
  <c r="P170" i="1"/>
  <c r="Z170" i="1" s="1"/>
  <c r="AJ170" i="1" s="1"/>
  <c r="T140" i="1"/>
  <c r="AS140" i="1" s="1"/>
  <c r="AT140" i="1" s="1"/>
  <c r="AU140" i="1" s="1"/>
  <c r="AV140" i="1" s="1"/>
  <c r="AW140" i="1" s="1"/>
  <c r="S172" i="1"/>
  <c r="AC172" i="1" s="1"/>
  <c r="AM172" i="1" s="1"/>
  <c r="P224" i="1"/>
  <c r="Z224" i="1" s="1"/>
  <c r="AJ224" i="1" s="1"/>
  <c r="O166" i="1"/>
  <c r="Y166" i="1" s="1"/>
  <c r="AI166" i="1" s="1"/>
  <c r="O267" i="1"/>
  <c r="Y267" i="1" s="1"/>
  <c r="AI267" i="1" s="1"/>
  <c r="V208" i="1"/>
  <c r="R278" i="1"/>
  <c r="Q320" i="1"/>
  <c r="O308" i="1"/>
  <c r="Y308" i="1" s="1"/>
  <c r="AI308" i="1" s="1"/>
  <c r="P371" i="1"/>
  <c r="Z371" i="1" s="1"/>
  <c r="AJ371" i="1" s="1"/>
  <c r="U84" i="1"/>
  <c r="AA84" i="1" s="1"/>
  <c r="Q225" i="1"/>
  <c r="U108" i="1"/>
  <c r="AB108" i="1" s="1"/>
  <c r="O247" i="1"/>
  <c r="Y247" i="1" s="1"/>
  <c r="AI247" i="1" s="1"/>
  <c r="W297" i="1"/>
  <c r="V242" i="1"/>
  <c r="P254" i="1"/>
  <c r="Z254" i="1" s="1"/>
  <c r="AJ254" i="1" s="1"/>
  <c r="P270" i="1"/>
  <c r="Z270" i="1" s="1"/>
  <c r="AJ270" i="1" s="1"/>
  <c r="O201" i="1"/>
  <c r="Y201" i="1" s="1"/>
  <c r="AI201" i="1" s="1"/>
  <c r="V336" i="1"/>
  <c r="P121" i="1"/>
  <c r="Z121" i="1" s="1"/>
  <c r="AJ121" i="1" s="1"/>
  <c r="U259" i="1"/>
  <c r="U298" i="1"/>
  <c r="AF298" i="1" s="1"/>
  <c r="AP298" i="1" s="1"/>
  <c r="P262" i="1"/>
  <c r="Z262" i="1" s="1"/>
  <c r="AJ262" i="1" s="1"/>
  <c r="O241" i="1"/>
  <c r="Y241" i="1" s="1"/>
  <c r="AI241" i="1" s="1"/>
  <c r="T395" i="1"/>
  <c r="O354" i="1"/>
  <c r="Y354" i="1" s="1"/>
  <c r="AI354" i="1" s="1"/>
  <c r="W418" i="1"/>
  <c r="P294" i="1"/>
  <c r="Z294" i="1" s="1"/>
  <c r="AJ294" i="1" s="1"/>
  <c r="Q387" i="1"/>
  <c r="P452" i="1"/>
  <c r="Z452" i="1" s="1"/>
  <c r="AJ452" i="1" s="1"/>
  <c r="W212" i="1"/>
  <c r="T238" i="1"/>
  <c r="Q216" i="1"/>
  <c r="S223" i="1"/>
  <c r="AC223" i="1" s="1"/>
  <c r="AM223" i="1" s="1"/>
  <c r="P319" i="1"/>
  <c r="Z319" i="1" s="1"/>
  <c r="AJ319" i="1" s="1"/>
  <c r="T399" i="1"/>
  <c r="S332" i="1"/>
  <c r="AC332" i="1" s="1"/>
  <c r="AM332" i="1" s="1"/>
  <c r="S385" i="1"/>
  <c r="AC385" i="1" s="1"/>
  <c r="AM385" i="1" s="1"/>
  <c r="U425" i="1"/>
  <c r="AE425" i="1" s="1"/>
  <c r="AO425" i="1" s="1"/>
  <c r="W213" i="1"/>
  <c r="AG213" i="1" s="1"/>
  <c r="AQ213" i="1" s="1"/>
  <c r="V331" i="1"/>
  <c r="V371" i="1"/>
  <c r="V407" i="1"/>
  <c r="R441" i="1"/>
  <c r="R473" i="1"/>
  <c r="O316" i="1"/>
  <c r="Y316" i="1" s="1"/>
  <c r="AI316" i="1" s="1"/>
  <c r="P392" i="1"/>
  <c r="Z392" i="1" s="1"/>
  <c r="AJ392" i="1" s="1"/>
  <c r="W445" i="1"/>
  <c r="W485" i="1"/>
  <c r="AS485" i="1" s="1"/>
  <c r="W513" i="1"/>
  <c r="S539" i="1"/>
  <c r="AC539" i="1" s="1"/>
  <c r="AM539" i="1" s="1"/>
  <c r="O565" i="1"/>
  <c r="Y565" i="1" s="1"/>
  <c r="AI565" i="1" s="1"/>
  <c r="U590" i="1"/>
  <c r="V280" i="1"/>
  <c r="W384" i="1"/>
  <c r="V446" i="1"/>
  <c r="T487" i="1"/>
  <c r="AS487" i="1" s="1"/>
  <c r="AX487" i="1" s="1"/>
  <c r="T519" i="1"/>
  <c r="P551" i="1"/>
  <c r="Z551" i="1" s="1"/>
  <c r="AJ551" i="1" s="1"/>
  <c r="P583" i="1"/>
  <c r="Z583" i="1" s="1"/>
  <c r="AJ583" i="1" s="1"/>
  <c r="P617" i="1"/>
  <c r="Z617" i="1" s="1"/>
  <c r="AJ617" i="1" s="1"/>
  <c r="T651" i="1"/>
  <c r="Q354" i="1"/>
  <c r="V464" i="1"/>
  <c r="Q529" i="1"/>
  <c r="S154" i="1"/>
  <c r="AC154" i="1" s="1"/>
  <c r="AM154" i="1" s="1"/>
  <c r="S213" i="1"/>
  <c r="AC213" i="1" s="1"/>
  <c r="AM213" i="1" s="1"/>
  <c r="U163" i="1"/>
  <c r="AA163" i="1" s="1"/>
  <c r="AK163" i="1" s="1"/>
  <c r="P300" i="1"/>
  <c r="Z300" i="1" s="1"/>
  <c r="AJ300" i="1" s="1"/>
  <c r="AL300" i="1" s="1"/>
  <c r="P317" i="1"/>
  <c r="Z317" i="1" s="1"/>
  <c r="AJ317" i="1" s="1"/>
  <c r="T275" i="1"/>
  <c r="AS275" i="1" s="1"/>
  <c r="Q374" i="1"/>
  <c r="U435" i="1"/>
  <c r="U338" i="1"/>
  <c r="AE338" i="1" s="1"/>
  <c r="AO338" i="1" s="1"/>
  <c r="T410" i="1"/>
  <c r="T476" i="1"/>
  <c r="AS476" i="1" s="1"/>
  <c r="AT476" i="1" s="1"/>
  <c r="AU476" i="1" s="1"/>
  <c r="R347" i="1"/>
  <c r="U434" i="1"/>
  <c r="AE434" i="1" s="1"/>
  <c r="AO434" i="1" s="1"/>
  <c r="S487" i="1"/>
  <c r="AC487" i="1" s="1"/>
  <c r="AM487" i="1" s="1"/>
  <c r="S521" i="1"/>
  <c r="AC521" i="1" s="1"/>
  <c r="AM521" i="1" s="1"/>
  <c r="S551" i="1"/>
  <c r="AC551" i="1" s="1"/>
  <c r="AM551" i="1" s="1"/>
  <c r="O575" i="1"/>
  <c r="Y575" i="1" s="1"/>
  <c r="AI575" i="1" s="1"/>
  <c r="Q600" i="1"/>
  <c r="AA600" i="1" s="1"/>
  <c r="R319" i="1"/>
  <c r="AB319" i="1" s="1"/>
  <c r="AL319" i="1" s="1"/>
  <c r="S379" i="1"/>
  <c r="AC379" i="1" s="1"/>
  <c r="AM379" i="1" s="1"/>
  <c r="V426" i="1"/>
  <c r="Q466" i="1"/>
  <c r="V492" i="1"/>
  <c r="P517" i="1"/>
  <c r="Z517" i="1" s="1"/>
  <c r="AJ517" i="1" s="1"/>
  <c r="P539" i="1"/>
  <c r="Z539" i="1" s="1"/>
  <c r="AJ539" i="1" s="1"/>
  <c r="W159" i="1"/>
  <c r="S138" i="1"/>
  <c r="AC138" i="1" s="1"/>
  <c r="AM138" i="1" s="1"/>
  <c r="P208" i="1"/>
  <c r="Z208" i="1" s="1"/>
  <c r="AJ208" i="1" s="1"/>
  <c r="O295" i="1"/>
  <c r="Y295" i="1" s="1"/>
  <c r="AI295" i="1" s="1"/>
  <c r="T170" i="1"/>
  <c r="AS170" i="1" s="1"/>
  <c r="AT170" i="1" s="1"/>
  <c r="U299" i="1"/>
  <c r="U332" i="1"/>
  <c r="AG332" i="1" s="1"/>
  <c r="AQ332" i="1" s="1"/>
  <c r="P357" i="1"/>
  <c r="Z357" i="1" s="1"/>
  <c r="AJ357" i="1" s="1"/>
  <c r="R256" i="1"/>
  <c r="S353" i="1"/>
  <c r="AC353" i="1" s="1"/>
  <c r="AM353" i="1" s="1"/>
  <c r="W402" i="1"/>
  <c r="AS402" i="1" s="1"/>
  <c r="AT402" i="1" s="1"/>
  <c r="Q437" i="1"/>
  <c r="S298" i="1"/>
  <c r="AC298" i="1" s="1"/>
  <c r="AM298" i="1" s="1"/>
  <c r="Q372" i="1"/>
  <c r="AA372" i="1" s="1"/>
  <c r="AK372" i="1" s="1"/>
  <c r="V417" i="1"/>
  <c r="P466" i="1"/>
  <c r="Z466" i="1" s="1"/>
  <c r="AJ466" i="1" s="1"/>
  <c r="P163" i="1"/>
  <c r="Z163" i="1" s="1"/>
  <c r="AJ163" i="1" s="1"/>
  <c r="Q362" i="1"/>
  <c r="U418" i="1"/>
  <c r="Q460" i="1"/>
  <c r="W493" i="1"/>
  <c r="Q516" i="1"/>
  <c r="O539" i="1"/>
  <c r="Y539" i="1" s="1"/>
  <c r="AI539" i="1" s="1"/>
  <c r="S561" i="1"/>
  <c r="AC561" i="1" s="1"/>
  <c r="AM561" i="1" s="1"/>
  <c r="U584" i="1"/>
  <c r="O609" i="1"/>
  <c r="Y609" i="1" s="1"/>
  <c r="AI609" i="1" s="1"/>
  <c r="Q360" i="1"/>
  <c r="P425" i="1"/>
  <c r="Z425" i="1" s="1"/>
  <c r="AJ425" i="1" s="1"/>
  <c r="U465" i="1"/>
  <c r="R496" i="1"/>
  <c r="T525" i="1"/>
  <c r="P555" i="1"/>
  <c r="Z555" i="1" s="1"/>
  <c r="AJ555" i="1" s="1"/>
  <c r="R574" i="1"/>
  <c r="V594" i="1"/>
  <c r="T615" i="1"/>
  <c r="R636" i="1"/>
  <c r="R658" i="1"/>
  <c r="O350" i="1"/>
  <c r="Y350" i="1" s="1"/>
  <c r="AI350" i="1" s="1"/>
  <c r="O435" i="1"/>
  <c r="Y435" i="1" s="1"/>
  <c r="AI435" i="1" s="1"/>
  <c r="P487" i="1"/>
  <c r="Z487" i="1" s="1"/>
  <c r="AJ487" i="1" s="1"/>
  <c r="Q521" i="1"/>
  <c r="S552" i="1"/>
  <c r="AC552" i="1" s="1"/>
  <c r="AM552" i="1" s="1"/>
  <c r="O578" i="1"/>
  <c r="Y578" i="1" s="1"/>
  <c r="AI578" i="1" s="1"/>
  <c r="W602" i="1"/>
  <c r="Q623" i="1"/>
  <c r="AA623" i="1" s="1"/>
  <c r="R641" i="1"/>
  <c r="AB641" i="1" s="1"/>
  <c r="AL641" i="1" s="1"/>
  <c r="S659" i="1"/>
  <c r="AC659" i="1" s="1"/>
  <c r="AM659" i="1" s="1"/>
  <c r="T334" i="1"/>
  <c r="V404" i="1"/>
  <c r="T459" i="1"/>
  <c r="AD459" i="1" s="1"/>
  <c r="AN459" i="1" s="1"/>
  <c r="V495" i="1"/>
  <c r="AF495" i="1" s="1"/>
  <c r="AP495" i="1" s="1"/>
  <c r="R529" i="1"/>
  <c r="P562" i="1"/>
  <c r="Z562" i="1" s="1"/>
  <c r="AJ562" i="1" s="1"/>
  <c r="P594" i="1"/>
  <c r="Z594" i="1" s="1"/>
  <c r="AJ594" i="1" s="1"/>
  <c r="T618" i="1"/>
  <c r="U636" i="1"/>
  <c r="AB636" i="1" s="1"/>
  <c r="W654" i="1"/>
  <c r="T342" i="1"/>
  <c r="AS342" i="1" s="1"/>
  <c r="AT342" i="1" s="1"/>
  <c r="AU342" i="1" s="1"/>
  <c r="AV342" i="1" s="1"/>
  <c r="AW342" i="1" s="1"/>
  <c r="S468" i="1"/>
  <c r="AC468" i="1" s="1"/>
  <c r="AM468" i="1" s="1"/>
  <c r="Q527" i="1"/>
  <c r="W576" i="1"/>
  <c r="W621" i="1"/>
  <c r="P658" i="1"/>
  <c r="Z658" i="1" s="1"/>
  <c r="AJ658" i="1" s="1"/>
  <c r="O407" i="1"/>
  <c r="Y407" i="1" s="1"/>
  <c r="AI407" i="1" s="1"/>
  <c r="W492" i="1"/>
  <c r="S542" i="1"/>
  <c r="AC542" i="1" s="1"/>
  <c r="AM542" i="1" s="1"/>
  <c r="S598" i="1"/>
  <c r="AC598" i="1" s="1"/>
  <c r="AM598" i="1" s="1"/>
  <c r="Q635" i="1"/>
  <c r="V359" i="1"/>
  <c r="T530" i="1"/>
  <c r="AD530" i="1" s="1"/>
  <c r="AN530" i="1" s="1"/>
  <c r="V633" i="1"/>
  <c r="AF633" i="1" s="1"/>
  <c r="AP633" i="1" s="1"/>
  <c r="P477" i="1"/>
  <c r="Z477" i="1" s="1"/>
  <c r="AJ477" i="1" s="1"/>
  <c r="S613" i="1"/>
  <c r="AC613" i="1" s="1"/>
  <c r="AM613" i="1" s="1"/>
  <c r="R619" i="1"/>
  <c r="U655" i="1"/>
  <c r="O459" i="1"/>
  <c r="Y459" i="1" s="1"/>
  <c r="AI459" i="1" s="1"/>
  <c r="O168" i="1"/>
  <c r="Y168" i="1" s="1"/>
  <c r="AI168" i="1" s="1"/>
  <c r="T197" i="1"/>
  <c r="AD197" i="1" s="1"/>
  <c r="AN197" i="1" s="1"/>
  <c r="R235" i="1"/>
  <c r="W107" i="1"/>
  <c r="AG107" i="1" s="1"/>
  <c r="AQ107" i="1" s="1"/>
  <c r="Q224" i="1"/>
  <c r="V253" i="1"/>
  <c r="V274" i="1"/>
  <c r="AF274" i="1" s="1"/>
  <c r="AP274" i="1" s="1"/>
  <c r="R376" i="1"/>
  <c r="S312" i="1"/>
  <c r="AC312" i="1" s="1"/>
  <c r="AM312" i="1" s="1"/>
  <c r="T370" i="1"/>
  <c r="AS370" i="1" s="1"/>
  <c r="AT370" i="1" s="1"/>
  <c r="W416" i="1"/>
  <c r="S450" i="1"/>
  <c r="AC450" i="1" s="1"/>
  <c r="AM450" i="1" s="1"/>
  <c r="T336" i="1"/>
  <c r="S391" i="1"/>
  <c r="AC391" i="1" s="1"/>
  <c r="AM391" i="1" s="1"/>
  <c r="P436" i="1"/>
  <c r="Z436" i="1" s="1"/>
  <c r="AJ436" i="1" s="1"/>
  <c r="P470" i="1"/>
  <c r="Z470" i="1" s="1"/>
  <c r="AJ470" i="1" s="1"/>
  <c r="T263" i="1"/>
  <c r="AS263" i="1" s="1"/>
  <c r="W371" i="1"/>
  <c r="AS371" i="1" s="1"/>
  <c r="S431" i="1"/>
  <c r="AC431" i="1" s="1"/>
  <c r="AM431" i="1" s="1"/>
  <c r="V468" i="1"/>
  <c r="O497" i="1"/>
  <c r="Y497" i="1" s="1"/>
  <c r="AI497" i="1" s="1"/>
  <c r="W519" i="1"/>
  <c r="Q542" i="1"/>
  <c r="S565" i="1"/>
  <c r="AC565" i="1" s="1"/>
  <c r="AM565" i="1" s="1"/>
  <c r="Q588" i="1"/>
  <c r="O126" i="1"/>
  <c r="Y126" i="1" s="1"/>
  <c r="AI126" i="1" s="1"/>
  <c r="W352" i="1"/>
  <c r="V414" i="1"/>
  <c r="AF414" i="1" s="1"/>
  <c r="AP414" i="1" s="1"/>
  <c r="V466" i="1"/>
  <c r="V496" i="1"/>
  <c r="R526" i="1"/>
  <c r="P553" i="1"/>
  <c r="Z553" i="1" s="1"/>
  <c r="AJ553" i="1" s="1"/>
  <c r="P577" i="1"/>
  <c r="Z577" i="1" s="1"/>
  <c r="AJ577" i="1" s="1"/>
  <c r="V600" i="1"/>
  <c r="AF600" i="1" s="1"/>
  <c r="AP600" i="1" s="1"/>
  <c r="T621" i="1"/>
  <c r="T641" i="1"/>
  <c r="P661" i="1"/>
  <c r="Z661" i="1" s="1"/>
  <c r="AJ661" i="1" s="1"/>
  <c r="O367" i="1"/>
  <c r="Y367" i="1" s="1"/>
  <c r="AI367" i="1" s="1"/>
  <c r="U444" i="1"/>
  <c r="Q493" i="1"/>
  <c r="W526" i="1"/>
  <c r="U559" i="1"/>
  <c r="Q585" i="1"/>
  <c r="AA585" i="1" s="1"/>
  <c r="AK585" i="1" s="1"/>
  <c r="W609" i="1"/>
  <c r="AS609" i="1" s="1"/>
  <c r="T628" i="1"/>
  <c r="Q648" i="1"/>
  <c r="S666" i="1"/>
  <c r="AC666" i="1" s="1"/>
  <c r="AM666" i="1" s="1"/>
  <c r="S371" i="1"/>
  <c r="AC371" i="1" s="1"/>
  <c r="AM371" i="1" s="1"/>
  <c r="V436" i="1"/>
  <c r="V478" i="1"/>
  <c r="V511" i="1"/>
  <c r="P542" i="1"/>
  <c r="Z542" i="1" s="1"/>
  <c r="AJ542" i="1" s="1"/>
  <c r="V575" i="1"/>
  <c r="AF575" i="1" s="1"/>
  <c r="AP575" i="1" s="1"/>
  <c r="O610" i="1"/>
  <c r="Y610" i="1" s="1"/>
  <c r="AI610" i="1" s="1"/>
  <c r="P628" i="1"/>
  <c r="Z628" i="1" s="1"/>
  <c r="AJ628" i="1" s="1"/>
  <c r="Q646" i="1"/>
  <c r="AA646" i="1" s="1"/>
  <c r="S664" i="1"/>
  <c r="AC664" i="1" s="1"/>
  <c r="AM664" i="1" s="1"/>
  <c r="W411" i="1"/>
  <c r="W496" i="1"/>
  <c r="S546" i="1"/>
  <c r="AC546" i="1" s="1"/>
  <c r="AM546" i="1" s="1"/>
  <c r="U597" i="1"/>
  <c r="W636" i="1"/>
  <c r="R276" i="1"/>
  <c r="W435" i="1"/>
  <c r="Q507" i="1"/>
  <c r="W556" i="1"/>
  <c r="S606" i="1"/>
  <c r="AC606" i="1" s="1"/>
  <c r="AM606" i="1" s="1"/>
  <c r="T640" i="1"/>
  <c r="Q368" i="1"/>
  <c r="V533" i="1"/>
  <c r="W635" i="1"/>
  <c r="R450" i="1"/>
  <c r="V589" i="1"/>
  <c r="U664" i="1"/>
  <c r="AE664" i="1" s="1"/>
  <c r="AO664" i="1" s="1"/>
  <c r="T502" i="1"/>
  <c r="AD502" i="1" s="1"/>
  <c r="AN502" i="1" s="1"/>
  <c r="V601" i="1"/>
  <c r="P123" i="1"/>
  <c r="Z123" i="1" s="1"/>
  <c r="AJ123" i="1" s="1"/>
  <c r="U250" i="1"/>
  <c r="S88" i="1"/>
  <c r="AC88" i="1" s="1"/>
  <c r="AM88" i="1" s="1"/>
  <c r="T331" i="1"/>
  <c r="AS331" i="1" s="1"/>
  <c r="W350" i="1"/>
  <c r="S434" i="1"/>
  <c r="AC434" i="1" s="1"/>
  <c r="AM434" i="1" s="1"/>
  <c r="S366" i="1"/>
  <c r="AC366" i="1" s="1"/>
  <c r="AM366" i="1" s="1"/>
  <c r="R451" i="1"/>
  <c r="S314" i="1"/>
  <c r="AC314" i="1" s="1"/>
  <c r="AM314" i="1" s="1"/>
  <c r="Q432" i="1"/>
  <c r="S495" i="1"/>
  <c r="AC495" i="1" s="1"/>
  <c r="AM495" i="1" s="1"/>
  <c r="S541" i="1"/>
  <c r="AC541" i="1" s="1"/>
  <c r="AM541" i="1" s="1"/>
  <c r="U586" i="1"/>
  <c r="AE586" i="1" s="1"/>
  <c r="AO586" i="1" s="1"/>
  <c r="Q343" i="1"/>
  <c r="U464" i="1"/>
  <c r="V520" i="1"/>
  <c r="AF520" i="1" s="1"/>
  <c r="AP520" i="1" s="1"/>
  <c r="P567" i="1"/>
  <c r="Z567" i="1" s="1"/>
  <c r="AJ567" i="1" s="1"/>
  <c r="P607" i="1"/>
  <c r="Z607" i="1" s="1"/>
  <c r="AJ607" i="1" s="1"/>
  <c r="V646" i="1"/>
  <c r="AF646" i="1" s="1"/>
  <c r="AP646" i="1" s="1"/>
  <c r="W394" i="1"/>
  <c r="W502" i="1"/>
  <c r="S564" i="1"/>
  <c r="AC564" i="1" s="1"/>
  <c r="AM564" i="1" s="1"/>
  <c r="U613" i="1"/>
  <c r="R649" i="1"/>
  <c r="O365" i="1"/>
  <c r="Y365" i="1" s="1"/>
  <c r="AI365" i="1" s="1"/>
  <c r="T475" i="1"/>
  <c r="AS475" i="1" s="1"/>
  <c r="V539" i="1"/>
  <c r="AF539" i="1" s="1"/>
  <c r="AP539" i="1" s="1"/>
  <c r="R597" i="1"/>
  <c r="Q638" i="1"/>
  <c r="R355" i="1"/>
  <c r="U525" i="1"/>
  <c r="W620" i="1"/>
  <c r="U416" i="1"/>
  <c r="AF416" i="1" s="1"/>
  <c r="AP416" i="1" s="1"/>
  <c r="O560" i="1"/>
  <c r="Y560" i="1" s="1"/>
  <c r="AI560" i="1" s="1"/>
  <c r="V659" i="1"/>
  <c r="O623" i="1"/>
  <c r="Y623" i="1" s="1"/>
  <c r="AI623" i="1" s="1"/>
  <c r="R551" i="1"/>
  <c r="W610" i="1"/>
  <c r="U111" i="1"/>
  <c r="AA111" i="1" s="1"/>
  <c r="AK111" i="1" s="1"/>
  <c r="R220" i="1"/>
  <c r="V120" i="1"/>
  <c r="S313" i="1"/>
  <c r="AC313" i="1" s="1"/>
  <c r="AM313" i="1" s="1"/>
  <c r="V195" i="1"/>
  <c r="AF195" i="1" s="1"/>
  <c r="AP195" i="1" s="1"/>
  <c r="S352" i="1"/>
  <c r="AC352" i="1" s="1"/>
  <c r="AM352" i="1" s="1"/>
  <c r="S418" i="1"/>
  <c r="AC418" i="1" s="1"/>
  <c r="AM418" i="1" s="1"/>
  <c r="W292" i="1"/>
  <c r="O377" i="1"/>
  <c r="Y377" i="1" s="1"/>
  <c r="AI377" i="1" s="1"/>
  <c r="P434" i="1"/>
  <c r="Z434" i="1" s="1"/>
  <c r="AJ434" i="1" s="1"/>
  <c r="T474" i="1"/>
  <c r="O324" i="1"/>
  <c r="Y324" i="1" s="1"/>
  <c r="AI324" i="1" s="1"/>
  <c r="U422" i="1"/>
  <c r="AB422" i="1" s="1"/>
  <c r="AL422" i="1" s="1"/>
  <c r="S479" i="1"/>
  <c r="AC479" i="1" s="1"/>
  <c r="AM479" i="1" s="1"/>
  <c r="U514" i="1"/>
  <c r="AE514" i="1" s="1"/>
  <c r="AO514" i="1" s="1"/>
  <c r="U548" i="1"/>
  <c r="AG548" i="1" s="1"/>
  <c r="AQ548" i="1" s="1"/>
  <c r="S577" i="1"/>
  <c r="AC577" i="1" s="1"/>
  <c r="AM577" i="1" s="1"/>
  <c r="Q608" i="1"/>
  <c r="S395" i="1"/>
  <c r="AC395" i="1" s="1"/>
  <c r="AM395" i="1" s="1"/>
  <c r="Q459" i="1"/>
  <c r="AA459" i="1" s="1"/>
  <c r="AK459" i="1" s="1"/>
  <c r="R498" i="1"/>
  <c r="AB498" i="1" s="1"/>
  <c r="P543" i="1"/>
  <c r="Z543" i="1" s="1"/>
  <c r="AJ543" i="1" s="1"/>
  <c r="P573" i="1"/>
  <c r="Z573" i="1" s="1"/>
  <c r="AJ573" i="1" s="1"/>
  <c r="R604" i="1"/>
  <c r="T639" i="1"/>
  <c r="AD639" i="1" s="1"/>
  <c r="AN639" i="1" s="1"/>
  <c r="R662" i="1"/>
  <c r="W379" i="1"/>
  <c r="Q489" i="1"/>
  <c r="AA489" i="1" s="1"/>
  <c r="AK489" i="1" s="1"/>
  <c r="U531" i="1"/>
  <c r="AB531" i="1" s="1"/>
  <c r="AL531" i="1" s="1"/>
  <c r="W566" i="1"/>
  <c r="S604" i="1"/>
  <c r="AC604" i="1" s="1"/>
  <c r="AM604" i="1" s="1"/>
  <c r="O629" i="1"/>
  <c r="Y629" i="1" s="1"/>
  <c r="AI629" i="1" s="1"/>
  <c r="S651" i="1"/>
  <c r="AC651" i="1" s="1"/>
  <c r="AM651" i="1" s="1"/>
  <c r="R331" i="1"/>
  <c r="P419" i="1"/>
  <c r="Z419" i="1" s="1"/>
  <c r="AJ419" i="1" s="1"/>
  <c r="Q486" i="1"/>
  <c r="AA486" i="1" s="1"/>
  <c r="AK486" i="1" s="1"/>
  <c r="T532" i="1"/>
  <c r="AD532" i="1" s="1"/>
  <c r="AN532" i="1" s="1"/>
  <c r="T576" i="1"/>
  <c r="U612" i="1"/>
  <c r="W639" i="1"/>
  <c r="W662" i="1"/>
  <c r="W427" i="1"/>
  <c r="S530" i="1"/>
  <c r="AC530" i="1" s="1"/>
  <c r="AM530" i="1" s="1"/>
  <c r="U605" i="1"/>
  <c r="V651" i="1"/>
  <c r="W451" i="1"/>
  <c r="S526" i="1"/>
  <c r="AC526" i="1" s="1"/>
  <c r="AM526" i="1" s="1"/>
  <c r="S590" i="1"/>
  <c r="AC590" i="1" s="1"/>
  <c r="AM590" i="1" s="1"/>
  <c r="S654" i="1"/>
  <c r="AC654" i="1" s="1"/>
  <c r="AM654" i="1" s="1"/>
  <c r="P556" i="1"/>
  <c r="Z556" i="1" s="1"/>
  <c r="AJ556" i="1" s="1"/>
  <c r="U663" i="1"/>
  <c r="P580" i="1"/>
  <c r="Z580" i="1" s="1"/>
  <c r="AJ580" i="1" s="1"/>
  <c r="U640" i="1"/>
  <c r="O630" i="1"/>
  <c r="Y630" i="1" s="1"/>
  <c r="AI630" i="1" s="1"/>
  <c r="O214" i="1"/>
  <c r="Y214" i="1" s="1"/>
  <c r="AI214" i="1" s="1"/>
  <c r="Q282" i="1"/>
  <c r="W313" i="1"/>
  <c r="AS313" i="1" s="1"/>
  <c r="AT313" i="1" s="1"/>
  <c r="T346" i="1"/>
  <c r="Q431" i="1"/>
  <c r="P406" i="1"/>
  <c r="Z406" i="1" s="1"/>
  <c r="AJ406" i="1" s="1"/>
  <c r="U325" i="1"/>
  <c r="U450" i="1"/>
  <c r="AB450" i="1" s="1"/>
  <c r="O529" i="1"/>
  <c r="Y529" i="1" s="1"/>
  <c r="AI529" i="1" s="1"/>
  <c r="S597" i="1"/>
  <c r="AC597" i="1" s="1"/>
  <c r="AM597" i="1" s="1"/>
  <c r="T415" i="1"/>
  <c r="AS415" i="1" s="1"/>
  <c r="AX415" i="1" s="1"/>
  <c r="T505" i="1"/>
  <c r="AD505" i="1" s="1"/>
  <c r="AN505" i="1" s="1"/>
  <c r="T561" i="1"/>
  <c r="R596" i="1"/>
  <c r="P655" i="1"/>
  <c r="Z655" i="1" s="1"/>
  <c r="AJ655" i="1" s="1"/>
  <c r="Q472" i="1"/>
  <c r="Q557" i="1"/>
  <c r="AA557" i="1" s="1"/>
  <c r="R617" i="1"/>
  <c r="R296" i="1"/>
  <c r="AB296" i="1" s="1"/>
  <c r="AL296" i="1" s="1"/>
  <c r="U461" i="1"/>
  <c r="AE461" i="1" s="1"/>
  <c r="AO461" i="1" s="1"/>
  <c r="V543" i="1"/>
  <c r="U619" i="1"/>
  <c r="AF619" i="1" s="1"/>
  <c r="AP619" i="1" s="1"/>
  <c r="S665" i="1"/>
  <c r="AC665" i="1" s="1"/>
  <c r="AM665" i="1" s="1"/>
  <c r="O524" i="1"/>
  <c r="Y524" i="1" s="1"/>
  <c r="AI524" i="1" s="1"/>
  <c r="O657" i="1"/>
  <c r="Y657" i="1" s="1"/>
  <c r="AI657" i="1" s="1"/>
  <c r="W508" i="1"/>
  <c r="U625" i="1"/>
  <c r="S612" i="1"/>
  <c r="AC612" i="1" s="1"/>
  <c r="AM612" i="1" s="1"/>
  <c r="T506" i="1"/>
  <c r="AS506" i="1" s="1"/>
  <c r="AT506" i="1" s="1"/>
  <c r="O662" i="1"/>
  <c r="Y662" i="1" s="1"/>
  <c r="AI662" i="1" s="1"/>
  <c r="R323" i="1"/>
  <c r="R207" i="1"/>
  <c r="V251" i="1"/>
  <c r="R300" i="1"/>
  <c r="AB300" i="1" s="1"/>
  <c r="V398" i="1"/>
  <c r="W367" i="1"/>
  <c r="Q439" i="1"/>
  <c r="P354" i="1"/>
  <c r="Z354" i="1" s="1"/>
  <c r="AJ354" i="1" s="1"/>
  <c r="P438" i="1"/>
  <c r="Z438" i="1" s="1"/>
  <c r="AJ438" i="1" s="1"/>
  <c r="U333" i="1"/>
  <c r="AE333" i="1" s="1"/>
  <c r="AO333" i="1" s="1"/>
  <c r="W437" i="1"/>
  <c r="W509" i="1"/>
  <c r="AS509" i="1" s="1"/>
  <c r="AX509" i="1" s="1"/>
  <c r="O555" i="1"/>
  <c r="Y555" i="1" s="1"/>
  <c r="AI555" i="1" s="1"/>
  <c r="S605" i="1"/>
  <c r="AC605" i="1" s="1"/>
  <c r="AM605" i="1" s="1"/>
  <c r="V442" i="1"/>
  <c r="V516" i="1"/>
  <c r="R554" i="1"/>
  <c r="AB554" i="1" s="1"/>
  <c r="T591" i="1"/>
  <c r="R630" i="1"/>
  <c r="V261" i="1"/>
  <c r="P455" i="1"/>
  <c r="Z455" i="1" s="1"/>
  <c r="AJ455" i="1" s="1"/>
  <c r="S532" i="1"/>
  <c r="AC532" i="1" s="1"/>
  <c r="AM532" i="1" s="1"/>
  <c r="W598" i="1"/>
  <c r="U638" i="1"/>
  <c r="T318" i="1"/>
  <c r="AS318" i="1" s="1"/>
  <c r="AT318" i="1" s="1"/>
  <c r="AU318" i="1" s="1"/>
  <c r="AV318" i="1" s="1"/>
  <c r="AW318" i="1" s="1"/>
  <c r="W480" i="1"/>
  <c r="R569" i="1"/>
  <c r="Q622" i="1"/>
  <c r="O659" i="1"/>
  <c r="Y659" i="1" s="1"/>
  <c r="AI659" i="1" s="1"/>
  <c r="W474" i="1"/>
  <c r="U581" i="1"/>
  <c r="R661" i="1"/>
  <c r="AB661" i="1" s="1"/>
  <c r="AL661" i="1" s="1"/>
  <c r="W490" i="1"/>
  <c r="AG490" i="1" s="1"/>
  <c r="AQ490" i="1" s="1"/>
  <c r="O592" i="1"/>
  <c r="Y592" i="1" s="1"/>
  <c r="AI592" i="1" s="1"/>
  <c r="W376" i="1"/>
  <c r="W618" i="1"/>
  <c r="R535" i="1"/>
  <c r="AB535" i="1" s="1"/>
  <c r="AL535" i="1" s="1"/>
  <c r="V585" i="1"/>
  <c r="W488" i="1"/>
  <c r="V257" i="1"/>
  <c r="U521" i="1"/>
  <c r="AG521" i="1" s="1"/>
  <c r="AQ521" i="1" s="1"/>
  <c r="Q611" i="1"/>
  <c r="AA611" i="1" s="1"/>
  <c r="AK611" i="1" s="1"/>
  <c r="V304" i="1"/>
  <c r="T588" i="1"/>
  <c r="AS588" i="1" s="1"/>
  <c r="AT588" i="1" s="1"/>
  <c r="AU588" i="1" s="1"/>
  <c r="AV588" i="1" s="1"/>
  <c r="AW588" i="1" s="1"/>
  <c r="R472" i="1"/>
  <c r="AB472" i="1" s="1"/>
  <c r="AL472" i="1" s="1"/>
  <c r="P622" i="1"/>
  <c r="Z622" i="1" s="1"/>
  <c r="AJ622" i="1" s="1"/>
  <c r="W518" i="1"/>
  <c r="T645" i="1"/>
  <c r="AS645" i="1" s="1"/>
  <c r="AT645" i="1" s="1"/>
  <c r="AU645" i="1" s="1"/>
  <c r="R530" i="1"/>
  <c r="AB530" i="1" s="1"/>
  <c r="AL530" i="1" s="1"/>
  <c r="U350" i="1"/>
  <c r="O569" i="1"/>
  <c r="Y569" i="1" s="1"/>
  <c r="AI569" i="1" s="1"/>
  <c r="U482" i="1"/>
  <c r="R491" i="1"/>
  <c r="W365" i="1"/>
  <c r="V357" i="1"/>
  <c r="S284" i="1"/>
  <c r="AC284" i="1" s="1"/>
  <c r="AM284" i="1" s="1"/>
  <c r="U182" i="1"/>
  <c r="U297" i="1"/>
  <c r="AE297" i="1" s="1"/>
  <c r="AO297" i="1" s="1"/>
  <c r="Q339" i="1"/>
  <c r="T296" i="1"/>
  <c r="P67" i="1"/>
  <c r="Z67" i="1" s="1"/>
  <c r="AJ67" i="1" s="1"/>
  <c r="W455" i="1"/>
  <c r="S638" i="1"/>
  <c r="AC638" i="1" s="1"/>
  <c r="AM638" i="1" s="1"/>
  <c r="S429" i="1"/>
  <c r="AC429" i="1" s="1"/>
  <c r="AM429" i="1" s="1"/>
  <c r="Q543" i="1"/>
  <c r="Q645" i="1"/>
  <c r="V535" i="1"/>
  <c r="AF535" i="1" s="1"/>
  <c r="AP535" i="1" s="1"/>
  <c r="U373" i="1"/>
  <c r="AE373" i="1" s="1"/>
  <c r="AO373" i="1" s="1"/>
  <c r="V615" i="1"/>
  <c r="AF615" i="1" s="1"/>
  <c r="AP615" i="1" s="1"/>
  <c r="U507" i="1"/>
  <c r="AE507" i="1" s="1"/>
  <c r="AO507" i="1" s="1"/>
  <c r="V642" i="1"/>
  <c r="T559" i="1"/>
  <c r="AS559" i="1" s="1"/>
  <c r="P429" i="1"/>
  <c r="Z429" i="1" s="1"/>
  <c r="AJ429" i="1" s="1"/>
  <c r="W583" i="1"/>
  <c r="O493" i="1"/>
  <c r="Y493" i="1" s="1"/>
  <c r="AI493" i="1" s="1"/>
  <c r="P488" i="1"/>
  <c r="Z488" i="1" s="1"/>
  <c r="AJ488" i="1" s="1"/>
  <c r="V311" i="1"/>
  <c r="W343" i="1"/>
  <c r="W166" i="1"/>
  <c r="AG166" i="1" s="1"/>
  <c r="AQ166" i="1" s="1"/>
  <c r="W299" i="1"/>
  <c r="AS299" i="1" s="1"/>
  <c r="T168" i="1"/>
  <c r="AS168" i="1" s="1"/>
  <c r="AT168" i="1" s="1"/>
  <c r="AU168" i="1" s="1"/>
  <c r="AV168" i="1" s="1"/>
  <c r="AW168" i="1" s="1"/>
  <c r="S444" i="1"/>
  <c r="AC444" i="1" s="1"/>
  <c r="AM444" i="1" s="1"/>
  <c r="S573" i="1"/>
  <c r="AC573" i="1" s="1"/>
  <c r="AM573" i="1" s="1"/>
  <c r="O399" i="1"/>
  <c r="Y399" i="1" s="1"/>
  <c r="AI399" i="1" s="1"/>
  <c r="Q565" i="1"/>
  <c r="AA565" i="1" s="1"/>
  <c r="Q632" i="1"/>
  <c r="V216" i="1"/>
  <c r="P435" i="1"/>
  <c r="Z435" i="1" s="1"/>
  <c r="AJ435" i="1" s="1"/>
  <c r="P510" i="1"/>
  <c r="Z510" i="1" s="1"/>
  <c r="AJ510" i="1" s="1"/>
  <c r="P578" i="1"/>
  <c r="Z578" i="1" s="1"/>
  <c r="AJ578" i="1" s="1"/>
  <c r="U627" i="1"/>
  <c r="W663" i="1"/>
  <c r="U501" i="1"/>
  <c r="S602" i="1"/>
  <c r="AC602" i="1" s="1"/>
  <c r="AM602" i="1" s="1"/>
  <c r="W316" i="1"/>
  <c r="S518" i="1"/>
  <c r="AC518" i="1" s="1"/>
  <c r="AM518" i="1" s="1"/>
  <c r="Q619" i="1"/>
  <c r="S466" i="1"/>
  <c r="AC466" i="1" s="1"/>
  <c r="AM466" i="1" s="1"/>
  <c r="T326" i="1"/>
  <c r="T662" i="1"/>
  <c r="R563" i="1"/>
  <c r="U203" i="1"/>
  <c r="AB203" i="1" s="1"/>
  <c r="O281" i="1"/>
  <c r="Y281" i="1" s="1"/>
  <c r="AI281" i="1" s="1"/>
  <c r="U275" i="1"/>
  <c r="AF275" i="1" s="1"/>
  <c r="AP275" i="1" s="1"/>
  <c r="T327" i="1"/>
  <c r="R343" i="1"/>
  <c r="O434" i="1"/>
  <c r="Y434" i="1" s="1"/>
  <c r="AI434" i="1" s="1"/>
  <c r="U285" i="1"/>
  <c r="AG285" i="1" s="1"/>
  <c r="AQ285" i="1" s="1"/>
  <c r="P414" i="1"/>
  <c r="Z414" i="1" s="1"/>
  <c r="AJ414" i="1" s="1"/>
  <c r="P484" i="1"/>
  <c r="Z484" i="1" s="1"/>
  <c r="AJ484" i="1" s="1"/>
  <c r="Q408" i="1"/>
  <c r="Q485" i="1"/>
  <c r="O531" i="1"/>
  <c r="Y531" i="1" s="1"/>
  <c r="AI531" i="1" s="1"/>
  <c r="U576" i="1"/>
  <c r="V317" i="1"/>
  <c r="R440" i="1"/>
  <c r="AB440" i="1" s="1"/>
  <c r="V482" i="1"/>
  <c r="P541" i="1"/>
  <c r="Z541" i="1" s="1"/>
  <c r="AJ541" i="1" s="1"/>
  <c r="P591" i="1"/>
  <c r="Z591" i="1" s="1"/>
  <c r="AJ591" i="1" s="1"/>
  <c r="T631" i="1"/>
  <c r="T307" i="1"/>
  <c r="AS307" i="1" s="1"/>
  <c r="P471" i="1"/>
  <c r="Z471" i="1" s="1"/>
  <c r="AJ471" i="1" s="1"/>
  <c r="W542" i="1"/>
  <c r="Q597" i="1"/>
  <c r="U637" i="1"/>
  <c r="AD637" i="1" s="1"/>
  <c r="AN637" i="1" s="1"/>
  <c r="R337" i="1"/>
  <c r="U460" i="1"/>
  <c r="P526" i="1"/>
  <c r="Z526" i="1" s="1"/>
  <c r="AJ526" i="1" s="1"/>
  <c r="V559" i="1"/>
  <c r="AF559" i="1" s="1"/>
  <c r="AP559" i="1" s="1"/>
  <c r="O619" i="1"/>
  <c r="Y619" i="1" s="1"/>
  <c r="AI619" i="1" s="1"/>
  <c r="R655" i="1"/>
  <c r="O462" i="1"/>
  <c r="Y462" i="1" s="1"/>
  <c r="AI462" i="1" s="1"/>
  <c r="O572" i="1"/>
  <c r="Y572" i="1" s="1"/>
  <c r="AI572" i="1" s="1"/>
  <c r="O656" i="1"/>
  <c r="Y656" i="1" s="1"/>
  <c r="AI656" i="1" s="1"/>
  <c r="O478" i="1"/>
  <c r="Y478" i="1" s="1"/>
  <c r="AI478" i="1" s="1"/>
  <c r="S582" i="1"/>
  <c r="AC582" i="1" s="1"/>
  <c r="AM582" i="1" s="1"/>
  <c r="U657" i="1"/>
  <c r="AD657" i="1" s="1"/>
  <c r="AN657" i="1" s="1"/>
  <c r="V597" i="1"/>
  <c r="P516" i="1"/>
  <c r="Z516" i="1" s="1"/>
  <c r="AJ516" i="1" s="1"/>
  <c r="O615" i="1"/>
  <c r="Y615" i="1" s="1"/>
  <c r="AI615" i="1" s="1"/>
  <c r="P265" i="1"/>
  <c r="Z265" i="1" s="1"/>
  <c r="AJ265" i="1" s="1"/>
  <c r="S381" i="1"/>
  <c r="AC381" i="1" s="1"/>
  <c r="AM381" i="1" s="1"/>
  <c r="S607" i="1"/>
  <c r="AC607" i="1" s="1"/>
  <c r="AM607" i="1" s="1"/>
  <c r="T495" i="1"/>
  <c r="V584" i="1"/>
  <c r="W284" i="1"/>
  <c r="S536" i="1"/>
  <c r="AC536" i="1" s="1"/>
  <c r="AM536" i="1" s="1"/>
  <c r="V631" i="1"/>
  <c r="R430" i="1"/>
  <c r="R565" i="1"/>
  <c r="S656" i="1"/>
  <c r="AC656" i="1" s="1"/>
  <c r="AM656" i="1" s="1"/>
  <c r="Q575" i="1"/>
  <c r="AA575" i="1" s="1"/>
  <c r="U497" i="1"/>
  <c r="Q479" i="1"/>
  <c r="W634" i="1"/>
  <c r="R178" i="1"/>
  <c r="O266" i="1"/>
  <c r="Y266" i="1" s="1"/>
  <c r="AI266" i="1" s="1"/>
  <c r="S324" i="1"/>
  <c r="AC324" i="1" s="1"/>
  <c r="AM324" i="1" s="1"/>
  <c r="O436" i="1"/>
  <c r="Y436" i="1" s="1"/>
  <c r="AI436" i="1" s="1"/>
  <c r="P412" i="1"/>
  <c r="Z412" i="1" s="1"/>
  <c r="AJ412" i="1" s="1"/>
  <c r="T233" i="1"/>
  <c r="AS233" i="1" s="1"/>
  <c r="AT233" i="1" s="1"/>
  <c r="AU233" i="1" s="1"/>
  <c r="O445" i="1"/>
  <c r="Y445" i="1" s="1"/>
  <c r="AI445" i="1" s="1"/>
  <c r="W531" i="1"/>
  <c r="U594" i="1"/>
  <c r="AE594" i="1" s="1"/>
  <c r="AO594" i="1" s="1"/>
  <c r="V422" i="1"/>
  <c r="P521" i="1"/>
  <c r="Z521" i="1" s="1"/>
  <c r="AJ521" i="1" s="1"/>
  <c r="P589" i="1"/>
  <c r="Z589" i="1" s="1"/>
  <c r="AJ589" i="1" s="1"/>
  <c r="P647" i="1"/>
  <c r="Z647" i="1" s="1"/>
  <c r="AJ647" i="1" s="1"/>
  <c r="Q438" i="1"/>
  <c r="AA438" i="1" s="1"/>
  <c r="AK438" i="1" s="1"/>
  <c r="O554" i="1"/>
  <c r="Y554" i="1" s="1"/>
  <c r="AI554" i="1" s="1"/>
  <c r="Q615" i="1"/>
  <c r="W664" i="1"/>
  <c r="AS664" i="1" s="1"/>
  <c r="O468" i="1"/>
  <c r="Y468" i="1" s="1"/>
  <c r="AI468" i="1" s="1"/>
  <c r="V85" i="1"/>
  <c r="R156" i="1"/>
  <c r="S111" i="1"/>
  <c r="AC111" i="1" s="1"/>
  <c r="AM111" i="1" s="1"/>
  <c r="Q174" i="1"/>
  <c r="P146" i="1"/>
  <c r="Z146" i="1" s="1"/>
  <c r="AJ146" i="1" s="1"/>
  <c r="V176" i="1"/>
  <c r="V72" i="1"/>
  <c r="R174" i="1"/>
  <c r="U268" i="1"/>
  <c r="P214" i="1"/>
  <c r="Z214" i="1" s="1"/>
  <c r="AJ214" i="1" s="1"/>
  <c r="T281" i="1"/>
  <c r="S323" i="1"/>
  <c r="AC323" i="1" s="1"/>
  <c r="AM323" i="1" s="1"/>
  <c r="T311" i="1"/>
  <c r="AS311" i="1" s="1"/>
  <c r="AT311" i="1" s="1"/>
  <c r="P373" i="1"/>
  <c r="Z373" i="1" s="1"/>
  <c r="AJ373" i="1" s="1"/>
  <c r="U114" i="1"/>
  <c r="S228" i="1"/>
  <c r="AC228" i="1" s="1"/>
  <c r="AM228" i="1" s="1"/>
  <c r="Q121" i="1"/>
  <c r="U248" i="1"/>
  <c r="S299" i="1"/>
  <c r="AC299" i="1" s="1"/>
  <c r="AM299" i="1" s="1"/>
  <c r="O97" i="1"/>
  <c r="Y97" i="1" s="1"/>
  <c r="AI97" i="1" s="1"/>
  <c r="P258" i="1"/>
  <c r="Z258" i="1" s="1"/>
  <c r="AJ258" i="1" s="1"/>
  <c r="V273" i="1"/>
  <c r="T212" i="1"/>
  <c r="AS212" i="1" s="1"/>
  <c r="V338" i="1"/>
  <c r="AF338" i="1" s="1"/>
  <c r="AP338" i="1" s="1"/>
  <c r="O153" i="1"/>
  <c r="Y153" i="1" s="1"/>
  <c r="AI153" i="1" s="1"/>
  <c r="W93" i="1"/>
  <c r="Q304" i="1"/>
  <c r="U267" i="1"/>
  <c r="AD267" i="1" s="1"/>
  <c r="AN267" i="1" s="1"/>
  <c r="P257" i="1"/>
  <c r="Z257" i="1" s="1"/>
  <c r="AJ257" i="1" s="1"/>
  <c r="T397" i="1"/>
  <c r="AS397" i="1" s="1"/>
  <c r="AT397" i="1" s="1"/>
  <c r="P356" i="1"/>
  <c r="Z356" i="1" s="1"/>
  <c r="AJ356" i="1" s="1"/>
  <c r="S420" i="1"/>
  <c r="AC420" i="1" s="1"/>
  <c r="AM420" i="1" s="1"/>
  <c r="R301" i="1"/>
  <c r="R389" i="1"/>
  <c r="AB389" i="1" s="1"/>
  <c r="V453" i="1"/>
  <c r="Q219" i="1"/>
  <c r="AA219" i="1" s="1"/>
  <c r="AK219" i="1" s="1"/>
  <c r="U242" i="1"/>
  <c r="V223" i="1"/>
  <c r="AF223" i="1" s="1"/>
  <c r="AP223" i="1" s="1"/>
  <c r="T249" i="1"/>
  <c r="AD249" i="1" s="1"/>
  <c r="AN249" i="1" s="1"/>
  <c r="T325" i="1"/>
  <c r="AS325" i="1" s="1"/>
  <c r="AX325" i="1" s="1"/>
  <c r="T401" i="1"/>
  <c r="T338" i="1"/>
  <c r="U387" i="1"/>
  <c r="Q427" i="1"/>
  <c r="R242" i="1"/>
  <c r="V335" i="1"/>
  <c r="W373" i="1"/>
  <c r="V409" i="1"/>
  <c r="R443" i="1"/>
  <c r="R475" i="1"/>
  <c r="S322" i="1"/>
  <c r="AC322" i="1" s="1"/>
  <c r="AM322" i="1" s="1"/>
  <c r="S396" i="1"/>
  <c r="AC396" i="1" s="1"/>
  <c r="AM396" i="1" s="1"/>
  <c r="O449" i="1"/>
  <c r="Y449" i="1" s="1"/>
  <c r="AI449" i="1" s="1"/>
  <c r="O490" i="1"/>
  <c r="Y490" i="1" s="1"/>
  <c r="AI490" i="1" s="1"/>
  <c r="S515" i="1"/>
  <c r="AC515" i="1" s="1"/>
  <c r="AM515" i="1" s="1"/>
  <c r="O541" i="1"/>
  <c r="Y541" i="1" s="1"/>
  <c r="AI541" i="1" s="1"/>
  <c r="U566" i="1"/>
  <c r="Q592" i="1"/>
  <c r="O292" i="1"/>
  <c r="Y292" i="1" s="1"/>
  <c r="AI292" i="1" s="1"/>
  <c r="P390" i="1"/>
  <c r="Z390" i="1" s="1"/>
  <c r="AJ390" i="1" s="1"/>
  <c r="P453" i="1"/>
  <c r="Z453" i="1" s="1"/>
  <c r="AJ453" i="1" s="1"/>
  <c r="U489" i="1"/>
  <c r="AE489" i="1" s="1"/>
  <c r="AO489" i="1" s="1"/>
  <c r="T521" i="1"/>
  <c r="V552" i="1"/>
  <c r="AF552" i="1" s="1"/>
  <c r="AP552" i="1" s="1"/>
  <c r="P585" i="1"/>
  <c r="Z585" i="1" s="1"/>
  <c r="AJ585" i="1" s="1"/>
  <c r="P619" i="1"/>
  <c r="Z619" i="1" s="1"/>
  <c r="AJ619" i="1" s="1"/>
  <c r="T653" i="1"/>
  <c r="W362" i="1"/>
  <c r="AS362" i="1" s="1"/>
  <c r="AT362" i="1" s="1"/>
  <c r="AU362" i="1" s="1"/>
  <c r="AV362" i="1" s="1"/>
  <c r="AW362" i="1" s="1"/>
  <c r="O470" i="1"/>
  <c r="Y470" i="1" s="1"/>
  <c r="AI470" i="1" s="1"/>
  <c r="W534" i="1"/>
  <c r="W178" i="1"/>
  <c r="O231" i="1"/>
  <c r="Y231" i="1" s="1"/>
  <c r="AI231" i="1" s="1"/>
  <c r="V183" i="1"/>
  <c r="AF183" i="1" s="1"/>
  <c r="AP183" i="1" s="1"/>
  <c r="S116" i="1"/>
  <c r="AC116" i="1" s="1"/>
  <c r="AM116" i="1" s="1"/>
  <c r="R322" i="1"/>
  <c r="V289" i="1"/>
  <c r="O379" i="1"/>
  <c r="Y379" i="1" s="1"/>
  <c r="AI379" i="1" s="1"/>
  <c r="W438" i="1"/>
  <c r="S343" i="1"/>
  <c r="AC343" i="1" s="1"/>
  <c r="AM343" i="1" s="1"/>
  <c r="T414" i="1"/>
  <c r="V479" i="1"/>
  <c r="V353" i="1"/>
  <c r="U438" i="1"/>
  <c r="T489" i="1"/>
  <c r="AS489" i="1" s="1"/>
  <c r="W523" i="1"/>
  <c r="AG523" i="1" s="1"/>
  <c r="AQ523" i="1" s="1"/>
  <c r="W555" i="1"/>
  <c r="O577" i="1"/>
  <c r="Y577" i="1" s="1"/>
  <c r="AI577" i="1" s="1"/>
  <c r="Q602" i="1"/>
  <c r="AA602" i="1" s="1"/>
  <c r="T330" i="1"/>
  <c r="AD330" i="1" s="1"/>
  <c r="AN330" i="1" s="1"/>
  <c r="Q391" i="1"/>
  <c r="T431" i="1"/>
  <c r="W468" i="1"/>
  <c r="V494" i="1"/>
  <c r="R520" i="1"/>
  <c r="R542" i="1"/>
  <c r="W148" i="1"/>
  <c r="AG148" i="1" s="1"/>
  <c r="AQ148" i="1" s="1"/>
  <c r="T181" i="1"/>
  <c r="AS181" i="1" s="1"/>
  <c r="AT181" i="1" s="1"/>
  <c r="AU181" i="1" s="1"/>
  <c r="V233" i="1"/>
  <c r="U302" i="1"/>
  <c r="AD302" i="1" s="1"/>
  <c r="AN302" i="1" s="1"/>
  <c r="U198" i="1"/>
  <c r="U171" i="1"/>
  <c r="V249" i="1"/>
  <c r="AF249" i="1" s="1"/>
  <c r="AP249" i="1" s="1"/>
  <c r="V366" i="1"/>
  <c r="S278" i="1"/>
  <c r="AC278" i="1" s="1"/>
  <c r="AM278" i="1" s="1"/>
  <c r="W359" i="1"/>
  <c r="U407" i="1"/>
  <c r="AE407" i="1" s="1"/>
  <c r="AO407" i="1" s="1"/>
  <c r="W440" i="1"/>
  <c r="AG440" i="1" s="1"/>
  <c r="AQ440" i="1" s="1"/>
  <c r="P314" i="1"/>
  <c r="Z314" i="1" s="1"/>
  <c r="AJ314" i="1" s="1"/>
  <c r="U377" i="1"/>
  <c r="R425" i="1"/>
  <c r="V469" i="1"/>
  <c r="U277" i="1"/>
  <c r="AA277" i="1" s="1"/>
  <c r="AK277" i="1" s="1"/>
  <c r="U368" i="1"/>
  <c r="Q424" i="1"/>
  <c r="S464" i="1"/>
  <c r="AC464" i="1" s="1"/>
  <c r="AM464" i="1" s="1"/>
  <c r="U496" i="1"/>
  <c r="O519" i="1"/>
  <c r="Y519" i="1" s="1"/>
  <c r="AI519" i="1" s="1"/>
  <c r="W541" i="1"/>
  <c r="U564" i="1"/>
  <c r="AF564" i="1" s="1"/>
  <c r="AP564" i="1" s="1"/>
  <c r="O587" i="1"/>
  <c r="Y587" i="1" s="1"/>
  <c r="AI587" i="1" s="1"/>
  <c r="R222" i="1"/>
  <c r="W368" i="1"/>
  <c r="P433" i="1"/>
  <c r="Z433" i="1" s="1"/>
  <c r="AJ433" i="1" s="1"/>
  <c r="S470" i="1"/>
  <c r="AC470" i="1" s="1"/>
  <c r="AM470" i="1" s="1"/>
  <c r="P499" i="1"/>
  <c r="Z499" i="1" s="1"/>
  <c r="AJ499" i="1" s="1"/>
  <c r="R528" i="1"/>
  <c r="T557" i="1"/>
  <c r="AS557" i="1" s="1"/>
  <c r="AT557" i="1" s="1"/>
  <c r="AU557" i="1" s="1"/>
  <c r="V576" i="1"/>
  <c r="P597" i="1"/>
  <c r="Z597" i="1" s="1"/>
  <c r="AJ597" i="1" s="1"/>
  <c r="R618" i="1"/>
  <c r="V638" i="1"/>
  <c r="R660" i="1"/>
  <c r="U360" i="1"/>
  <c r="O443" i="1"/>
  <c r="Y443" i="1" s="1"/>
  <c r="AI443" i="1" s="1"/>
  <c r="S492" i="1"/>
  <c r="AC492" i="1" s="1"/>
  <c r="AM492" i="1" s="1"/>
  <c r="Q525" i="1"/>
  <c r="U555" i="1"/>
  <c r="AE555" i="1" s="1"/>
  <c r="AO555" i="1" s="1"/>
  <c r="Q581" i="1"/>
  <c r="O606" i="1"/>
  <c r="Y606" i="1" s="1"/>
  <c r="AI606" i="1" s="1"/>
  <c r="R625" i="1"/>
  <c r="S643" i="1"/>
  <c r="AC643" i="1" s="1"/>
  <c r="AM643" i="1" s="1"/>
  <c r="U661" i="1"/>
  <c r="AE661" i="1" s="1"/>
  <c r="AO661" i="1" s="1"/>
  <c r="U341" i="1"/>
  <c r="AE341" i="1" s="1"/>
  <c r="AO341" i="1" s="1"/>
  <c r="V412" i="1"/>
  <c r="W463" i="1"/>
  <c r="P498" i="1"/>
  <c r="Z498" i="1" s="1"/>
  <c r="AJ498" i="1" s="1"/>
  <c r="R533" i="1"/>
  <c r="P566" i="1"/>
  <c r="Z566" i="1" s="1"/>
  <c r="AJ566" i="1" s="1"/>
  <c r="P598" i="1"/>
  <c r="Z598" i="1" s="1"/>
  <c r="AJ598" i="1" s="1"/>
  <c r="U620" i="1"/>
  <c r="AE620" i="1" s="1"/>
  <c r="AO620" i="1" s="1"/>
  <c r="W638" i="1"/>
  <c r="S657" i="1"/>
  <c r="AC657" i="1" s="1"/>
  <c r="AM657" i="1" s="1"/>
  <c r="U359" i="1"/>
  <c r="AE359" i="1" s="1"/>
  <c r="AO359" i="1" s="1"/>
  <c r="O477" i="1"/>
  <c r="Y477" i="1" s="1"/>
  <c r="AI477" i="1" s="1"/>
  <c r="U533" i="1"/>
  <c r="AD533" i="1" s="1"/>
  <c r="AN533" i="1" s="1"/>
  <c r="Q583" i="1"/>
  <c r="AA583" i="1" s="1"/>
  <c r="AK583" i="1" s="1"/>
  <c r="Q627" i="1"/>
  <c r="S662" i="1"/>
  <c r="AC662" i="1" s="1"/>
  <c r="AM662" i="1" s="1"/>
  <c r="W419" i="1"/>
  <c r="AG419" i="1" s="1"/>
  <c r="AQ419" i="1" s="1"/>
  <c r="Q499" i="1"/>
  <c r="AA499" i="1" s="1"/>
  <c r="W548" i="1"/>
  <c r="W604" i="1"/>
  <c r="S639" i="1"/>
  <c r="AC639" i="1" s="1"/>
  <c r="AM639" i="1" s="1"/>
  <c r="W393" i="1"/>
  <c r="T546" i="1"/>
  <c r="Q642" i="1"/>
  <c r="V509" i="1"/>
  <c r="O622" i="1"/>
  <c r="Y622" i="1" s="1"/>
  <c r="AI622" i="1" s="1"/>
  <c r="T598" i="1"/>
  <c r="T638" i="1"/>
  <c r="O396" i="1"/>
  <c r="Y396" i="1" s="1"/>
  <c r="AI396" i="1" s="1"/>
  <c r="O195" i="1"/>
  <c r="Y195" i="1" s="1"/>
  <c r="AI195" i="1" s="1"/>
  <c r="R224" i="1"/>
  <c r="Q246" i="1"/>
  <c r="U119" i="1"/>
  <c r="P99" i="1"/>
  <c r="Z99" i="1" s="1"/>
  <c r="AJ99" i="1" s="1"/>
  <c r="O278" i="1"/>
  <c r="Y278" i="1" s="1"/>
  <c r="AI278" i="1" s="1"/>
  <c r="P293" i="1"/>
  <c r="Z293" i="1" s="1"/>
  <c r="AJ293" i="1" s="1"/>
  <c r="V384" i="1"/>
  <c r="S320" i="1"/>
  <c r="AC320" i="1" s="1"/>
  <c r="AM320" i="1" s="1"/>
  <c r="S376" i="1"/>
  <c r="AC376" i="1" s="1"/>
  <c r="AM376" i="1" s="1"/>
  <c r="Q421" i="1"/>
  <c r="T169" i="1"/>
  <c r="AD169" i="1" s="1"/>
  <c r="AN169" i="1" s="1"/>
  <c r="R341" i="1"/>
  <c r="AB341" i="1" s="1"/>
  <c r="R397" i="1"/>
  <c r="V441" i="1"/>
  <c r="V473" i="1"/>
  <c r="AF473" i="1" s="1"/>
  <c r="AP473" i="1" s="1"/>
  <c r="R283" i="1"/>
  <c r="AB283" i="1" s="1"/>
  <c r="AL283" i="1" s="1"/>
  <c r="S380" i="1"/>
  <c r="AC380" i="1" s="1"/>
  <c r="AM380" i="1" s="1"/>
  <c r="O437" i="1"/>
  <c r="Y437" i="1" s="1"/>
  <c r="AI437" i="1" s="1"/>
  <c r="T473" i="1"/>
  <c r="W499" i="1"/>
  <c r="AG499" i="1" s="1"/>
  <c r="AQ499" i="1" s="1"/>
  <c r="U522" i="1"/>
  <c r="S545" i="1"/>
  <c r="AC545" i="1" s="1"/>
  <c r="AM545" i="1" s="1"/>
  <c r="W567" i="1"/>
  <c r="AG567" i="1" s="1"/>
  <c r="AQ567" i="1" s="1"/>
  <c r="O591" i="1"/>
  <c r="Y591" i="1" s="1"/>
  <c r="AI591" i="1" s="1"/>
  <c r="W233" i="1"/>
  <c r="S362" i="1"/>
  <c r="AC362" i="1" s="1"/>
  <c r="AM362" i="1" s="1"/>
  <c r="T419" i="1"/>
  <c r="O471" i="1"/>
  <c r="Y471" i="1" s="1"/>
  <c r="AI471" i="1" s="1"/>
  <c r="R500" i="1"/>
  <c r="P529" i="1"/>
  <c r="Z529" i="1" s="1"/>
  <c r="AJ529" i="1" s="1"/>
  <c r="T555" i="1"/>
  <c r="R584" i="1"/>
  <c r="P603" i="1"/>
  <c r="Z603" i="1" s="1"/>
  <c r="AJ603" i="1" s="1"/>
  <c r="T623" i="1"/>
  <c r="V644" i="1"/>
  <c r="AF644" i="1" s="1"/>
  <c r="AP644" i="1" s="1"/>
  <c r="T663" i="1"/>
  <c r="AS663" i="1" s="1"/>
  <c r="AT663" i="1" s="1"/>
  <c r="AU663" i="1" s="1"/>
  <c r="AV663" i="1" s="1"/>
  <c r="AW663" i="1" s="1"/>
  <c r="V377" i="1"/>
  <c r="O454" i="1"/>
  <c r="Y454" i="1" s="1"/>
  <c r="AI454" i="1" s="1"/>
  <c r="Q497" i="1"/>
  <c r="W530" i="1"/>
  <c r="AG530" i="1" s="1"/>
  <c r="AQ530" i="1" s="1"/>
  <c r="W562" i="1"/>
  <c r="U587" i="1"/>
  <c r="AB587" i="1" s="1"/>
  <c r="T612" i="1"/>
  <c r="U630" i="1"/>
  <c r="AE630" i="1" s="1"/>
  <c r="AO630" i="1" s="1"/>
  <c r="S650" i="1"/>
  <c r="AC650" i="1" s="1"/>
  <c r="AM650" i="1" s="1"/>
  <c r="S239" i="1"/>
  <c r="AC239" i="1" s="1"/>
  <c r="AM239" i="1" s="1"/>
  <c r="O380" i="1"/>
  <c r="Y380" i="1" s="1"/>
  <c r="AI380" i="1" s="1"/>
  <c r="V444" i="1"/>
  <c r="O484" i="1"/>
  <c r="Y484" i="1" s="1"/>
  <c r="AI484" i="1" s="1"/>
  <c r="V515" i="1"/>
  <c r="T548" i="1"/>
  <c r="AS548" i="1" s="1"/>
  <c r="AT548" i="1" s="1"/>
  <c r="AU548" i="1" s="1"/>
  <c r="V579" i="1"/>
  <c r="P612" i="1"/>
  <c r="Z612" i="1" s="1"/>
  <c r="AJ612" i="1" s="1"/>
  <c r="Q630" i="1"/>
  <c r="S648" i="1"/>
  <c r="AC648" i="1" s="1"/>
  <c r="AM648" i="1" s="1"/>
  <c r="T174" i="1"/>
  <c r="AD174" i="1" s="1"/>
  <c r="AN174" i="1" s="1"/>
  <c r="U424" i="1"/>
  <c r="AG424" i="1" s="1"/>
  <c r="AQ424" i="1" s="1"/>
  <c r="Q503" i="1"/>
  <c r="W552" i="1"/>
  <c r="O604" i="1"/>
  <c r="Y604" i="1" s="1"/>
  <c r="AI604" i="1" s="1"/>
  <c r="P642" i="1"/>
  <c r="Z642" i="1" s="1"/>
  <c r="AJ642" i="1" s="1"/>
  <c r="Q323" i="1"/>
  <c r="U448" i="1"/>
  <c r="AE448" i="1" s="1"/>
  <c r="AO448" i="1" s="1"/>
  <c r="U513" i="1"/>
  <c r="Q563" i="1"/>
  <c r="U610" i="1"/>
  <c r="W644" i="1"/>
  <c r="AG644" i="1" s="1"/>
  <c r="AQ644" i="1" s="1"/>
  <c r="R402" i="1"/>
  <c r="V549" i="1"/>
  <c r="AF549" i="1" s="1"/>
  <c r="AP549" i="1" s="1"/>
  <c r="S644" i="1"/>
  <c r="AC644" i="1" s="1"/>
  <c r="AM644" i="1" s="1"/>
  <c r="R464" i="1"/>
  <c r="T602" i="1"/>
  <c r="Q666" i="1"/>
  <c r="W471" i="1"/>
  <c r="T582" i="1"/>
  <c r="AS582" i="1" s="1"/>
  <c r="AT582" i="1" s="1"/>
  <c r="AU582" i="1" s="1"/>
  <c r="S119" i="1"/>
  <c r="AC119" i="1" s="1"/>
  <c r="AM119" i="1" s="1"/>
  <c r="Q268" i="1"/>
  <c r="Q265" i="1"/>
  <c r="V350" i="1"/>
  <c r="AF350" i="1" s="1"/>
  <c r="AP350" i="1" s="1"/>
  <c r="S368" i="1"/>
  <c r="AC368" i="1" s="1"/>
  <c r="AM368" i="1" s="1"/>
  <c r="U443" i="1"/>
  <c r="S374" i="1"/>
  <c r="AC374" i="1" s="1"/>
  <c r="AM374" i="1" s="1"/>
  <c r="T456" i="1"/>
  <c r="V337" i="1"/>
  <c r="Q444" i="1"/>
  <c r="S501" i="1"/>
  <c r="AC501" i="1" s="1"/>
  <c r="AM501" i="1" s="1"/>
  <c r="U546" i="1"/>
  <c r="U592" i="1"/>
  <c r="P358" i="1"/>
  <c r="Z358" i="1" s="1"/>
  <c r="AJ358" i="1" s="1"/>
  <c r="P473" i="1"/>
  <c r="Z473" i="1" s="1"/>
  <c r="AJ473" i="1" s="1"/>
  <c r="R524" i="1"/>
  <c r="T571" i="1"/>
  <c r="AS571" i="1" s="1"/>
  <c r="AT571" i="1" s="1"/>
  <c r="R612" i="1"/>
  <c r="R652" i="1"/>
  <c r="W415" i="1"/>
  <c r="U511" i="1"/>
  <c r="W570" i="1"/>
  <c r="AS570" i="1" s="1"/>
  <c r="AT570" i="1" s="1"/>
  <c r="W617" i="1"/>
  <c r="P654" i="1"/>
  <c r="Z654" i="1" s="1"/>
  <c r="AJ654" i="1" s="1"/>
  <c r="P382" i="1"/>
  <c r="Z382" i="1" s="1"/>
  <c r="AJ382" i="1" s="1"/>
  <c r="P485" i="1"/>
  <c r="Z485" i="1" s="1"/>
  <c r="AJ485" i="1" s="1"/>
  <c r="P546" i="1"/>
  <c r="Z546" i="1" s="1"/>
  <c r="AJ546" i="1" s="1"/>
  <c r="T604" i="1"/>
  <c r="AS604" i="1" s="1"/>
  <c r="AX604" i="1" s="1"/>
  <c r="O643" i="1"/>
  <c r="Y643" i="1" s="1"/>
  <c r="AI643" i="1" s="1"/>
  <c r="S389" i="1"/>
  <c r="AC389" i="1" s="1"/>
  <c r="AM389" i="1" s="1"/>
  <c r="S538" i="1"/>
  <c r="AC538" i="1" s="1"/>
  <c r="AM538" i="1" s="1"/>
  <c r="S630" i="1"/>
  <c r="AC630" i="1" s="1"/>
  <c r="AM630" i="1" s="1"/>
  <c r="Q442" i="1"/>
  <c r="W572" i="1"/>
  <c r="P282" i="1"/>
  <c r="Z282" i="1" s="1"/>
  <c r="AJ282" i="1" s="1"/>
  <c r="P640" i="1"/>
  <c r="Z640" i="1" s="1"/>
  <c r="AJ640" i="1" s="1"/>
  <c r="R567" i="1"/>
  <c r="AB567" i="1" s="1"/>
  <c r="V553" i="1"/>
  <c r="Q124" i="1"/>
  <c r="O239" i="1"/>
  <c r="Y239" i="1" s="1"/>
  <c r="AI239" i="1" s="1"/>
  <c r="V212" i="1"/>
  <c r="AF212" i="1" s="1"/>
  <c r="AP212" i="1" s="1"/>
  <c r="O329" i="1"/>
  <c r="Y329" i="1" s="1"/>
  <c r="AI329" i="1" s="1"/>
  <c r="Q271" i="1"/>
  <c r="U379" i="1"/>
  <c r="AE379" i="1" s="1"/>
  <c r="AO379" i="1" s="1"/>
  <c r="U427" i="1"/>
  <c r="P322" i="1"/>
  <c r="Z322" i="1" s="1"/>
  <c r="AJ322" i="1" s="1"/>
  <c r="T400" i="1"/>
  <c r="P444" i="1"/>
  <c r="Z444" i="1" s="1"/>
  <c r="AJ444" i="1" s="1"/>
  <c r="V481" i="1"/>
  <c r="U367" i="1"/>
  <c r="AE367" i="1" s="1"/>
  <c r="AO367" i="1" s="1"/>
  <c r="W433" i="1"/>
  <c r="W486" i="1"/>
  <c r="AG486" i="1" s="1"/>
  <c r="AQ486" i="1" s="1"/>
  <c r="Q526" i="1"/>
  <c r="U554" i="1"/>
  <c r="O583" i="1"/>
  <c r="Y583" i="1" s="1"/>
  <c r="AI583" i="1" s="1"/>
  <c r="W336" i="1"/>
  <c r="AS336" i="1" s="1"/>
  <c r="AT336" i="1" s="1"/>
  <c r="AU336" i="1" s="1"/>
  <c r="AV336" i="1" s="1"/>
  <c r="AW336" i="1" s="1"/>
  <c r="P409" i="1"/>
  <c r="Z409" i="1" s="1"/>
  <c r="AJ409" i="1" s="1"/>
  <c r="W467" i="1"/>
  <c r="R514" i="1"/>
  <c r="V548" i="1"/>
  <c r="T577" i="1"/>
  <c r="T619" i="1"/>
  <c r="P645" i="1"/>
  <c r="Z645" i="1" s="1"/>
  <c r="AJ645" i="1" s="1"/>
  <c r="R191" i="1"/>
  <c r="Q422" i="1"/>
  <c r="W498" i="1"/>
  <c r="AS498" i="1" s="1"/>
  <c r="U539" i="1"/>
  <c r="AE539" i="1" s="1"/>
  <c r="AO539" i="1" s="1"/>
  <c r="U579" i="1"/>
  <c r="AE579" i="1" s="1"/>
  <c r="AO579" i="1" s="1"/>
  <c r="S610" i="1"/>
  <c r="AC610" i="1" s="1"/>
  <c r="AM610" i="1" s="1"/>
  <c r="R633" i="1"/>
  <c r="AB633" i="1" s="1"/>
  <c r="AL633" i="1" s="1"/>
  <c r="T660" i="1"/>
  <c r="O348" i="1"/>
  <c r="Y348" i="1" s="1"/>
  <c r="AI348" i="1" s="1"/>
  <c r="T433" i="1"/>
  <c r="R501" i="1"/>
  <c r="T540" i="1"/>
  <c r="T584" i="1"/>
  <c r="V621" i="1"/>
  <c r="AF621" i="1" s="1"/>
  <c r="AP621" i="1" s="1"/>
  <c r="U644" i="1"/>
  <c r="AE644" i="1" s="1"/>
  <c r="AO644" i="1" s="1"/>
  <c r="V227" i="1"/>
  <c r="V472" i="1"/>
  <c r="S554" i="1"/>
  <c r="AC554" i="1" s="1"/>
  <c r="AM554" i="1" s="1"/>
  <c r="S615" i="1"/>
  <c r="AC615" i="1" s="1"/>
  <c r="AM615" i="1" s="1"/>
  <c r="U329" i="1"/>
  <c r="AB329" i="1" s="1"/>
  <c r="AL329" i="1" s="1"/>
  <c r="T469" i="1"/>
  <c r="Q539" i="1"/>
  <c r="V611" i="1"/>
  <c r="AF611" i="1" s="1"/>
  <c r="AP611" i="1" s="1"/>
  <c r="U342" i="1"/>
  <c r="AB342" i="1" s="1"/>
  <c r="P588" i="1"/>
  <c r="Z588" i="1" s="1"/>
  <c r="AJ588" i="1" s="1"/>
  <c r="V424" i="1"/>
  <c r="V605" i="1"/>
  <c r="R547" i="1"/>
  <c r="V569" i="1"/>
  <c r="V205" i="1"/>
  <c r="S131" i="1"/>
  <c r="AC131" i="1" s="1"/>
  <c r="AM131" i="1" s="1"/>
  <c r="V362" i="1"/>
  <c r="U363" i="1"/>
  <c r="W448" i="1"/>
  <c r="V437" i="1"/>
  <c r="Q345" i="1"/>
  <c r="P467" i="1"/>
  <c r="Z467" i="1" s="1"/>
  <c r="AJ467" i="1" s="1"/>
  <c r="W551" i="1"/>
  <c r="O605" i="1"/>
  <c r="Y605" i="1" s="1"/>
  <c r="AI605" i="1" s="1"/>
  <c r="R448" i="1"/>
  <c r="T523" i="1"/>
  <c r="AD523" i="1" s="1"/>
  <c r="AN523" i="1" s="1"/>
  <c r="P569" i="1"/>
  <c r="Z569" i="1" s="1"/>
  <c r="AJ569" i="1" s="1"/>
  <c r="V606" i="1"/>
  <c r="Q315" i="1"/>
  <c r="O494" i="1"/>
  <c r="Y494" i="1" s="1"/>
  <c r="AI494" i="1" s="1"/>
  <c r="O570" i="1"/>
  <c r="Y570" i="1" s="1"/>
  <c r="AI570" i="1" s="1"/>
  <c r="O636" i="1"/>
  <c r="Y636" i="1" s="1"/>
  <c r="AI636" i="1" s="1"/>
  <c r="S339" i="1"/>
  <c r="AC339" i="1" s="1"/>
  <c r="AM339" i="1" s="1"/>
  <c r="W479" i="1"/>
  <c r="AG479" i="1" s="1"/>
  <c r="AQ479" i="1" s="1"/>
  <c r="T564" i="1"/>
  <c r="AS564" i="1" s="1"/>
  <c r="AT564" i="1" s="1"/>
  <c r="AU564" i="1" s="1"/>
  <c r="AV564" i="1" s="1"/>
  <c r="AW564" i="1" s="1"/>
  <c r="U628" i="1"/>
  <c r="O351" i="1"/>
  <c r="Y351" i="1" s="1"/>
  <c r="AI351" i="1" s="1"/>
  <c r="U573" i="1"/>
  <c r="U287" i="1"/>
  <c r="W532" i="1"/>
  <c r="U658" i="1"/>
  <c r="AG658" i="1" s="1"/>
  <c r="AQ658" i="1" s="1"/>
  <c r="U648" i="1"/>
  <c r="P564" i="1"/>
  <c r="Z564" i="1" s="1"/>
  <c r="AJ564" i="1" s="1"/>
  <c r="R515" i="1"/>
  <c r="S159" i="1"/>
  <c r="AC159" i="1" s="1"/>
  <c r="AM159" i="1" s="1"/>
  <c r="T165" i="1"/>
  <c r="AS165" i="1" s="1"/>
  <c r="AT165" i="1" s="1"/>
  <c r="AU165" i="1" s="1"/>
  <c r="R279" i="1"/>
  <c r="T323" i="1"/>
  <c r="AS323" i="1" s="1"/>
  <c r="AT323" i="1" s="1"/>
  <c r="O284" i="1"/>
  <c r="Y284" i="1" s="1"/>
  <c r="AI284" i="1" s="1"/>
  <c r="W383" i="1"/>
  <c r="P196" i="1"/>
  <c r="Z196" i="1" s="1"/>
  <c r="AJ196" i="1" s="1"/>
  <c r="T368" i="1"/>
  <c r="AS368" i="1" s="1"/>
  <c r="AT368" i="1" s="1"/>
  <c r="R455" i="1"/>
  <c r="O359" i="1"/>
  <c r="Y359" i="1" s="1"/>
  <c r="AI359" i="1" s="1"/>
  <c r="U458" i="1"/>
  <c r="AF458" i="1" s="1"/>
  <c r="AP458" i="1" s="1"/>
  <c r="O521" i="1"/>
  <c r="Y521" i="1" s="1"/>
  <c r="AI521" i="1" s="1"/>
  <c r="O567" i="1"/>
  <c r="Y567" i="1" s="1"/>
  <c r="AI567" i="1" s="1"/>
  <c r="T283" i="1"/>
  <c r="AS283" i="1" s="1"/>
  <c r="AX283" i="1" s="1"/>
  <c r="O464" i="1"/>
  <c r="Y464" i="1" s="1"/>
  <c r="AI464" i="1" s="1"/>
  <c r="T527" i="1"/>
  <c r="V570" i="1"/>
  <c r="P599" i="1"/>
  <c r="Z599" i="1" s="1"/>
  <c r="AJ599" i="1" s="1"/>
  <c r="V640" i="1"/>
  <c r="AF640" i="1" s="1"/>
  <c r="AP640" i="1" s="1"/>
  <c r="S334" i="1"/>
  <c r="AC334" i="1" s="1"/>
  <c r="AM334" i="1" s="1"/>
  <c r="U479" i="1"/>
  <c r="AE479" i="1" s="1"/>
  <c r="AO479" i="1" s="1"/>
  <c r="S548" i="1"/>
  <c r="AC548" i="1" s="1"/>
  <c r="AM548" i="1" s="1"/>
  <c r="S611" i="1"/>
  <c r="AC611" i="1" s="1"/>
  <c r="AM611" i="1" s="1"/>
  <c r="Q647" i="1"/>
  <c r="S354" i="1"/>
  <c r="AC354" i="1" s="1"/>
  <c r="AM354" i="1" s="1"/>
  <c r="R513" i="1"/>
  <c r="R585" i="1"/>
  <c r="AB585" i="1" s="1"/>
  <c r="AL585" i="1" s="1"/>
  <c r="R631" i="1"/>
  <c r="T257" i="1"/>
  <c r="AS257" i="1" s="1"/>
  <c r="S506" i="1"/>
  <c r="AC506" i="1" s="1"/>
  <c r="AM506" i="1" s="1"/>
  <c r="Q607" i="1"/>
  <c r="O336" i="1"/>
  <c r="Y336" i="1" s="1"/>
  <c r="AI336" i="1" s="1"/>
  <c r="W516" i="1"/>
  <c r="W612" i="1"/>
  <c r="AG612" i="1" s="1"/>
  <c r="AQ612" i="1" s="1"/>
  <c r="Q462" i="1"/>
  <c r="Q657" i="1"/>
  <c r="R583" i="1"/>
  <c r="R353" i="1"/>
  <c r="Q658" i="1"/>
  <c r="AA658" i="1" s="1"/>
  <c r="AK658" i="1" s="1"/>
  <c r="P650" i="1"/>
  <c r="Z650" i="1" s="1"/>
  <c r="AJ650" i="1" s="1"/>
  <c r="O461" i="1"/>
  <c r="Y461" i="1" s="1"/>
  <c r="AI461" i="1" s="1"/>
  <c r="W560" i="1"/>
  <c r="U651" i="1"/>
  <c r="T556" i="1"/>
  <c r="W392" i="1"/>
  <c r="AG392" i="1" s="1"/>
  <c r="AQ392" i="1" s="1"/>
  <c r="Q601" i="1"/>
  <c r="O485" i="1"/>
  <c r="Y485" i="1" s="1"/>
  <c r="AI485" i="1" s="1"/>
  <c r="P625" i="1"/>
  <c r="Z625" i="1" s="1"/>
  <c r="AJ625" i="1" s="1"/>
  <c r="W484" i="1"/>
  <c r="S286" i="1"/>
  <c r="AC286" i="1" s="1"/>
  <c r="AM286" i="1" s="1"/>
  <c r="Q546" i="1"/>
  <c r="W449" i="1"/>
  <c r="V475" i="1"/>
  <c r="U202" i="1"/>
  <c r="AE202" i="1" s="1"/>
  <c r="AO202" i="1" s="1"/>
  <c r="Q291" i="1"/>
  <c r="T252" i="1"/>
  <c r="AS252" i="1" s="1"/>
  <c r="U459" i="1"/>
  <c r="AE459" i="1" s="1"/>
  <c r="AO459" i="1" s="1"/>
  <c r="P478" i="1"/>
  <c r="Z478" i="1" s="1"/>
  <c r="AJ478" i="1" s="1"/>
  <c r="W430" i="1"/>
  <c r="AG430" i="1" s="1"/>
  <c r="AQ430" i="1" s="1"/>
  <c r="R213" i="1"/>
  <c r="T467" i="1"/>
  <c r="O638" i="1"/>
  <c r="Y638" i="1" s="1"/>
  <c r="AI638" i="1" s="1"/>
  <c r="Q603" i="1"/>
  <c r="P247" i="1"/>
  <c r="Z247" i="1" s="1"/>
  <c r="AJ247" i="1" s="1"/>
  <c r="U493" i="1"/>
  <c r="AE493" i="1" s="1"/>
  <c r="AO493" i="1" s="1"/>
  <c r="O627" i="1"/>
  <c r="Y627" i="1" s="1"/>
  <c r="AI627" i="1" s="1"/>
  <c r="T504" i="1"/>
  <c r="AS504" i="1" s="1"/>
  <c r="AT504" i="1" s="1"/>
  <c r="U273" i="1"/>
  <c r="S592" i="1"/>
  <c r="AC592" i="1" s="1"/>
  <c r="AM592" i="1" s="1"/>
  <c r="W466" i="1"/>
  <c r="P601" i="1"/>
  <c r="Z601" i="1" s="1"/>
  <c r="AJ601" i="1" s="1"/>
  <c r="R540" i="1"/>
  <c r="AB540" i="1" s="1"/>
  <c r="AL540" i="1" s="1"/>
  <c r="T403" i="1"/>
  <c r="O561" i="1"/>
  <c r="Y561" i="1" s="1"/>
  <c r="AI561" i="1" s="1"/>
  <c r="P475" i="1"/>
  <c r="Z475" i="1" s="1"/>
  <c r="AJ475" i="1" s="1"/>
  <c r="T464" i="1"/>
  <c r="AS464" i="1" s="1"/>
  <c r="AT464" i="1" s="1"/>
  <c r="Q447" i="1"/>
  <c r="V394" i="1"/>
  <c r="T305" i="1"/>
  <c r="AS305" i="1" s="1"/>
  <c r="AT305" i="1" s="1"/>
  <c r="AU305" i="1" s="1"/>
  <c r="AV305" i="1" s="1"/>
  <c r="AW305" i="1" s="1"/>
  <c r="V225" i="1"/>
  <c r="W67" i="1"/>
  <c r="AS67" i="1" s="1"/>
  <c r="AX67" i="1" s="1"/>
  <c r="V329" i="1"/>
  <c r="S110" i="1"/>
  <c r="AC110" i="1" s="1"/>
  <c r="AM110" i="1" s="1"/>
  <c r="V129" i="1"/>
  <c r="W176" i="1"/>
  <c r="O107" i="1"/>
  <c r="Y107" i="1" s="1"/>
  <c r="AI107" i="1" s="1"/>
  <c r="O178" i="1"/>
  <c r="Y178" i="1" s="1"/>
  <c r="AI178" i="1" s="1"/>
  <c r="Q257" i="1"/>
  <c r="W191" i="1"/>
  <c r="T187" i="1"/>
  <c r="U304" i="1"/>
  <c r="R142" i="1"/>
  <c r="P259" i="1"/>
  <c r="Z259" i="1" s="1"/>
  <c r="AJ259" i="1" s="1"/>
  <c r="P255" i="1"/>
  <c r="Z255" i="1" s="1"/>
  <c r="AJ255" i="1" s="1"/>
  <c r="R340" i="1"/>
  <c r="V119" i="1"/>
  <c r="P165" i="1"/>
  <c r="Z165" i="1" s="1"/>
  <c r="AJ165" i="1" s="1"/>
  <c r="P205" i="1"/>
  <c r="Z205" i="1" s="1"/>
  <c r="AJ205" i="1" s="1"/>
  <c r="T206" i="1"/>
  <c r="AS206" i="1" s="1"/>
  <c r="Q272" i="1"/>
  <c r="S132" i="1"/>
  <c r="AC132" i="1" s="1"/>
  <c r="AM132" i="1" s="1"/>
  <c r="R248" i="1"/>
  <c r="S296" i="1"/>
  <c r="AC296" i="1" s="1"/>
  <c r="AM296" i="1" s="1"/>
  <c r="Q316" i="1"/>
  <c r="O296" i="1"/>
  <c r="Y296" i="1" s="1"/>
  <c r="AI296" i="1" s="1"/>
  <c r="T369" i="1"/>
  <c r="Q217" i="1"/>
  <c r="W247" i="1"/>
  <c r="P147" i="1"/>
  <c r="Z147" i="1" s="1"/>
  <c r="AJ147" i="1" s="1"/>
  <c r="W280" i="1"/>
  <c r="T335" i="1"/>
  <c r="AS335" i="1" s="1"/>
  <c r="AX335" i="1" s="1"/>
  <c r="T309" i="1"/>
  <c r="R391" i="1"/>
  <c r="S350" i="1"/>
  <c r="AC350" i="1" s="1"/>
  <c r="AM350" i="1" s="1"/>
  <c r="P420" i="1"/>
  <c r="Z420" i="1" s="1"/>
  <c r="AJ420" i="1" s="1"/>
  <c r="S153" i="1"/>
  <c r="AC153" i="1" s="1"/>
  <c r="AM153" i="1" s="1"/>
  <c r="S254" i="1"/>
  <c r="AC254" i="1" s="1"/>
  <c r="AM254" i="1" s="1"/>
  <c r="Q290" i="1"/>
  <c r="U234" i="1"/>
  <c r="O331" i="1"/>
  <c r="Y331" i="1" s="1"/>
  <c r="AI331" i="1" s="1"/>
  <c r="V360" i="1"/>
  <c r="O294" i="1"/>
  <c r="Y294" i="1" s="1"/>
  <c r="AI294" i="1" s="1"/>
  <c r="W358" i="1"/>
  <c r="S408" i="1"/>
  <c r="AC408" i="1" s="1"/>
  <c r="AM408" i="1" s="1"/>
  <c r="Q443" i="1"/>
  <c r="U295" i="1"/>
  <c r="AD295" i="1" s="1"/>
  <c r="AN295" i="1" s="1"/>
  <c r="S351" i="1"/>
  <c r="AC351" i="1" s="1"/>
  <c r="AM351" i="1" s="1"/>
  <c r="W389" i="1"/>
  <c r="AG389" i="1" s="1"/>
  <c r="AQ389" i="1" s="1"/>
  <c r="P426" i="1"/>
  <c r="Z426" i="1" s="1"/>
  <c r="AJ426" i="1" s="1"/>
  <c r="P458" i="1"/>
  <c r="Z458" i="1" s="1"/>
  <c r="AJ458" i="1" s="1"/>
  <c r="T490" i="1"/>
  <c r="AS490" i="1" s="1"/>
  <c r="AT490" i="1" s="1"/>
  <c r="AU490" i="1" s="1"/>
  <c r="AV490" i="1" s="1"/>
  <c r="AW490" i="1" s="1"/>
  <c r="O358" i="1"/>
  <c r="Y358" i="1" s="1"/>
  <c r="AI358" i="1" s="1"/>
  <c r="Q420" i="1"/>
  <c r="U467" i="1"/>
  <c r="AB467" i="1" s="1"/>
  <c r="AL467" i="1" s="1"/>
  <c r="O501" i="1"/>
  <c r="Y501" i="1" s="1"/>
  <c r="AI501" i="1" s="1"/>
  <c r="U526" i="1"/>
  <c r="Q552" i="1"/>
  <c r="W577" i="1"/>
  <c r="AG577" i="1" s="1"/>
  <c r="AQ577" i="1" s="1"/>
  <c r="O603" i="1"/>
  <c r="Y603" i="1" s="1"/>
  <c r="AI603" i="1" s="1"/>
  <c r="S346" i="1"/>
  <c r="AC346" i="1" s="1"/>
  <c r="AM346" i="1" s="1"/>
  <c r="P417" i="1"/>
  <c r="Z417" i="1" s="1"/>
  <c r="AJ417" i="1" s="1"/>
  <c r="S469" i="1"/>
  <c r="AC469" i="1" s="1"/>
  <c r="AM469" i="1" s="1"/>
  <c r="V504" i="1"/>
  <c r="R536" i="1"/>
  <c r="R566" i="1"/>
  <c r="T601" i="1"/>
  <c r="AS601" i="1" s="1"/>
  <c r="AX601" i="1" s="1"/>
  <c r="V632" i="1"/>
  <c r="V666" i="1"/>
  <c r="U420" i="1"/>
  <c r="AA420" i="1" s="1"/>
  <c r="U503" i="1"/>
  <c r="T116" i="1"/>
  <c r="R194" i="1"/>
  <c r="O279" i="1"/>
  <c r="Y279" i="1" s="1"/>
  <c r="AI279" i="1" s="1"/>
  <c r="U80" i="1"/>
  <c r="AF80" i="1" s="1"/>
  <c r="AP80" i="1" s="1"/>
  <c r="O323" i="1"/>
  <c r="Y323" i="1" s="1"/>
  <c r="AI323" i="1" s="1"/>
  <c r="V380" i="1"/>
  <c r="Q341" i="1"/>
  <c r="S410" i="1"/>
  <c r="AC410" i="1" s="1"/>
  <c r="AM410" i="1" s="1"/>
  <c r="V258" i="1"/>
  <c r="S375" i="1"/>
  <c r="AC375" i="1" s="1"/>
  <c r="AM375" i="1" s="1"/>
  <c r="V449" i="1"/>
  <c r="T259" i="1"/>
  <c r="AS259" i="1" s="1"/>
  <c r="AX259" i="1" s="1"/>
  <c r="U399" i="1"/>
  <c r="S463" i="1"/>
  <c r="AC463" i="1" s="1"/>
  <c r="AM463" i="1" s="1"/>
  <c r="U504" i="1"/>
  <c r="AE504" i="1" s="1"/>
  <c r="AO504" i="1" s="1"/>
  <c r="U538" i="1"/>
  <c r="Q564" i="1"/>
  <c r="S585" i="1"/>
  <c r="AC585" i="1" s="1"/>
  <c r="AM585" i="1" s="1"/>
  <c r="R183" i="1"/>
  <c r="O356" i="1"/>
  <c r="Y356" i="1" s="1"/>
  <c r="AI356" i="1" s="1"/>
  <c r="T407" i="1"/>
  <c r="AS407" i="1" s="1"/>
  <c r="S454" i="1"/>
  <c r="AC454" i="1" s="1"/>
  <c r="AM454" i="1" s="1"/>
  <c r="S478" i="1"/>
  <c r="AC478" i="1" s="1"/>
  <c r="AM478" i="1" s="1"/>
  <c r="R502" i="1"/>
  <c r="AB502" i="1" s="1"/>
  <c r="AL502" i="1" s="1"/>
  <c r="P527" i="1"/>
  <c r="Z527" i="1" s="1"/>
  <c r="AJ527" i="1" s="1"/>
  <c r="P84" i="1"/>
  <c r="Z84" i="1" s="1"/>
  <c r="AJ84" i="1" s="1"/>
  <c r="AK84" i="1" s="1"/>
  <c r="Q181" i="1"/>
  <c r="U257" i="1"/>
  <c r="AG257" i="1" s="1"/>
  <c r="AQ257" i="1" s="1"/>
  <c r="Q262" i="1"/>
  <c r="T161" i="1"/>
  <c r="U214" i="1"/>
  <c r="P290" i="1"/>
  <c r="Z290" i="1" s="1"/>
  <c r="AJ290" i="1" s="1"/>
  <c r="V306" i="1"/>
  <c r="AF306" i="1" s="1"/>
  <c r="AP306" i="1" s="1"/>
  <c r="P391" i="1"/>
  <c r="Z391" i="1" s="1"/>
  <c r="AJ391" i="1" s="1"/>
  <c r="W326" i="1"/>
  <c r="Q381" i="1"/>
  <c r="O420" i="1"/>
  <c r="Y420" i="1" s="1"/>
  <c r="AI420" i="1" s="1"/>
  <c r="U453" i="1"/>
  <c r="P346" i="1"/>
  <c r="Z346" i="1" s="1"/>
  <c r="AJ346" i="1" s="1"/>
  <c r="V395" i="1"/>
  <c r="P440" i="1"/>
  <c r="Z440" i="1" s="1"/>
  <c r="AJ440" i="1" s="1"/>
  <c r="P480" i="1"/>
  <c r="Z480" i="1" s="1"/>
  <c r="AJ480" i="1" s="1"/>
  <c r="S330" i="1"/>
  <c r="AC330" i="1" s="1"/>
  <c r="AM330" i="1" s="1"/>
  <c r="Q393" i="1"/>
  <c r="O441" i="1"/>
  <c r="Y441" i="1" s="1"/>
  <c r="AI441" i="1" s="1"/>
  <c r="Q476" i="1"/>
  <c r="O505" i="1"/>
  <c r="Y505" i="1" s="1"/>
  <c r="AI505" i="1" s="1"/>
  <c r="S527" i="1"/>
  <c r="AC527" i="1" s="1"/>
  <c r="AM527" i="1" s="1"/>
  <c r="Q550" i="1"/>
  <c r="W595" i="1"/>
  <c r="T314" i="1"/>
  <c r="Q392" i="1"/>
  <c r="P449" i="1"/>
  <c r="Z449" i="1" s="1"/>
  <c r="AJ449" i="1" s="1"/>
  <c r="Q482" i="1"/>
  <c r="T509" i="1"/>
  <c r="T537" i="1"/>
  <c r="P565" i="1"/>
  <c r="Z565" i="1" s="1"/>
  <c r="AJ565" i="1" s="1"/>
  <c r="T583" i="1"/>
  <c r="AS583" i="1" s="1"/>
  <c r="P605" i="1"/>
  <c r="Z605" i="1" s="1"/>
  <c r="AJ605" i="1" s="1"/>
  <c r="T625" i="1"/>
  <c r="R648" i="1"/>
  <c r="T216" i="1"/>
  <c r="U462" i="1"/>
  <c r="AE462" i="1" s="1"/>
  <c r="AO462" i="1" s="1"/>
  <c r="S504" i="1"/>
  <c r="AC504" i="1" s="1"/>
  <c r="AM504" i="1" s="1"/>
  <c r="Q537" i="1"/>
  <c r="AA537" i="1" s="1"/>
  <c r="AK537" i="1" s="1"/>
  <c r="O590" i="1"/>
  <c r="Y590" i="1" s="1"/>
  <c r="AI590" i="1" s="1"/>
  <c r="P614" i="1"/>
  <c r="Z614" i="1" s="1"/>
  <c r="AJ614" i="1" s="1"/>
  <c r="W649" i="1"/>
  <c r="R369" i="1"/>
  <c r="AB369" i="1" s="1"/>
  <c r="AL369" i="1" s="1"/>
  <c r="U477" i="1"/>
  <c r="AG477" i="1" s="1"/>
  <c r="AQ477" i="1" s="1"/>
  <c r="R545" i="1"/>
  <c r="R609" i="1"/>
  <c r="AB609" i="1" s="1"/>
  <c r="V645" i="1"/>
  <c r="S421" i="1"/>
  <c r="AC421" i="1" s="1"/>
  <c r="AM421" i="1" s="1"/>
  <c r="Q551" i="1"/>
  <c r="O641" i="1"/>
  <c r="Y641" i="1" s="1"/>
  <c r="AI641" i="1" s="1"/>
  <c r="V456" i="1"/>
  <c r="O568" i="1"/>
  <c r="Y568" i="1" s="1"/>
  <c r="AI568" i="1" s="1"/>
  <c r="T656" i="1"/>
  <c r="T594" i="1"/>
  <c r="AS594" i="1" s="1"/>
  <c r="V557" i="1"/>
  <c r="AF557" i="1" s="1"/>
  <c r="AP557" i="1" s="1"/>
  <c r="R480" i="1"/>
  <c r="V108" i="1"/>
  <c r="T150" i="1"/>
  <c r="S219" i="1"/>
  <c r="AC219" i="1" s="1"/>
  <c r="AM219" i="1" s="1"/>
  <c r="S319" i="1"/>
  <c r="AC319" i="1" s="1"/>
  <c r="AM319" i="1" s="1"/>
  <c r="O225" i="1"/>
  <c r="Y225" i="1" s="1"/>
  <c r="AI225" i="1" s="1"/>
  <c r="T394" i="1"/>
  <c r="O368" i="1"/>
  <c r="Y368" i="1" s="1"/>
  <c r="AI368" i="1" s="1"/>
  <c r="T454" i="1"/>
  <c r="O332" i="1"/>
  <c r="Y332" i="1" s="1"/>
  <c r="AI332" i="1" s="1"/>
  <c r="W453" i="1"/>
  <c r="Q508" i="1"/>
  <c r="AA508" i="1" s="1"/>
  <c r="Q554" i="1"/>
  <c r="U598" i="1"/>
  <c r="AE598" i="1" s="1"/>
  <c r="AO598" i="1" s="1"/>
  <c r="W385" i="1"/>
  <c r="V512" i="1"/>
  <c r="T563" i="1"/>
  <c r="V610" i="1"/>
  <c r="P651" i="1"/>
  <c r="Z651" i="1" s="1"/>
  <c r="AJ651" i="1" s="1"/>
  <c r="O411" i="1"/>
  <c r="Y411" i="1" s="1"/>
  <c r="AI411" i="1" s="1"/>
  <c r="Q509" i="1"/>
  <c r="S572" i="1"/>
  <c r="AC572" i="1" s="1"/>
  <c r="AM572" i="1" s="1"/>
  <c r="S619" i="1"/>
  <c r="AC619" i="1" s="1"/>
  <c r="AM619" i="1" s="1"/>
  <c r="R657" i="1"/>
  <c r="AB657" i="1" s="1"/>
  <c r="AL657" i="1" s="1"/>
  <c r="R406" i="1"/>
  <c r="T496" i="1"/>
  <c r="V591" i="1"/>
  <c r="AF591" i="1" s="1"/>
  <c r="AP591" i="1" s="1"/>
  <c r="Q637" i="1"/>
  <c r="W346" i="1"/>
  <c r="S522" i="1"/>
  <c r="AC522" i="1" s="1"/>
  <c r="AM522" i="1" s="1"/>
  <c r="U618" i="1"/>
  <c r="O383" i="1"/>
  <c r="Y383" i="1" s="1"/>
  <c r="AI383" i="1" s="1"/>
  <c r="Q531" i="1"/>
  <c r="T624" i="1"/>
  <c r="AS624" i="1" s="1"/>
  <c r="V470" i="1"/>
  <c r="AF470" i="1" s="1"/>
  <c r="AP470" i="1" s="1"/>
  <c r="V270" i="1"/>
  <c r="AF270" i="1" s="1"/>
  <c r="AP270" i="1" s="1"/>
  <c r="T630" i="1"/>
  <c r="V448" i="1"/>
  <c r="O227" i="1"/>
  <c r="Y227" i="1" s="1"/>
  <c r="AI227" i="1" s="1"/>
  <c r="T154" i="1"/>
  <c r="AS154" i="1" s="1"/>
  <c r="AT154" i="1" s="1"/>
  <c r="AU154" i="1" s="1"/>
  <c r="AV154" i="1" s="1"/>
  <c r="AW154" i="1" s="1"/>
  <c r="V172" i="1"/>
  <c r="AF172" i="1" s="1"/>
  <c r="AP172" i="1" s="1"/>
  <c r="W138" i="1"/>
  <c r="S400" i="1"/>
  <c r="AC400" i="1" s="1"/>
  <c r="AM400" i="1" s="1"/>
  <c r="R291" i="1"/>
  <c r="P410" i="1"/>
  <c r="Z410" i="1" s="1"/>
  <c r="AJ410" i="1" s="1"/>
  <c r="T478" i="1"/>
  <c r="R470" i="1"/>
  <c r="AB470" i="1" s="1"/>
  <c r="Q518" i="1"/>
  <c r="W563" i="1"/>
  <c r="R404" i="1"/>
  <c r="V542" i="1"/>
  <c r="T627" i="1"/>
  <c r="T461" i="1"/>
  <c r="AS461" i="1" s="1"/>
  <c r="AT461" i="1" s="1"/>
  <c r="Q589" i="1"/>
  <c r="P192" i="1"/>
  <c r="Z192" i="1" s="1"/>
  <c r="AJ192" i="1" s="1"/>
  <c r="T508" i="1"/>
  <c r="P620" i="1"/>
  <c r="Z620" i="1" s="1"/>
  <c r="AJ620" i="1" s="1"/>
  <c r="R466" i="1"/>
  <c r="U665" i="1"/>
  <c r="P618" i="1"/>
  <c r="Z618" i="1" s="1"/>
  <c r="AJ618" i="1" s="1"/>
  <c r="P398" i="1"/>
  <c r="Z398" i="1" s="1"/>
  <c r="AJ398" i="1" s="1"/>
  <c r="P576" i="1"/>
  <c r="Z576" i="1" s="1"/>
  <c r="AJ576" i="1" s="1"/>
  <c r="U290" i="1"/>
  <c r="AA290" i="1" s="1"/>
  <c r="AK290" i="1" s="1"/>
  <c r="R334" i="1"/>
  <c r="W390" i="1"/>
  <c r="AS390" i="1" s="1"/>
  <c r="AT390" i="1" s="1"/>
  <c r="R349" i="1"/>
  <c r="V451" i="1"/>
  <c r="U384" i="1"/>
  <c r="S503" i="1"/>
  <c r="AC503" i="1" s="1"/>
  <c r="AM503" i="1" s="1"/>
  <c r="U560" i="1"/>
  <c r="T348" i="1"/>
  <c r="W483" i="1"/>
  <c r="T553" i="1"/>
  <c r="R624" i="1"/>
  <c r="Q331" i="1"/>
  <c r="O506" i="1"/>
  <c r="Y506" i="1" s="1"/>
  <c r="AI506" i="1" s="1"/>
  <c r="O586" i="1"/>
  <c r="Y586" i="1" s="1"/>
  <c r="AI586" i="1" s="1"/>
  <c r="W641" i="1"/>
  <c r="Q367" i="1"/>
  <c r="P188" i="1"/>
  <c r="Z188" i="1" s="1"/>
  <c r="AJ188" i="1" s="1"/>
  <c r="O391" i="1"/>
  <c r="Y391" i="1" s="1"/>
  <c r="AI391" i="1" s="1"/>
  <c r="T573" i="1"/>
  <c r="R438" i="1"/>
  <c r="O504" i="1"/>
  <c r="Y504" i="1" s="1"/>
  <c r="AI504" i="1" s="1"/>
  <c r="W314" i="1"/>
  <c r="P313" i="1"/>
  <c r="Z313" i="1" s="1"/>
  <c r="AJ313" i="1" s="1"/>
  <c r="U500" i="1"/>
  <c r="AB500" i="1" s="1"/>
  <c r="AL500" i="1" s="1"/>
  <c r="U343" i="1"/>
  <c r="AA343" i="1" s="1"/>
  <c r="AK343" i="1" s="1"/>
  <c r="W614" i="1"/>
  <c r="O475" i="1"/>
  <c r="Y475" i="1" s="1"/>
  <c r="AI475" i="1" s="1"/>
  <c r="R591" i="1"/>
  <c r="AB591" i="1" s="1"/>
  <c r="Q644" i="1"/>
  <c r="Q613" i="1"/>
  <c r="U629" i="1"/>
  <c r="U515" i="1"/>
  <c r="AA515" i="1" s="1"/>
  <c r="P587" i="1"/>
  <c r="Z587" i="1" s="1"/>
  <c r="AJ587" i="1" s="1"/>
  <c r="S589" i="1"/>
  <c r="AC589" i="1" s="1"/>
  <c r="AM589" i="1" s="1"/>
  <c r="R266" i="1"/>
  <c r="Q357" i="1"/>
  <c r="U241" i="1"/>
  <c r="AA241" i="1" s="1"/>
  <c r="P508" i="1"/>
  <c r="Z508" i="1" s="1"/>
  <c r="AJ508" i="1" s="1"/>
  <c r="S498" i="1"/>
  <c r="AC498" i="1" s="1"/>
  <c r="AM498" i="1" s="1"/>
  <c r="T441" i="1"/>
  <c r="AS441" i="1" s="1"/>
  <c r="AT441" i="1" s="1"/>
  <c r="AU441" i="1" s="1"/>
  <c r="U412" i="1"/>
  <c r="R492" i="1"/>
  <c r="Q428" i="1"/>
  <c r="R398" i="1"/>
  <c r="P664" i="1"/>
  <c r="Z664" i="1" s="1"/>
  <c r="AJ664" i="1" s="1"/>
  <c r="P524" i="1"/>
  <c r="Z524" i="1" s="1"/>
  <c r="AJ524" i="1" s="1"/>
  <c r="P400" i="1"/>
  <c r="Z400" i="1" s="1"/>
  <c r="AJ400" i="1" s="1"/>
  <c r="Q402" i="1"/>
  <c r="AA402" i="1" s="1"/>
  <c r="AK402" i="1" s="1"/>
  <c r="T568" i="1"/>
  <c r="AS568" i="1" s="1"/>
  <c r="AT568" i="1" s="1"/>
  <c r="U476" i="1"/>
  <c r="AG476" i="1" s="1"/>
  <c r="AQ476" i="1" s="1"/>
  <c r="W465" i="1"/>
  <c r="V450" i="1"/>
  <c r="P286" i="1"/>
  <c r="Z286" i="1" s="1"/>
  <c r="AJ286" i="1" s="1"/>
  <c r="R294" i="1"/>
  <c r="S510" i="1"/>
  <c r="AC510" i="1" s="1"/>
  <c r="AM510" i="1" s="1"/>
  <c r="R446" i="1"/>
  <c r="V592" i="1"/>
  <c r="S397" i="1"/>
  <c r="AC397" i="1" s="1"/>
  <c r="AM397" i="1" s="1"/>
  <c r="W111" i="1"/>
  <c r="AS111" i="1" s="1"/>
  <c r="AT111" i="1" s="1"/>
  <c r="W487" i="1"/>
  <c r="AG487" i="1" s="1"/>
  <c r="AQ487" i="1" s="1"/>
  <c r="V595" i="1"/>
  <c r="AF595" i="1" s="1"/>
  <c r="AP595" i="1" s="1"/>
  <c r="W608" i="1"/>
  <c r="AS608" i="1" s="1"/>
  <c r="AT608" i="1" s="1"/>
  <c r="AU608" i="1" s="1"/>
  <c r="AV608" i="1" s="1"/>
  <c r="AW608" i="1" s="1"/>
  <c r="U209" i="1"/>
  <c r="AA209" i="1" s="1"/>
  <c r="AK209" i="1" s="1"/>
  <c r="W266" i="1"/>
  <c r="AS266" i="1" s="1"/>
  <c r="U362" i="1"/>
  <c r="W515" i="1"/>
  <c r="T471" i="1"/>
  <c r="V654" i="1"/>
  <c r="W633" i="1"/>
  <c r="AG633" i="1" s="1"/>
  <c r="AQ633" i="1" s="1"/>
  <c r="R577" i="1"/>
  <c r="AB577" i="1" s="1"/>
  <c r="AL577" i="1" s="1"/>
  <c r="S594" i="1"/>
  <c r="AC594" i="1" s="1"/>
  <c r="AM594" i="1" s="1"/>
  <c r="O664" i="1"/>
  <c r="Y664" i="1" s="1"/>
  <c r="AI664" i="1" s="1"/>
  <c r="T142" i="1"/>
  <c r="T404" i="1"/>
  <c r="O243" i="1"/>
  <c r="Y243" i="1" s="1"/>
  <c r="AI243" i="1" s="1"/>
  <c r="O386" i="1"/>
  <c r="Y386" i="1" s="1"/>
  <c r="AI386" i="1" s="1"/>
  <c r="O343" i="1"/>
  <c r="Y343" i="1" s="1"/>
  <c r="AI343" i="1" s="1"/>
  <c r="S591" i="1"/>
  <c r="AC591" i="1" s="1"/>
  <c r="AM591" i="1" s="1"/>
  <c r="T575" i="1"/>
  <c r="AD575" i="1" s="1"/>
  <c r="AN575" i="1" s="1"/>
  <c r="W550" i="1"/>
  <c r="AS550" i="1" s="1"/>
  <c r="AT550" i="1" s="1"/>
  <c r="R505" i="1"/>
  <c r="AB505" i="1" s="1"/>
  <c r="AL505" i="1" s="1"/>
  <c r="U440" i="1"/>
  <c r="AE440" i="1" s="1"/>
  <c r="AO440" i="1" s="1"/>
  <c r="Q571" i="1"/>
  <c r="P423" i="1"/>
  <c r="Z423" i="1" s="1"/>
  <c r="AJ423" i="1" s="1"/>
  <c r="U485" i="1"/>
  <c r="O648" i="1"/>
  <c r="Y648" i="1" s="1"/>
  <c r="AI648" i="1" s="1"/>
  <c r="U454" i="1"/>
  <c r="AE454" i="1" s="1"/>
  <c r="AO454" i="1" s="1"/>
  <c r="O556" i="1"/>
  <c r="Y556" i="1" s="1"/>
  <c r="AI556" i="1" s="1"/>
  <c r="O650" i="1"/>
  <c r="Y650" i="1" s="1"/>
  <c r="AI650" i="1" s="1"/>
  <c r="T544" i="1"/>
  <c r="AS544" i="1" s="1"/>
  <c r="AT544" i="1" s="1"/>
  <c r="AU544" i="1" s="1"/>
  <c r="R665" i="1"/>
  <c r="O574" i="1"/>
  <c r="Y574" i="1" s="1"/>
  <c r="AI574" i="1" s="1"/>
  <c r="W423" i="1"/>
  <c r="R620" i="1"/>
  <c r="V546" i="1"/>
  <c r="U397" i="1"/>
  <c r="AA397" i="1" s="1"/>
  <c r="AK397" i="1" s="1"/>
  <c r="W543" i="1"/>
  <c r="AG543" i="1" s="1"/>
  <c r="AQ543" i="1" s="1"/>
  <c r="S415" i="1"/>
  <c r="AC415" i="1" s="1"/>
  <c r="AM415" i="1" s="1"/>
  <c r="V415" i="1"/>
  <c r="U421" i="1"/>
  <c r="AE421" i="1" s="1"/>
  <c r="AO421" i="1" s="1"/>
  <c r="V390" i="1"/>
  <c r="W293" i="1"/>
  <c r="T518" i="1"/>
  <c r="AS518" i="1" s="1"/>
  <c r="W472" i="1"/>
  <c r="AG472" i="1" s="1"/>
  <c r="AQ472" i="1" s="1"/>
  <c r="O608" i="1"/>
  <c r="Y608" i="1" s="1"/>
  <c r="AI608" i="1" s="1"/>
  <c r="V619" i="1"/>
  <c r="W655" i="1"/>
  <c r="V527" i="1"/>
  <c r="U653" i="1"/>
  <c r="U543" i="1"/>
  <c r="AE543" i="1" s="1"/>
  <c r="AO543" i="1" s="1"/>
  <c r="T637" i="1"/>
  <c r="R546" i="1"/>
  <c r="O388" i="1"/>
  <c r="Y388" i="1" s="1"/>
  <c r="AI388" i="1" s="1"/>
  <c r="W517" i="1"/>
  <c r="AS517" i="1" s="1"/>
  <c r="AT517" i="1" s="1"/>
  <c r="T482" i="1"/>
  <c r="W414" i="1"/>
  <c r="AG414" i="1" s="1"/>
  <c r="AQ414" i="1" s="1"/>
  <c r="W237" i="1"/>
  <c r="AG237" i="1" s="1"/>
  <c r="AQ237" i="1" s="1"/>
  <c r="W344" i="1"/>
  <c r="U67" i="1"/>
  <c r="AG67" i="1" s="1"/>
  <c r="AQ67" i="1" s="1"/>
  <c r="T646" i="1"/>
  <c r="R637" i="1"/>
  <c r="Q515" i="1"/>
  <c r="Q643" i="1"/>
  <c r="W504" i="1"/>
  <c r="T658" i="1"/>
  <c r="V607" i="1"/>
  <c r="R517" i="1"/>
  <c r="T253" i="1"/>
  <c r="S560" i="1"/>
  <c r="AC560" i="1" s="1"/>
  <c r="AM560" i="1" s="1"/>
  <c r="T657" i="1"/>
  <c r="V526" i="1"/>
  <c r="U602" i="1"/>
  <c r="AG602" i="1" s="1"/>
  <c r="AQ602" i="1" s="1"/>
  <c r="W470" i="1"/>
  <c r="AG470" i="1" s="1"/>
  <c r="AQ470" i="1" s="1"/>
  <c r="R419" i="1"/>
  <c r="U339" i="1"/>
  <c r="AF339" i="1" s="1"/>
  <c r="AP339" i="1" s="1"/>
  <c r="U236" i="1"/>
  <c r="AG236" i="1" s="1"/>
  <c r="AQ236" i="1" s="1"/>
  <c r="R511" i="1"/>
  <c r="O588" i="1"/>
  <c r="Y588" i="1" s="1"/>
  <c r="AI588" i="1" s="1"/>
  <c r="R573" i="1"/>
  <c r="T636" i="1"/>
  <c r="AD636" i="1" s="1"/>
  <c r="AN636" i="1" s="1"/>
  <c r="S318" i="1"/>
  <c r="AC318" i="1" s="1"/>
  <c r="AM318" i="1" s="1"/>
  <c r="T501" i="1"/>
  <c r="Q524" i="1"/>
  <c r="T422" i="1"/>
  <c r="T232" i="1"/>
  <c r="AS232" i="1" s="1"/>
  <c r="AT232" i="1" s="1"/>
  <c r="R651" i="1"/>
  <c r="S338" i="1"/>
  <c r="AC338" i="1" s="1"/>
  <c r="AM338" i="1" s="1"/>
  <c r="V627" i="1"/>
  <c r="W395" i="1"/>
  <c r="AG395" i="1" s="1"/>
  <c r="AQ395" i="1" s="1"/>
  <c r="W528" i="1"/>
  <c r="AS528" i="1" s="1"/>
  <c r="AT528" i="1" s="1"/>
  <c r="AU528" i="1" s="1"/>
  <c r="R639" i="1"/>
  <c r="P530" i="1"/>
  <c r="Z530" i="1" s="1"/>
  <c r="AJ530" i="1" s="1"/>
  <c r="V343" i="1"/>
  <c r="S600" i="1"/>
  <c r="AC600" i="1" s="1"/>
  <c r="AM600" i="1" s="1"/>
  <c r="S476" i="1"/>
  <c r="AC476" i="1" s="1"/>
  <c r="AM476" i="1" s="1"/>
  <c r="R634" i="1"/>
  <c r="AB634" i="1" s="1"/>
  <c r="AL634" i="1" s="1"/>
  <c r="P545" i="1"/>
  <c r="Z545" i="1" s="1"/>
  <c r="AJ545" i="1" s="1"/>
  <c r="R393" i="1"/>
  <c r="U556" i="1"/>
  <c r="T457" i="1"/>
  <c r="T458" i="1"/>
  <c r="AS458" i="1" s="1"/>
  <c r="U437" i="1"/>
  <c r="P339" i="1"/>
  <c r="Z339" i="1" s="1"/>
  <c r="AJ339" i="1" s="1"/>
  <c r="U288" i="1"/>
  <c r="AA288" i="1" s="1"/>
  <c r="AK288" i="1" s="1"/>
  <c r="V537" i="1"/>
  <c r="T372" i="1"/>
  <c r="S623" i="1"/>
  <c r="AC623" i="1" s="1"/>
  <c r="AM623" i="1" s="1"/>
  <c r="S340" i="1"/>
  <c r="AC340" i="1" s="1"/>
  <c r="AM340" i="1" s="1"/>
  <c r="O508" i="1"/>
  <c r="Y508" i="1" s="1"/>
  <c r="AI508" i="1" s="1"/>
  <c r="V629" i="1"/>
  <c r="P514" i="1"/>
  <c r="Z514" i="1" s="1"/>
  <c r="AJ514" i="1" s="1"/>
  <c r="Q279" i="1"/>
  <c r="AA279" i="1" s="1"/>
  <c r="AK279" i="1" s="1"/>
  <c r="Q593" i="1"/>
  <c r="O469" i="1"/>
  <c r="Y469" i="1" s="1"/>
  <c r="AI469" i="1" s="1"/>
  <c r="R628" i="1"/>
  <c r="V540" i="1"/>
  <c r="AF540" i="1" s="1"/>
  <c r="AP540" i="1" s="1"/>
  <c r="V399" i="1"/>
  <c r="O553" i="1"/>
  <c r="Y553" i="1" s="1"/>
  <c r="AI553" i="1" s="1"/>
  <c r="U446" i="1"/>
  <c r="AE446" i="1" s="1"/>
  <c r="AO446" i="1" s="1"/>
  <c r="V445" i="1"/>
  <c r="S424" i="1"/>
  <c r="AC424" i="1" s="1"/>
  <c r="AM424" i="1" s="1"/>
  <c r="R326" i="1"/>
  <c r="S269" i="1"/>
  <c r="AC269" i="1" s="1"/>
  <c r="AM269" i="1" s="1"/>
  <c r="T529" i="1"/>
  <c r="R412" i="1"/>
  <c r="Q566" i="1"/>
  <c r="O405" i="1"/>
  <c r="Y405" i="1" s="1"/>
  <c r="AI405" i="1" s="1"/>
  <c r="W272" i="1"/>
  <c r="S329" i="1"/>
  <c r="AC329" i="1" s="1"/>
  <c r="AM329" i="1" s="1"/>
  <c r="W108" i="1"/>
  <c r="V634" i="1"/>
  <c r="V506" i="1"/>
  <c r="U604" i="1"/>
  <c r="U502" i="1"/>
  <c r="AE502" i="1" s="1"/>
  <c r="AO502" i="1" s="1"/>
  <c r="O125" i="1"/>
  <c r="Y125" i="1" s="1"/>
  <c r="AI125" i="1" s="1"/>
  <c r="U353" i="1"/>
  <c r="AF353" i="1" s="1"/>
  <c r="AP353" i="1" s="1"/>
  <c r="O363" i="1"/>
  <c r="Y363" i="1" s="1"/>
  <c r="AI363" i="1" s="1"/>
  <c r="T244" i="1"/>
  <c r="V421" i="1"/>
  <c r="Q313" i="1"/>
  <c r="O251" i="1"/>
  <c r="Y251" i="1" s="1"/>
  <c r="AI251" i="1" s="1"/>
  <c r="W317" i="1"/>
  <c r="W273" i="1"/>
  <c r="T130" i="1"/>
  <c r="AD130" i="1" s="1"/>
  <c r="AN130" i="1" s="1"/>
  <c r="P176" i="1"/>
  <c r="Z176" i="1" s="1"/>
  <c r="AJ176" i="1" s="1"/>
  <c r="AL176" i="1" s="1"/>
  <c r="W258" i="1"/>
  <c r="AS258" i="1" s="1"/>
  <c r="AT258" i="1" s="1"/>
  <c r="T132" i="1"/>
  <c r="AE124" i="1"/>
  <c r="AO124" i="1" s="1"/>
  <c r="AG156" i="1"/>
  <c r="AQ156" i="1" s="1"/>
  <c r="AE91" i="1"/>
  <c r="AO91" i="1" s="1"/>
  <c r="AE213" i="1"/>
  <c r="AO213" i="1" s="1"/>
  <c r="AE113" i="1"/>
  <c r="AO113" i="1" s="1"/>
  <c r="AB232" i="1"/>
  <c r="AG162" i="1"/>
  <c r="AQ162" i="1" s="1"/>
  <c r="AA268" i="1"/>
  <c r="AK268" i="1" s="1"/>
  <c r="AF279" i="1"/>
  <c r="AP279" i="1" s="1"/>
  <c r="AS122" i="1"/>
  <c r="AX122" i="1" s="1"/>
  <c r="AS113" i="1"/>
  <c r="AS151" i="1"/>
  <c r="AT151" i="1" s="1"/>
  <c r="AU151" i="1" s="1"/>
  <c r="AV151" i="1" s="1"/>
  <c r="AW151" i="1" s="1"/>
  <c r="AS163" i="1"/>
  <c r="AB93" i="1"/>
  <c r="AL93" i="1" s="1"/>
  <c r="AD102" i="1"/>
  <c r="AN102" i="1" s="1"/>
  <c r="AG124" i="1"/>
  <c r="AQ124" i="1" s="1"/>
  <c r="AS91" i="1"/>
  <c r="AT91" i="1" s="1"/>
  <c r="AB107" i="1"/>
  <c r="AL107" i="1" s="1"/>
  <c r="AG374" i="1"/>
  <c r="AQ374" i="1" s="1"/>
  <c r="AE75" i="1"/>
  <c r="AO75" i="1" s="1"/>
  <c r="AS193" i="1"/>
  <c r="AT193" i="1" s="1"/>
  <c r="AU193" i="1" s="1"/>
  <c r="AS293" i="1"/>
  <c r="AT293" i="1" s="1"/>
  <c r="AU293" i="1" s="1"/>
  <c r="AV293" i="1" s="1"/>
  <c r="AW293" i="1" s="1"/>
  <c r="AS135" i="1"/>
  <c r="AX135" i="1" s="1"/>
  <c r="AL636" i="1"/>
  <c r="AA81" i="1"/>
  <c r="AA107" i="1"/>
  <c r="AK107" i="1" s="1"/>
  <c r="AB361" i="1"/>
  <c r="AD338" i="1"/>
  <c r="AN338" i="1" s="1"/>
  <c r="AB282" i="1"/>
  <c r="AF268" i="1"/>
  <c r="AP268" i="1" s="1"/>
  <c r="AD217" i="1"/>
  <c r="AN217" i="1" s="1"/>
  <c r="AB223" i="1"/>
  <c r="AL223" i="1" s="1"/>
  <c r="AF107" i="1"/>
  <c r="AP107" i="1" s="1"/>
  <c r="AA125" i="1"/>
  <c r="AK125" i="1" s="1"/>
  <c r="AE361" i="1"/>
  <c r="AO361" i="1" s="1"/>
  <c r="AF434" i="1"/>
  <c r="AP434" i="1" s="1"/>
  <c r="AA380" i="1"/>
  <c r="AK380" i="1" s="1"/>
  <c r="AB416" i="1"/>
  <c r="AE137" i="1"/>
  <c r="AO137" i="1" s="1"/>
  <c r="AB297" i="1"/>
  <c r="AL297" i="1" s="1"/>
  <c r="AB190" i="1"/>
  <c r="AF91" i="1"/>
  <c r="AP91" i="1" s="1"/>
  <c r="AE298" i="1"/>
  <c r="AO298" i="1" s="1"/>
  <c r="AE342" i="1"/>
  <c r="AO342" i="1" s="1"/>
  <c r="AF126" i="1"/>
  <c r="AP126" i="1" s="1"/>
  <c r="AE254" i="1"/>
  <c r="AO254" i="1" s="1"/>
  <c r="AE217" i="1"/>
  <c r="AO217" i="1" s="1"/>
  <c r="AG650" i="1"/>
  <c r="AQ650" i="1" s="1"/>
  <c r="AF556" i="1"/>
  <c r="AP556" i="1" s="1"/>
  <c r="AE263" i="1"/>
  <c r="AO263" i="1" s="1"/>
  <c r="AG449" i="1"/>
  <c r="AQ449" i="1" s="1"/>
  <c r="AA450" i="1"/>
  <c r="AA431" i="1"/>
  <c r="AB658" i="1"/>
  <c r="AS250" i="1"/>
  <c r="AB489" i="1"/>
  <c r="AL489" i="1" s="1"/>
  <c r="AB185" i="1"/>
  <c r="AL185" i="1" s="1"/>
  <c r="AD251" i="1"/>
  <c r="AN251" i="1" s="1"/>
  <c r="AS403" i="1"/>
  <c r="AT403" i="1" s="1"/>
  <c r="AF319" i="1"/>
  <c r="AP319" i="1" s="1"/>
  <c r="AG170" i="1"/>
  <c r="AQ170" i="1" s="1"/>
  <c r="AA146" i="1"/>
  <c r="AK146" i="1" s="1"/>
  <c r="AD170" i="1"/>
  <c r="AN170" i="1" s="1"/>
  <c r="AD449" i="1"/>
  <c r="AN449" i="1" s="1"/>
  <c r="AF137" i="1"/>
  <c r="AP137" i="1" s="1"/>
  <c r="AA411" i="1"/>
  <c r="AG279" i="1"/>
  <c r="AQ279" i="1" s="1"/>
  <c r="AF291" i="1"/>
  <c r="AP291" i="1" s="1"/>
  <c r="AG246" i="1"/>
  <c r="AQ246" i="1" s="1"/>
  <c r="AG126" i="1"/>
  <c r="AQ126" i="1" s="1"/>
  <c r="AE591" i="1"/>
  <c r="AO591" i="1" s="1"/>
  <c r="AB434" i="1"/>
  <c r="AL434" i="1" s="1"/>
  <c r="AG557" i="1"/>
  <c r="AQ557" i="1" s="1"/>
  <c r="AE151" i="1"/>
  <c r="AO151" i="1" s="1"/>
  <c r="AF534" i="1"/>
  <c r="AP534" i="1" s="1"/>
  <c r="AG544" i="1"/>
  <c r="AQ544" i="1" s="1"/>
  <c r="AF301" i="1"/>
  <c r="AP301" i="1" s="1"/>
  <c r="AB337" i="1"/>
  <c r="AA377" i="1"/>
  <c r="AF380" i="1"/>
  <c r="AP380" i="1" s="1"/>
  <c r="AS545" i="1"/>
  <c r="AT545" i="1" s="1"/>
  <c r="AU545" i="1" s="1"/>
  <c r="AG327" i="1"/>
  <c r="AQ327" i="1" s="1"/>
  <c r="AF333" i="1"/>
  <c r="AP333" i="1" s="1"/>
  <c r="AA528" i="1"/>
  <c r="AK528" i="1" s="1"/>
  <c r="AA250" i="1"/>
  <c r="AG598" i="1"/>
  <c r="AQ598" i="1" s="1"/>
  <c r="AB327" i="1"/>
  <c r="AL327" i="1" s="1"/>
  <c r="AE67" i="1"/>
  <c r="AO67" i="1" s="1"/>
  <c r="AE389" i="1"/>
  <c r="AO389" i="1" s="1"/>
  <c r="AF499" i="1"/>
  <c r="AP499" i="1" s="1"/>
  <c r="AE372" i="1"/>
  <c r="AO372" i="1" s="1"/>
  <c r="AB151" i="1"/>
  <c r="AE560" i="1"/>
  <c r="AO560" i="1" s="1"/>
  <c r="AA376" i="1"/>
  <c r="AE609" i="1"/>
  <c r="AO609" i="1" s="1"/>
  <c r="AS657" i="1"/>
  <c r="AX657" i="1" s="1"/>
  <c r="AA626" i="1"/>
  <c r="AE303" i="1"/>
  <c r="AO303" i="1" s="1"/>
  <c r="AG328" i="1"/>
  <c r="AQ328" i="1" s="1"/>
  <c r="AA206" i="1"/>
  <c r="AK206" i="1" s="1"/>
  <c r="AB95" i="1"/>
  <c r="AB238" i="1"/>
  <c r="AS202" i="1"/>
  <c r="AF647" i="1"/>
  <c r="AP647" i="1" s="1"/>
  <c r="AA169" i="1"/>
  <c r="AD510" i="1"/>
  <c r="AN510" i="1" s="1"/>
  <c r="AS596" i="1"/>
  <c r="AA663" i="1"/>
  <c r="AK663" i="1" s="1"/>
  <c r="AF555" i="1"/>
  <c r="AP555" i="1" s="1"/>
  <c r="AS628" i="1"/>
  <c r="AT628" i="1" s="1"/>
  <c r="AU628" i="1" s="1"/>
  <c r="AA479" i="1"/>
  <c r="AD461" i="1"/>
  <c r="AN461" i="1" s="1"/>
  <c r="AS572" i="1"/>
  <c r="AT572" i="1" s="1"/>
  <c r="AB626" i="1"/>
  <c r="AS400" i="1"/>
  <c r="AX400" i="1" s="1"/>
  <c r="AS372" i="1"/>
  <c r="AT372" i="1" s="1"/>
  <c r="AB242" i="1"/>
  <c r="AL242" i="1" s="1"/>
  <c r="AB240" i="1"/>
  <c r="AL240" i="1" s="1"/>
  <c r="AG434" i="1"/>
  <c r="AQ434" i="1" s="1"/>
  <c r="AD544" i="1"/>
  <c r="AN544" i="1" s="1"/>
  <c r="AD629" i="1"/>
  <c r="AN629" i="1" s="1"/>
  <c r="AD430" i="1"/>
  <c r="AN430" i="1" s="1"/>
  <c r="AE526" i="1"/>
  <c r="AO526" i="1" s="1"/>
  <c r="AS460" i="1"/>
  <c r="AT460" i="1" s="1"/>
  <c r="AA172" i="1"/>
  <c r="AK172" i="1" s="1"/>
  <c r="AE498" i="1"/>
  <c r="AO498" i="1" s="1"/>
  <c r="AE588" i="1"/>
  <c r="AO588" i="1" s="1"/>
  <c r="AE623" i="1"/>
  <c r="AO623" i="1" s="1"/>
  <c r="AG634" i="1"/>
  <c r="AQ634" i="1" s="1"/>
  <c r="AE634" i="1"/>
  <c r="AO634" i="1" s="1"/>
  <c r="AE530" i="1"/>
  <c r="AO530" i="1" s="1"/>
  <c r="AE486" i="1"/>
  <c r="AO486" i="1" s="1"/>
  <c r="AD440" i="1"/>
  <c r="AN440" i="1" s="1"/>
  <c r="AF577" i="1"/>
  <c r="AP577" i="1" s="1"/>
  <c r="AB437" i="1"/>
  <c r="AD603" i="1"/>
  <c r="AN603" i="1" s="1"/>
  <c r="AB216" i="1"/>
  <c r="AD279" i="1"/>
  <c r="AN279" i="1" s="1"/>
  <c r="AE279" i="1"/>
  <c r="AO279" i="1" s="1"/>
  <c r="AD561" i="1"/>
  <c r="AN561" i="1" s="1"/>
  <c r="AA328" i="1"/>
  <c r="AD308" i="1"/>
  <c r="AN308" i="1" s="1"/>
  <c r="AG498" i="1"/>
  <c r="AQ498" i="1" s="1"/>
  <c r="AS294" i="1"/>
  <c r="AT294" i="1" s="1"/>
  <c r="AU294" i="1" s="1"/>
  <c r="AV294" i="1" s="1"/>
  <c r="AW294" i="1" s="1"/>
  <c r="AT275" i="1"/>
  <c r="AE351" i="1"/>
  <c r="AO351" i="1" s="1"/>
  <c r="AA391" i="1"/>
  <c r="AK391" i="1" s="1"/>
  <c r="AE580" i="1"/>
  <c r="AO580" i="1" s="1"/>
  <c r="AE490" i="1"/>
  <c r="AO490" i="1" s="1"/>
  <c r="AG460" i="1"/>
  <c r="AQ460" i="1" s="1"/>
  <c r="AB121" i="1"/>
  <c r="AE169" i="1"/>
  <c r="AO169" i="1" s="1"/>
  <c r="AD138" i="1"/>
  <c r="AN138" i="1" s="1"/>
  <c r="AG184" i="1"/>
  <c r="AQ184" i="1" s="1"/>
  <c r="AB333" i="1"/>
  <c r="AL333" i="1" s="1"/>
  <c r="AE100" i="1"/>
  <c r="AO100" i="1" s="1"/>
  <c r="AE409" i="1"/>
  <c r="AO409" i="1" s="1"/>
  <c r="AA419" i="1"/>
  <c r="AK419" i="1" s="1"/>
  <c r="AG603" i="1"/>
  <c r="AQ603" i="1" s="1"/>
  <c r="AE243" i="1"/>
  <c r="AO243" i="1" s="1"/>
  <c r="AD499" i="1"/>
  <c r="AN499" i="1" s="1"/>
  <c r="AD349" i="1"/>
  <c r="AN349" i="1" s="1"/>
  <c r="AD641" i="1"/>
  <c r="AN641" i="1" s="1"/>
  <c r="AD402" i="1"/>
  <c r="AN402" i="1" s="1"/>
  <c r="AE360" i="1"/>
  <c r="AO360" i="1" s="1"/>
  <c r="AE171" i="1"/>
  <c r="AO171" i="1" s="1"/>
  <c r="AG595" i="1"/>
  <c r="AQ595" i="1" s="1"/>
  <c r="AA650" i="1"/>
  <c r="AK650" i="1" s="1"/>
  <c r="AE565" i="1"/>
  <c r="AO565" i="1" s="1"/>
  <c r="AE414" i="1"/>
  <c r="AO414" i="1" s="1"/>
  <c r="AA659" i="1"/>
  <c r="AE524" i="1"/>
  <c r="AO524" i="1" s="1"/>
  <c r="AE365" i="1"/>
  <c r="AO365" i="1" s="1"/>
  <c r="AA532" i="1"/>
  <c r="AE532" i="1"/>
  <c r="AO532" i="1" s="1"/>
  <c r="AG171" i="1"/>
  <c r="AQ171" i="1" s="1"/>
  <c r="AF487" i="1"/>
  <c r="AP487" i="1" s="1"/>
  <c r="AF420" i="1"/>
  <c r="AP420" i="1" s="1"/>
  <c r="AB414" i="1"/>
  <c r="AS146" i="1"/>
  <c r="AX146" i="1" s="1"/>
  <c r="AE419" i="1"/>
  <c r="AO419" i="1" s="1"/>
  <c r="AD161" i="1"/>
  <c r="AN161" i="1" s="1"/>
  <c r="AD454" i="1"/>
  <c r="AN454" i="1" s="1"/>
  <c r="AG469" i="1"/>
  <c r="AQ469" i="1" s="1"/>
  <c r="AE411" i="1"/>
  <c r="AO411" i="1" s="1"/>
  <c r="AF123" i="1"/>
  <c r="AP123" i="1" s="1"/>
  <c r="AE567" i="1"/>
  <c r="AO567" i="1" s="1"/>
  <c r="AA507" i="1"/>
  <c r="AK507" i="1" s="1"/>
  <c r="AG609" i="1"/>
  <c r="AQ609" i="1" s="1"/>
  <c r="AS655" i="1"/>
  <c r="AT655" i="1" s="1"/>
  <c r="AU655" i="1" s="1"/>
  <c r="AV655" i="1" s="1"/>
  <c r="AW655" i="1" s="1"/>
  <c r="AS553" i="1"/>
  <c r="AT553" i="1" s="1"/>
  <c r="AU553" i="1" s="1"/>
  <c r="AV553" i="1" s="1"/>
  <c r="AW553" i="1" s="1"/>
  <c r="AG409" i="1"/>
  <c r="AQ409" i="1" s="1"/>
  <c r="AA535" i="1"/>
  <c r="AK535" i="1" s="1"/>
  <c r="AG539" i="1"/>
  <c r="AQ539" i="1" s="1"/>
  <c r="AF349" i="1"/>
  <c r="AP349" i="1" s="1"/>
  <c r="AG247" i="1"/>
  <c r="AQ247" i="1" s="1"/>
  <c r="AB159" i="1"/>
  <c r="AL159" i="1" s="1"/>
  <c r="AG263" i="1"/>
  <c r="AQ263" i="1" s="1"/>
  <c r="AS128" i="1"/>
  <c r="AX128" i="1" s="1"/>
  <c r="AG146" i="1"/>
  <c r="AQ146" i="1" s="1"/>
  <c r="AS330" i="1"/>
  <c r="AD162" i="1"/>
  <c r="AN162" i="1" s="1"/>
  <c r="AB431" i="1"/>
  <c r="AB469" i="1"/>
  <c r="AD480" i="1"/>
  <c r="AN480" i="1" s="1"/>
  <c r="AE386" i="1"/>
  <c r="AO386" i="1" s="1"/>
  <c r="AE344" i="1"/>
  <c r="AO344" i="1" s="1"/>
  <c r="AS284" i="1"/>
  <c r="AT284" i="1" s="1"/>
  <c r="AD118" i="1"/>
  <c r="AN118" i="1" s="1"/>
  <c r="AE118" i="1"/>
  <c r="AO118" i="1" s="1"/>
  <c r="AD145" i="1"/>
  <c r="AN145" i="1" s="1"/>
  <c r="AE142" i="1"/>
  <c r="AO142" i="1" s="1"/>
  <c r="AA142" i="1"/>
  <c r="AK142" i="1" s="1"/>
  <c r="AG214" i="1"/>
  <c r="AQ214" i="1" s="1"/>
  <c r="AB392" i="1"/>
  <c r="AL392" i="1" s="1"/>
  <c r="AG549" i="1"/>
  <c r="AQ549" i="1" s="1"/>
  <c r="AE509" i="1"/>
  <c r="AO509" i="1" s="1"/>
  <c r="AE392" i="1"/>
  <c r="AO392" i="1" s="1"/>
  <c r="AA429" i="1"/>
  <c r="AE388" i="1"/>
  <c r="AO388" i="1" s="1"/>
  <c r="AE104" i="1"/>
  <c r="AO104" i="1" s="1"/>
  <c r="AB72" i="1"/>
  <c r="AD519" i="1"/>
  <c r="AN519" i="1" s="1"/>
  <c r="AD268" i="1"/>
  <c r="AN268" i="1" s="1"/>
  <c r="AF554" i="1"/>
  <c r="AP554" i="1" s="1"/>
  <c r="AA339" i="1"/>
  <c r="AK339" i="1" s="1"/>
  <c r="AA595" i="1"/>
  <c r="AE595" i="1"/>
  <c r="AO595" i="1" s="1"/>
  <c r="AD595" i="1"/>
  <c r="AN595" i="1" s="1"/>
  <c r="AG388" i="1"/>
  <c r="AQ388" i="1" s="1"/>
  <c r="AD72" i="1"/>
  <c r="AN72" i="1" s="1"/>
  <c r="AB209" i="1"/>
  <c r="AL209" i="1" s="1"/>
  <c r="AD386" i="1"/>
  <c r="AN386" i="1" s="1"/>
  <c r="AE199" i="1"/>
  <c r="AO199" i="1" s="1"/>
  <c r="AG627" i="1"/>
  <c r="AQ627" i="1" s="1"/>
  <c r="AE166" i="1"/>
  <c r="AO166" i="1" s="1"/>
  <c r="AD166" i="1"/>
  <c r="AN166" i="1" s="1"/>
  <c r="AG532" i="1"/>
  <c r="AQ532" i="1" s="1"/>
  <c r="AS505" i="1"/>
  <c r="AT505" i="1" s="1"/>
  <c r="AD391" i="1"/>
  <c r="AN391" i="1" s="1"/>
  <c r="AS500" i="1"/>
  <c r="AA621" i="1"/>
  <c r="AK621" i="1" s="1"/>
  <c r="AS316" i="1"/>
  <c r="AX316" i="1" s="1"/>
  <c r="AB123" i="1"/>
  <c r="AL123" i="1" s="1"/>
  <c r="AS449" i="1"/>
  <c r="AS479" i="1"/>
  <c r="AD340" i="1"/>
  <c r="AN340" i="1" s="1"/>
  <c r="AE405" i="1"/>
  <c r="AO405" i="1" s="1"/>
  <c r="AS592" i="1"/>
  <c r="AD581" i="1"/>
  <c r="AN581" i="1" s="1"/>
  <c r="AS471" i="1"/>
  <c r="AT471" i="1" s="1"/>
  <c r="AU471" i="1" s="1"/>
  <c r="AV471" i="1" s="1"/>
  <c r="AW471" i="1" s="1"/>
  <c r="AE633" i="1"/>
  <c r="AO633" i="1" s="1"/>
  <c r="AA203" i="1"/>
  <c r="AE581" i="1"/>
  <c r="AO581" i="1" s="1"/>
  <c r="AE537" i="1"/>
  <c r="AO537" i="1" s="1"/>
  <c r="AE184" i="1"/>
  <c r="AO184" i="1" s="1"/>
  <c r="AF342" i="1"/>
  <c r="AP342" i="1" s="1"/>
  <c r="AG400" i="1"/>
  <c r="AQ400" i="1" s="1"/>
  <c r="AA383" i="1"/>
  <c r="AF89" i="1"/>
  <c r="AP89" i="1" s="1"/>
  <c r="AA171" i="1"/>
  <c r="AK171" i="1" s="1"/>
  <c r="AE380" i="1"/>
  <c r="AO380" i="1" s="1"/>
  <c r="AB222" i="1"/>
  <c r="AF583" i="1"/>
  <c r="AP583" i="1" s="1"/>
  <c r="AE547" i="1"/>
  <c r="AO547" i="1" s="1"/>
  <c r="AE470" i="1"/>
  <c r="AO470" i="1" s="1"/>
  <c r="AE327" i="1"/>
  <c r="AO327" i="1" s="1"/>
  <c r="AE307" i="1"/>
  <c r="AO307" i="1" s="1"/>
  <c r="AE308" i="1"/>
  <c r="AO308" i="1" s="1"/>
  <c r="AG151" i="1"/>
  <c r="AQ151" i="1" s="1"/>
  <c r="AX570" i="1"/>
  <c r="AA351" i="1"/>
  <c r="AG420" i="1"/>
  <c r="AQ420" i="1" s="1"/>
  <c r="AB583" i="1"/>
  <c r="AD372" i="1"/>
  <c r="AN372" i="1" s="1"/>
  <c r="AB582" i="1"/>
  <c r="AL582" i="1" s="1"/>
  <c r="AA338" i="1"/>
  <c r="AK338" i="1" s="1"/>
  <c r="AG510" i="1"/>
  <c r="AQ510" i="1" s="1"/>
  <c r="AA540" i="1"/>
  <c r="AK540" i="1" s="1"/>
  <c r="AS478" i="1"/>
  <c r="AG528" i="1"/>
  <c r="AQ528" i="1" s="1"/>
  <c r="AB183" i="1"/>
  <c r="AL183" i="1" s="1"/>
  <c r="AA505" i="1"/>
  <c r="AK505" i="1" s="1"/>
  <c r="AF505" i="1"/>
  <c r="AP505" i="1" s="1"/>
  <c r="AA408" i="1"/>
  <c r="AE408" i="1"/>
  <c r="AO408" i="1" s="1"/>
  <c r="AD652" i="1"/>
  <c r="AN652" i="1" s="1"/>
  <c r="AA413" i="1"/>
  <c r="AE542" i="1"/>
  <c r="AO542" i="1" s="1"/>
  <c r="AF474" i="1"/>
  <c r="AP474" i="1" s="1"/>
  <c r="AB474" i="1"/>
  <c r="AL474" i="1" s="1"/>
  <c r="AG89" i="1"/>
  <c r="AQ89" i="1" s="1"/>
  <c r="BB89" i="1" s="1"/>
  <c r="BC89" i="1" s="1"/>
  <c r="AG330" i="1"/>
  <c r="AQ330" i="1" s="1"/>
  <c r="AE330" i="1"/>
  <c r="AO330" i="1" s="1"/>
  <c r="AA75" i="1"/>
  <c r="AB666" i="1"/>
  <c r="AE666" i="1"/>
  <c r="AO666" i="1" s="1"/>
  <c r="AD666" i="1"/>
  <c r="AN666" i="1" s="1"/>
  <c r="AE589" i="1"/>
  <c r="AO589" i="1" s="1"/>
  <c r="AG589" i="1"/>
  <c r="AQ589" i="1" s="1"/>
  <c r="AA589" i="1"/>
  <c r="AK589" i="1" s="1"/>
  <c r="AE477" i="1"/>
  <c r="AO477" i="1" s="1"/>
  <c r="AB477" i="1"/>
  <c r="AL477" i="1" s="1"/>
  <c r="AE368" i="1"/>
  <c r="AO368" i="1" s="1"/>
  <c r="AG368" i="1"/>
  <c r="AQ368" i="1" s="1"/>
  <c r="AG561" i="1"/>
  <c r="AQ561" i="1" s="1"/>
  <c r="AE483" i="1"/>
  <c r="AO483" i="1" s="1"/>
  <c r="AS339" i="1"/>
  <c r="AD324" i="1"/>
  <c r="AN324" i="1" s="1"/>
  <c r="AA233" i="1"/>
  <c r="AK233" i="1" s="1"/>
  <c r="AA184" i="1"/>
  <c r="AF120" i="1"/>
  <c r="AP120" i="1" s="1"/>
  <c r="AA120" i="1"/>
  <c r="AD77" i="1"/>
  <c r="AN77" i="1" s="1"/>
  <c r="AD360" i="1"/>
  <c r="AN360" i="1" s="1"/>
  <c r="AF634" i="1"/>
  <c r="AP634" i="1" s="1"/>
  <c r="AE577" i="1"/>
  <c r="AO577" i="1" s="1"/>
  <c r="AE554" i="1"/>
  <c r="AO554" i="1" s="1"/>
  <c r="AG622" i="1"/>
  <c r="AQ622" i="1" s="1"/>
  <c r="AB565" i="1"/>
  <c r="AX323" i="1"/>
  <c r="AG355" i="1"/>
  <c r="AQ355" i="1" s="1"/>
  <c r="AG203" i="1"/>
  <c r="AQ203" i="1" s="1"/>
  <c r="AG359" i="1"/>
  <c r="AQ359" i="1" s="1"/>
  <c r="AE413" i="1"/>
  <c r="AO413" i="1" s="1"/>
  <c r="AE646" i="1"/>
  <c r="AO646" i="1" s="1"/>
  <c r="AE611" i="1"/>
  <c r="AO611" i="1" s="1"/>
  <c r="AS640" i="1"/>
  <c r="AE621" i="1"/>
  <c r="AO621" i="1" s="1"/>
  <c r="AE575" i="1"/>
  <c r="AO575" i="1" s="1"/>
  <c r="AS516" i="1"/>
  <c r="AE209" i="1"/>
  <c r="AO209" i="1" s="1"/>
  <c r="AE460" i="1"/>
  <c r="AO460" i="1" s="1"/>
  <c r="AF328" i="1"/>
  <c r="AP328" i="1" s="1"/>
  <c r="AB615" i="1"/>
  <c r="AL615" i="1" s="1"/>
  <c r="AA157" i="1"/>
  <c r="AK157" i="1" s="1"/>
  <c r="AS573" i="1"/>
  <c r="AF532" i="1"/>
  <c r="AP532" i="1" s="1"/>
  <c r="AB476" i="1"/>
  <c r="AL476" i="1" s="1"/>
  <c r="AB419" i="1"/>
  <c r="AL419" i="1" s="1"/>
  <c r="AS607" i="1"/>
  <c r="AF558" i="1"/>
  <c r="AP558" i="1" s="1"/>
  <c r="AB265" i="1"/>
  <c r="AD524" i="1"/>
  <c r="AN524" i="1" s="1"/>
  <c r="AB351" i="1"/>
  <c r="AD583" i="1"/>
  <c r="AN583" i="1" s="1"/>
  <c r="AF542" i="1"/>
  <c r="AP542" i="1" s="1"/>
  <c r="AB409" i="1"/>
  <c r="AG365" i="1"/>
  <c r="AQ365" i="1" s="1"/>
  <c r="AE628" i="1"/>
  <c r="AO628" i="1" s="1"/>
  <c r="AA480" i="1"/>
  <c r="AK480" i="1" s="1"/>
  <c r="AB506" i="1"/>
  <c r="AB549" i="1"/>
  <c r="AL549" i="1" s="1"/>
  <c r="AD611" i="1"/>
  <c r="AN611" i="1" s="1"/>
  <c r="AG226" i="1" l="1"/>
  <c r="AQ226" i="1" s="1"/>
  <c r="AA284" i="1"/>
  <c r="AK284" i="1" s="1"/>
  <c r="AD149" i="1"/>
  <c r="AN149" i="1" s="1"/>
  <c r="AE315" i="1"/>
  <c r="AO315" i="1" s="1"/>
  <c r="AF638" i="1"/>
  <c r="AP638" i="1" s="1"/>
  <c r="AS320" i="1"/>
  <c r="AT320" i="1" s="1"/>
  <c r="AU320" i="1" s="1"/>
  <c r="AV320" i="1" s="1"/>
  <c r="AW320" i="1" s="1"/>
  <c r="AB310" i="1"/>
  <c r="AL310" i="1" s="1"/>
  <c r="AD237" i="1"/>
  <c r="AN237" i="1" s="1"/>
  <c r="BB237" i="1" s="1"/>
  <c r="BC237" i="1" s="1"/>
  <c r="AA191" i="1"/>
  <c r="AA373" i="1"/>
  <c r="AF129" i="1"/>
  <c r="AP129" i="1" s="1"/>
  <c r="AG585" i="1"/>
  <c r="AQ585" i="1" s="1"/>
  <c r="AU517" i="1"/>
  <c r="AB258" i="1"/>
  <c r="AL258" i="1" s="1"/>
  <c r="AS99" i="1"/>
  <c r="AT99" i="1" s="1"/>
  <c r="AU99" i="1" s="1"/>
  <c r="AV99" i="1" s="1"/>
  <c r="AW99" i="1" s="1"/>
  <c r="AF299" i="1"/>
  <c r="AP299" i="1" s="1"/>
  <c r="AE299" i="1"/>
  <c r="AO299" i="1" s="1"/>
  <c r="AB299" i="1"/>
  <c r="AL299" i="1" s="1"/>
  <c r="AG299" i="1"/>
  <c r="AQ299" i="1" s="1"/>
  <c r="AB463" i="1"/>
  <c r="AL463" i="1" s="1"/>
  <c r="AD463" i="1"/>
  <c r="AN463" i="1" s="1"/>
  <c r="AD242" i="1"/>
  <c r="AN242" i="1" s="1"/>
  <c r="AS242" i="1"/>
  <c r="AT242" i="1" s="1"/>
  <c r="AU242" i="1" s="1"/>
  <c r="AV242" i="1" s="1"/>
  <c r="AW242" i="1" s="1"/>
  <c r="AF370" i="1"/>
  <c r="AP370" i="1" s="1"/>
  <c r="AF131" i="1"/>
  <c r="AP131" i="1" s="1"/>
  <c r="AE546" i="1"/>
  <c r="AO546" i="1" s="1"/>
  <c r="AF546" i="1"/>
  <c r="AP546" i="1" s="1"/>
  <c r="AF285" i="1"/>
  <c r="AP285" i="1" s="1"/>
  <c r="AD285" i="1"/>
  <c r="AN285" i="1" s="1"/>
  <c r="BB285" i="1" s="1"/>
  <c r="BC285" i="1" s="1"/>
  <c r="AD559" i="1"/>
  <c r="AN559" i="1" s="1"/>
  <c r="AG645" i="1"/>
  <c r="AQ645" i="1" s="1"/>
  <c r="AD281" i="1"/>
  <c r="AN281" i="1" s="1"/>
  <c r="BB281" i="1" s="1"/>
  <c r="BC281" i="1" s="1"/>
  <c r="AS286" i="1"/>
  <c r="AT286" i="1" s="1"/>
  <c r="AU286" i="1" s="1"/>
  <c r="AV286" i="1" s="1"/>
  <c r="AW286" i="1" s="1"/>
  <c r="AF320" i="1"/>
  <c r="AP320" i="1" s="1"/>
  <c r="AE283" i="1"/>
  <c r="AO283" i="1" s="1"/>
  <c r="AA283" i="1"/>
  <c r="AK283" i="1" s="1"/>
  <c r="AS447" i="1"/>
  <c r="AX447" i="1" s="1"/>
  <c r="AG180" i="1"/>
  <c r="AQ180" i="1" s="1"/>
  <c r="AL506" i="1"/>
  <c r="AD467" i="1"/>
  <c r="AN467" i="1" s="1"/>
  <c r="AS644" i="1"/>
  <c r="AT644" i="1" s="1"/>
  <c r="AB147" i="1"/>
  <c r="AB379" i="1"/>
  <c r="AL379" i="1" s="1"/>
  <c r="AG398" i="1"/>
  <c r="AQ398" i="1" s="1"/>
  <c r="AD129" i="1"/>
  <c r="AN129" i="1" s="1"/>
  <c r="AG302" i="1"/>
  <c r="AQ302" i="1" s="1"/>
  <c r="BB302" i="1" s="1"/>
  <c r="BC302" i="1" s="1"/>
  <c r="AD74" i="1"/>
  <c r="AN74" i="1" s="1"/>
  <c r="AD185" i="1"/>
  <c r="AN185" i="1" s="1"/>
  <c r="BB185" i="1" s="1"/>
  <c r="BC185" i="1" s="1"/>
  <c r="BD185" i="1" s="1"/>
  <c r="AE320" i="1"/>
  <c r="AO320" i="1" s="1"/>
  <c r="AF594" i="1"/>
  <c r="AP594" i="1" s="1"/>
  <c r="AD379" i="1"/>
  <c r="AN379" i="1" s="1"/>
  <c r="BB379" i="1" s="1"/>
  <c r="BC379" i="1" s="1"/>
  <c r="BD379" i="1" s="1"/>
  <c r="AE437" i="1"/>
  <c r="AO437" i="1" s="1"/>
  <c r="AF437" i="1"/>
  <c r="AP437" i="1" s="1"/>
  <c r="AE453" i="1"/>
  <c r="AO453" i="1" s="1"/>
  <c r="AD453" i="1"/>
  <c r="AN453" i="1" s="1"/>
  <c r="AE273" i="1"/>
  <c r="AO273" i="1" s="1"/>
  <c r="AG273" i="1"/>
  <c r="AQ273" i="1" s="1"/>
  <c r="AS527" i="1"/>
  <c r="AF522" i="1"/>
  <c r="AP522" i="1" s="1"/>
  <c r="AG522" i="1"/>
  <c r="AQ522" i="1" s="1"/>
  <c r="AB377" i="1"/>
  <c r="AL377" i="1" s="1"/>
  <c r="AF377" i="1"/>
  <c r="AP377" i="1" s="1"/>
  <c r="AE566" i="1"/>
  <c r="AO566" i="1" s="1"/>
  <c r="AB566" i="1"/>
  <c r="AL566" i="1" s="1"/>
  <c r="AE242" i="1"/>
  <c r="AO242" i="1" s="1"/>
  <c r="AF242" i="1"/>
  <c r="AP242" i="1" s="1"/>
  <c r="AE268" i="1"/>
  <c r="AO268" i="1" s="1"/>
  <c r="AG268" i="1"/>
  <c r="AQ268" i="1" s="1"/>
  <c r="BB268" i="1" s="1"/>
  <c r="BC268" i="1" s="1"/>
  <c r="AE576" i="1"/>
  <c r="AO576" i="1" s="1"/>
  <c r="AG576" i="1"/>
  <c r="AQ576" i="1" s="1"/>
  <c r="AE350" i="1"/>
  <c r="AO350" i="1" s="1"/>
  <c r="AD350" i="1"/>
  <c r="AN350" i="1" s="1"/>
  <c r="AL358" i="1"/>
  <c r="AB555" i="1"/>
  <c r="AL555" i="1" s="1"/>
  <c r="AS451" i="1"/>
  <c r="AK416" i="1"/>
  <c r="AG338" i="1"/>
  <c r="AQ338" i="1" s="1"/>
  <c r="BB338" i="1" s="1"/>
  <c r="BC338" i="1" s="1"/>
  <c r="AA453" i="1"/>
  <c r="AK453" i="1" s="1"/>
  <c r="AE643" i="1"/>
  <c r="AO643" i="1" s="1"/>
  <c r="AB84" i="1"/>
  <c r="AL84" i="1" s="1"/>
  <c r="AD535" i="1"/>
  <c r="AN535" i="1" s="1"/>
  <c r="AE528" i="1"/>
  <c r="AO528" i="1" s="1"/>
  <c r="AA524" i="1"/>
  <c r="AK524" i="1" s="1"/>
  <c r="AB349" i="1"/>
  <c r="AL349" i="1" s="1"/>
  <c r="AF360" i="1"/>
  <c r="AP360" i="1" s="1"/>
  <c r="AA610" i="1"/>
  <c r="AK610" i="1" s="1"/>
  <c r="AB528" i="1"/>
  <c r="AL528" i="1" s="1"/>
  <c r="AS531" i="1"/>
  <c r="AX531" i="1" s="1"/>
  <c r="AA460" i="1"/>
  <c r="AK460" i="1" s="1"/>
  <c r="AF581" i="1"/>
  <c r="AP581" i="1" s="1"/>
  <c r="AU506" i="1"/>
  <c r="AV506" i="1" s="1"/>
  <c r="AW506" i="1" s="1"/>
  <c r="AS561" i="1"/>
  <c r="AD474" i="1"/>
  <c r="AN474" i="1" s="1"/>
  <c r="AS492" i="1"/>
  <c r="AX492" i="1" s="1"/>
  <c r="AG212" i="1"/>
  <c r="AQ212" i="1" s="1"/>
  <c r="AL172" i="1"/>
  <c r="AS321" i="1"/>
  <c r="AT321" i="1" s="1"/>
  <c r="AU321" i="1" s="1"/>
  <c r="AV321" i="1" s="1"/>
  <c r="AW321" i="1" s="1"/>
  <c r="AB603" i="1"/>
  <c r="AL603" i="1" s="1"/>
  <c r="AF361" i="1"/>
  <c r="AP361" i="1" s="1"/>
  <c r="AU386" i="1"/>
  <c r="AV386" i="1" s="1"/>
  <c r="AW386" i="1" s="1"/>
  <c r="AU117" i="1"/>
  <c r="AV117" i="1" s="1"/>
  <c r="AW117" i="1" s="1"/>
  <c r="AG135" i="1"/>
  <c r="AQ135" i="1" s="1"/>
  <c r="AS593" i="1"/>
  <c r="AT593" i="1" s="1"/>
  <c r="AU593" i="1" s="1"/>
  <c r="AV593" i="1" s="1"/>
  <c r="AW593" i="1" s="1"/>
  <c r="AF411" i="1"/>
  <c r="AP411" i="1" s="1"/>
  <c r="AU218" i="1"/>
  <c r="AV218" i="1" s="1"/>
  <c r="AW218" i="1" s="1"/>
  <c r="AF382" i="1"/>
  <c r="AP382" i="1" s="1"/>
  <c r="AF498" i="1"/>
  <c r="AP498" i="1" s="1"/>
  <c r="AB592" i="1"/>
  <c r="AL592" i="1" s="1"/>
  <c r="AE592" i="1"/>
  <c r="AO592" i="1" s="1"/>
  <c r="AF513" i="1"/>
  <c r="AP513" i="1" s="1"/>
  <c r="AD513" i="1"/>
  <c r="AN513" i="1" s="1"/>
  <c r="AE513" i="1"/>
  <c r="AO513" i="1" s="1"/>
  <c r="AG496" i="1"/>
  <c r="AQ496" i="1" s="1"/>
  <c r="AE496" i="1"/>
  <c r="AO496" i="1" s="1"/>
  <c r="AF198" i="1"/>
  <c r="AP198" i="1" s="1"/>
  <c r="AD198" i="1"/>
  <c r="AN198" i="1" s="1"/>
  <c r="AS414" i="1"/>
  <c r="AT414" i="1" s="1"/>
  <c r="AU414" i="1" s="1"/>
  <c r="AV414" i="1" s="1"/>
  <c r="AW414" i="1" s="1"/>
  <c r="AD414" i="1"/>
  <c r="AN414" i="1" s="1"/>
  <c r="BB414" i="1" s="1"/>
  <c r="AG655" i="1"/>
  <c r="AQ655" i="1" s="1"/>
  <c r="AE655" i="1"/>
  <c r="AO655" i="1" s="1"/>
  <c r="AL371" i="1"/>
  <c r="AA484" i="1"/>
  <c r="AK484" i="1" s="1"/>
  <c r="AE484" i="1"/>
  <c r="AO484" i="1" s="1"/>
  <c r="AD633" i="1"/>
  <c r="AN633" i="1" s="1"/>
  <c r="BB633" i="1" s="1"/>
  <c r="BC633" i="1" s="1"/>
  <c r="BD633" i="1" s="1"/>
  <c r="BE633" i="1" s="1"/>
  <c r="BF633" i="1" s="1"/>
  <c r="AS633" i="1"/>
  <c r="AT633" i="1" s="1"/>
  <c r="AU633" i="1" s="1"/>
  <c r="AV633" i="1" s="1"/>
  <c r="AW633" i="1" s="1"/>
  <c r="AS468" i="1"/>
  <c r="AF422" i="1"/>
  <c r="AP422" i="1" s="1"/>
  <c r="AS621" i="1"/>
  <c r="AD621" i="1"/>
  <c r="AN621" i="1" s="1"/>
  <c r="AD618" i="1"/>
  <c r="AN618" i="1" s="1"/>
  <c r="AS618" i="1"/>
  <c r="AA590" i="1"/>
  <c r="AK590" i="1" s="1"/>
  <c r="AB590" i="1"/>
  <c r="AL590" i="1" s="1"/>
  <c r="AE541" i="1"/>
  <c r="AO541" i="1" s="1"/>
  <c r="AF541" i="1"/>
  <c r="AP541" i="1" s="1"/>
  <c r="AE516" i="1"/>
  <c r="AO516" i="1" s="1"/>
  <c r="AB516" i="1"/>
  <c r="AL516" i="1" s="1"/>
  <c r="AE599" i="1"/>
  <c r="AO599" i="1" s="1"/>
  <c r="AA599" i="1"/>
  <c r="AK599" i="1" s="1"/>
  <c r="AB452" i="1"/>
  <c r="AL452" i="1" s="1"/>
  <c r="AD452" i="1"/>
  <c r="AN452" i="1" s="1"/>
  <c r="AG305" i="1"/>
  <c r="AQ305" i="1" s="1"/>
  <c r="AS174" i="1"/>
  <c r="AS629" i="1"/>
  <c r="AL644" i="1"/>
  <c r="AL436" i="1"/>
  <c r="AU578" i="1"/>
  <c r="AV578" i="1" s="1"/>
  <c r="AW578" i="1" s="1"/>
  <c r="AB491" i="1"/>
  <c r="AL491" i="1" s="1"/>
  <c r="AD457" i="1"/>
  <c r="AN457" i="1" s="1"/>
  <c r="AA457" i="1"/>
  <c r="AK457" i="1" s="1"/>
  <c r="AD578" i="1"/>
  <c r="AN578" i="1" s="1"/>
  <c r="AE578" i="1"/>
  <c r="AO578" i="1" s="1"/>
  <c r="AG393" i="1"/>
  <c r="AQ393" i="1" s="1"/>
  <c r="AA210" i="1"/>
  <c r="AK210" i="1" s="1"/>
  <c r="AB210" i="1"/>
  <c r="AL210" i="1" s="1"/>
  <c r="AA266" i="1"/>
  <c r="AK266" i="1" s="1"/>
  <c r="AG266" i="1"/>
  <c r="AQ266" i="1" s="1"/>
  <c r="AB175" i="1"/>
  <c r="AL175" i="1" s="1"/>
  <c r="AL295" i="1"/>
  <c r="AD239" i="1"/>
  <c r="AN239" i="1" s="1"/>
  <c r="AS239" i="1"/>
  <c r="AX239" i="1" s="1"/>
  <c r="AL228" i="1"/>
  <c r="AS148" i="1"/>
  <c r="AX148" i="1" s="1"/>
  <c r="AG71" i="1"/>
  <c r="AQ71" i="1" s="1"/>
  <c r="AL114" i="1"/>
  <c r="AS109" i="1"/>
  <c r="AT109" i="1" s="1"/>
  <c r="AU109" i="1" s="1"/>
  <c r="AV109" i="1" s="1"/>
  <c r="AW109" i="1" s="1"/>
  <c r="AA186" i="1"/>
  <c r="AK186" i="1" s="1"/>
  <c r="AS115" i="1"/>
  <c r="AX115" i="1" s="1"/>
  <c r="AS96" i="1"/>
  <c r="AT96" i="1" s="1"/>
  <c r="AU96" i="1" s="1"/>
  <c r="AV96" i="1" s="1"/>
  <c r="AW96" i="1" s="1"/>
  <c r="AD468" i="1"/>
  <c r="AN468" i="1" s="1"/>
  <c r="AK430" i="1"/>
  <c r="AS352" i="1"/>
  <c r="AX352" i="1" s="1"/>
  <c r="AD522" i="1"/>
  <c r="AN522" i="1" s="1"/>
  <c r="AS522" i="1"/>
  <c r="AU589" i="1"/>
  <c r="AV589" i="1" s="1"/>
  <c r="AW589" i="1" s="1"/>
  <c r="AK408" i="1"/>
  <c r="AU644" i="1"/>
  <c r="AV644" i="1" s="1"/>
  <c r="AW644" i="1" s="1"/>
  <c r="AK429" i="1"/>
  <c r="AL658" i="1"/>
  <c r="AF175" i="1"/>
  <c r="AP175" i="1" s="1"/>
  <c r="AS529" i="1"/>
  <c r="AX529" i="1" s="1"/>
  <c r="AD646" i="1"/>
  <c r="AN646" i="1" s="1"/>
  <c r="BB646" i="1" s="1"/>
  <c r="BC646" i="1" s="1"/>
  <c r="AS646" i="1"/>
  <c r="AX646" i="1" s="1"/>
  <c r="AG290" i="1"/>
  <c r="AQ290" i="1" s="1"/>
  <c r="AF290" i="1"/>
  <c r="AP290" i="1" s="1"/>
  <c r="AA665" i="1"/>
  <c r="AK665" i="1" s="1"/>
  <c r="AL609" i="1"/>
  <c r="AB538" i="1"/>
  <c r="AL538" i="1" s="1"/>
  <c r="AF503" i="1"/>
  <c r="AP503" i="1" s="1"/>
  <c r="AE503" i="1"/>
  <c r="AO503" i="1" s="1"/>
  <c r="AE648" i="1"/>
  <c r="AO648" i="1" s="1"/>
  <c r="AA648" i="1"/>
  <c r="AK648" i="1" s="1"/>
  <c r="AB648" i="1"/>
  <c r="AL648" i="1" s="1"/>
  <c r="AG114" i="1"/>
  <c r="AQ114" i="1" s="1"/>
  <c r="AB638" i="1"/>
  <c r="AL638" i="1" s="1"/>
  <c r="AS472" i="1"/>
  <c r="AT472" i="1" s="1"/>
  <c r="AU472" i="1" s="1"/>
  <c r="AV472" i="1" s="1"/>
  <c r="AW472" i="1" s="1"/>
  <c r="AV337" i="1"/>
  <c r="AW337" i="1" s="1"/>
  <c r="AK347" i="1"/>
  <c r="AK423" i="1"/>
  <c r="AU125" i="1"/>
  <c r="AV125" i="1" s="1"/>
  <c r="AW125" i="1" s="1"/>
  <c r="AD187" i="1"/>
  <c r="AN187" i="1" s="1"/>
  <c r="AG110" i="1"/>
  <c r="AQ110" i="1" s="1"/>
  <c r="AG648" i="1"/>
  <c r="AQ648" i="1" s="1"/>
  <c r="AB257" i="1"/>
  <c r="AL257" i="1" s="1"/>
  <c r="AG104" i="1"/>
  <c r="AQ104" i="1" s="1"/>
  <c r="AE290" i="1"/>
  <c r="AO290" i="1" s="1"/>
  <c r="AD503" i="1"/>
  <c r="AN503" i="1" s="1"/>
  <c r="BB503" i="1" s="1"/>
  <c r="AU660" i="1"/>
  <c r="AV660" i="1" s="1"/>
  <c r="AW660" i="1" s="1"/>
  <c r="AG468" i="1"/>
  <c r="AQ468" i="1" s="1"/>
  <c r="AA500" i="1"/>
  <c r="AK500" i="1" s="1"/>
  <c r="AB188" i="1"/>
  <c r="AL188" i="1" s="1"/>
  <c r="AF578" i="1"/>
  <c r="AP578" i="1" s="1"/>
  <c r="AS584" i="1"/>
  <c r="AX584" i="1" s="1"/>
  <c r="AS456" i="1"/>
  <c r="AT456" i="1" s="1"/>
  <c r="AU456" i="1" s="1"/>
  <c r="AV456" i="1" s="1"/>
  <c r="AW456" i="1" s="1"/>
  <c r="AA387" i="1"/>
  <c r="AK387" i="1" s="1"/>
  <c r="AV476" i="1"/>
  <c r="AW476" i="1" s="1"/>
  <c r="AU228" i="1"/>
  <c r="AV228" i="1" s="1"/>
  <c r="AW228" i="1" s="1"/>
  <c r="AS665" i="1"/>
  <c r="AT665" i="1" s="1"/>
  <c r="AU665" i="1" s="1"/>
  <c r="AV665" i="1" s="1"/>
  <c r="AW665" i="1" s="1"/>
  <c r="AV208" i="1"/>
  <c r="AW208" i="1" s="1"/>
  <c r="AS610" i="1"/>
  <c r="AX610" i="1" s="1"/>
  <c r="AS524" i="1"/>
  <c r="AT524" i="1" s="1"/>
  <c r="AU524" i="1" s="1"/>
  <c r="AV524" i="1" s="1"/>
  <c r="AW524" i="1" s="1"/>
  <c r="AK530" i="1"/>
  <c r="AG639" i="1"/>
  <c r="AQ639" i="1" s="1"/>
  <c r="BB639" i="1" s="1"/>
  <c r="BC639" i="1" s="1"/>
  <c r="BD639" i="1" s="1"/>
  <c r="AK580" i="1"/>
  <c r="AA639" i="1"/>
  <c r="AK639" i="1" s="1"/>
  <c r="AB191" i="1"/>
  <c r="AL191" i="1" s="1"/>
  <c r="AD432" i="1"/>
  <c r="AN432" i="1" s="1"/>
  <c r="AD375" i="1"/>
  <c r="AN375" i="1" s="1"/>
  <c r="AD342" i="1"/>
  <c r="AN342" i="1" s="1"/>
  <c r="BB342" i="1" s="1"/>
  <c r="BC342" i="1" s="1"/>
  <c r="AA619" i="1"/>
  <c r="AK619" i="1" s="1"/>
  <c r="AB395" i="1"/>
  <c r="AL395" i="1" s="1"/>
  <c r="AA354" i="1"/>
  <c r="AK354" i="1" s="1"/>
  <c r="AB488" i="1"/>
  <c r="AL488" i="1" s="1"/>
  <c r="AD299" i="1"/>
  <c r="AN299" i="1" s="1"/>
  <c r="AF533" i="1"/>
  <c r="AP533" i="1" s="1"/>
  <c r="AB663" i="1"/>
  <c r="AL663" i="1" s="1"/>
  <c r="AL600" i="1"/>
  <c r="AS450" i="1"/>
  <c r="AX450" i="1" s="1"/>
  <c r="AS256" i="1"/>
  <c r="AA155" i="1"/>
  <c r="AK155" i="1" s="1"/>
  <c r="AF237" i="1"/>
  <c r="AP237" i="1" s="1"/>
  <c r="AX141" i="1"/>
  <c r="AS78" i="1"/>
  <c r="AK103" i="1"/>
  <c r="AS172" i="1"/>
  <c r="AE639" i="1"/>
  <c r="AO639" i="1" s="1"/>
  <c r="AB398" i="1"/>
  <c r="AL398" i="1" s="1"/>
  <c r="AB533" i="1"/>
  <c r="AL533" i="1" s="1"/>
  <c r="AE585" i="1"/>
  <c r="AO585" i="1" s="1"/>
  <c r="AE574" i="1"/>
  <c r="AO574" i="1" s="1"/>
  <c r="AE451" i="1"/>
  <c r="AO451" i="1" s="1"/>
  <c r="AS301" i="1"/>
  <c r="AT301" i="1" s="1"/>
  <c r="AU301" i="1" s="1"/>
  <c r="AV301" i="1" s="1"/>
  <c r="AW301" i="1" s="1"/>
  <c r="AF569" i="1"/>
  <c r="AP569" i="1" s="1"/>
  <c r="AE552" i="1"/>
  <c r="AO552" i="1" s="1"/>
  <c r="AL72" i="1"/>
  <c r="AL414" i="1"/>
  <c r="AB320" i="1"/>
  <c r="AL320" i="1" s="1"/>
  <c r="AL337" i="1"/>
  <c r="AA398" i="1"/>
  <c r="AK398" i="1" s="1"/>
  <c r="AL405" i="1"/>
  <c r="AE604" i="1"/>
  <c r="AO604" i="1" s="1"/>
  <c r="AB604" i="1"/>
  <c r="AL604" i="1" s="1"/>
  <c r="AF604" i="1"/>
  <c r="AP604" i="1" s="1"/>
  <c r="AG604" i="1"/>
  <c r="AQ604" i="1" s="1"/>
  <c r="AA362" i="1"/>
  <c r="AK362" i="1" s="1"/>
  <c r="AE362" i="1"/>
  <c r="AO362" i="1" s="1"/>
  <c r="AG362" i="1"/>
  <c r="AQ362" i="1" s="1"/>
  <c r="BB362" i="1" s="1"/>
  <c r="BC362" i="1" s="1"/>
  <c r="AB362" i="1"/>
  <c r="AL362" i="1" s="1"/>
  <c r="AE412" i="1"/>
  <c r="AO412" i="1" s="1"/>
  <c r="AF412" i="1"/>
  <c r="AP412" i="1" s="1"/>
  <c r="AD412" i="1"/>
  <c r="AN412" i="1" s="1"/>
  <c r="BB412" i="1" s="1"/>
  <c r="BC412" i="1" s="1"/>
  <c r="AB412" i="1"/>
  <c r="AL412" i="1" s="1"/>
  <c r="AG412" i="1"/>
  <c r="AQ412" i="1" s="1"/>
  <c r="AE343" i="1"/>
  <c r="AO343" i="1" s="1"/>
  <c r="AG343" i="1"/>
  <c r="AQ343" i="1" s="1"/>
  <c r="AD343" i="1"/>
  <c r="AN343" i="1" s="1"/>
  <c r="AF343" i="1"/>
  <c r="AP343" i="1" s="1"/>
  <c r="AD508" i="1"/>
  <c r="AN508" i="1" s="1"/>
  <c r="AS508" i="1"/>
  <c r="AT508" i="1" s="1"/>
  <c r="AU508" i="1" s="1"/>
  <c r="AV508" i="1" s="1"/>
  <c r="AW508" i="1" s="1"/>
  <c r="AE399" i="1"/>
  <c r="AO399" i="1" s="1"/>
  <c r="AF399" i="1"/>
  <c r="AP399" i="1" s="1"/>
  <c r="AB399" i="1"/>
  <c r="AL399" i="1" s="1"/>
  <c r="AA399" i="1"/>
  <c r="AK399" i="1" s="1"/>
  <c r="AD399" i="1"/>
  <c r="AN399" i="1" s="1"/>
  <c r="AE234" i="1"/>
  <c r="AO234" i="1" s="1"/>
  <c r="AA234" i="1"/>
  <c r="AK234" i="1" s="1"/>
  <c r="AD234" i="1"/>
  <c r="AN234" i="1" s="1"/>
  <c r="AG234" i="1"/>
  <c r="AQ234" i="1" s="1"/>
  <c r="AF234" i="1"/>
  <c r="AP234" i="1" s="1"/>
  <c r="AE651" i="1"/>
  <c r="AO651" i="1" s="1"/>
  <c r="AD651" i="1"/>
  <c r="AN651" i="1" s="1"/>
  <c r="AG651" i="1"/>
  <c r="AQ651" i="1" s="1"/>
  <c r="AF651" i="1"/>
  <c r="AP651" i="1" s="1"/>
  <c r="AB651" i="1"/>
  <c r="AL651" i="1" s="1"/>
  <c r="AG287" i="1"/>
  <c r="AQ287" i="1" s="1"/>
  <c r="AF287" i="1"/>
  <c r="AP287" i="1" s="1"/>
  <c r="AB287" i="1"/>
  <c r="AL287" i="1" s="1"/>
  <c r="AD287" i="1"/>
  <c r="AN287" i="1" s="1"/>
  <c r="AA287" i="1"/>
  <c r="AK287" i="1" s="1"/>
  <c r="AL564" i="1"/>
  <c r="AV645" i="1"/>
  <c r="AW645" i="1" s="1"/>
  <c r="AD604" i="1"/>
  <c r="AN604" i="1" s="1"/>
  <c r="AK569" i="1"/>
  <c r="AK545" i="1"/>
  <c r="AE653" i="1"/>
  <c r="AO653" i="1" s="1"/>
  <c r="AD653" i="1"/>
  <c r="AN653" i="1" s="1"/>
  <c r="AF653" i="1"/>
  <c r="AP653" i="1" s="1"/>
  <c r="AE485" i="1"/>
  <c r="AO485" i="1" s="1"/>
  <c r="AB485" i="1"/>
  <c r="AL485" i="1" s="1"/>
  <c r="AG485" i="1"/>
  <c r="AQ485" i="1" s="1"/>
  <c r="BB485" i="1" s="1"/>
  <c r="BC485" i="1" s="1"/>
  <c r="BD485" i="1" s="1"/>
  <c r="AA485" i="1"/>
  <c r="AK485" i="1" s="1"/>
  <c r="AF485" i="1"/>
  <c r="AP485" i="1" s="1"/>
  <c r="AE241" i="1"/>
  <c r="AO241" i="1" s="1"/>
  <c r="AD241" i="1"/>
  <c r="AN241" i="1" s="1"/>
  <c r="AB241" i="1"/>
  <c r="AL241" i="1" s="1"/>
  <c r="AE384" i="1"/>
  <c r="AO384" i="1" s="1"/>
  <c r="AA384" i="1"/>
  <c r="AK384" i="1" s="1"/>
  <c r="AD384" i="1"/>
  <c r="AN384" i="1" s="1"/>
  <c r="AF384" i="1"/>
  <c r="AP384" i="1" s="1"/>
  <c r="AS116" i="1"/>
  <c r="AX116" i="1" s="1"/>
  <c r="AD116" i="1"/>
  <c r="AN116" i="1" s="1"/>
  <c r="AA304" i="1"/>
  <c r="AK304" i="1" s="1"/>
  <c r="AB304" i="1"/>
  <c r="AL304" i="1" s="1"/>
  <c r="AD458" i="1"/>
  <c r="AN458" i="1" s="1"/>
  <c r="AA458" i="1"/>
  <c r="AK458" i="1" s="1"/>
  <c r="AG458" i="1"/>
  <c r="AQ458" i="1" s="1"/>
  <c r="AE458" i="1"/>
  <c r="AO458" i="1" s="1"/>
  <c r="AD577" i="1"/>
  <c r="AN577" i="1" s="1"/>
  <c r="BB577" i="1" s="1"/>
  <c r="BG577" i="1" s="1"/>
  <c r="AS577" i="1"/>
  <c r="AX577" i="1" s="1"/>
  <c r="AF427" i="1"/>
  <c r="AP427" i="1" s="1"/>
  <c r="AD427" i="1"/>
  <c r="AN427" i="1" s="1"/>
  <c r="AG427" i="1"/>
  <c r="AQ427" i="1" s="1"/>
  <c r="AA427" i="1"/>
  <c r="AK427" i="1" s="1"/>
  <c r="AE427" i="1"/>
  <c r="AO427" i="1" s="1"/>
  <c r="AB427" i="1"/>
  <c r="AL427" i="1" s="1"/>
  <c r="AG511" i="1"/>
  <c r="AQ511" i="1" s="1"/>
  <c r="AA511" i="1"/>
  <c r="AK511" i="1" s="1"/>
  <c r="AE511" i="1"/>
  <c r="AO511" i="1" s="1"/>
  <c r="AB511" i="1"/>
  <c r="AL511" i="1" s="1"/>
  <c r="AF511" i="1"/>
  <c r="AP511" i="1" s="1"/>
  <c r="AA637" i="1"/>
  <c r="AK637" i="1" s="1"/>
  <c r="AK176" i="1"/>
  <c r="AX154" i="1"/>
  <c r="AB458" i="1"/>
  <c r="AL458" i="1" s="1"/>
  <c r="AB384" i="1"/>
  <c r="AL384" i="1" s="1"/>
  <c r="AA564" i="1"/>
  <c r="AK564" i="1" s="1"/>
  <c r="AE304" i="1"/>
  <c r="AO304" i="1" s="1"/>
  <c r="AD511" i="1"/>
  <c r="AN511" i="1" s="1"/>
  <c r="AX462" i="1"/>
  <c r="AE287" i="1"/>
  <c r="AO287" i="1" s="1"/>
  <c r="AF497" i="1"/>
  <c r="AP497" i="1" s="1"/>
  <c r="AE497" i="1"/>
  <c r="AO497" i="1" s="1"/>
  <c r="AD497" i="1"/>
  <c r="AN497" i="1" s="1"/>
  <c r="AA497" i="1"/>
  <c r="AK497" i="1" s="1"/>
  <c r="AK565" i="1"/>
  <c r="AE182" i="1"/>
  <c r="AO182" i="1" s="1"/>
  <c r="AD182" i="1"/>
  <c r="AN182" i="1" s="1"/>
  <c r="AB182" i="1"/>
  <c r="AL182" i="1" s="1"/>
  <c r="AE521" i="1"/>
  <c r="AO521" i="1" s="1"/>
  <c r="AF521" i="1"/>
  <c r="AP521" i="1" s="1"/>
  <c r="AF625" i="1"/>
  <c r="AP625" i="1" s="1"/>
  <c r="AE625" i="1"/>
  <c r="AO625" i="1" s="1"/>
  <c r="AG625" i="1"/>
  <c r="AQ625" i="1" s="1"/>
  <c r="AB111" i="1"/>
  <c r="AE111" i="1"/>
  <c r="AO111" i="1" s="1"/>
  <c r="AF111" i="1"/>
  <c r="AP111" i="1" s="1"/>
  <c r="AD525" i="1"/>
  <c r="AN525" i="1" s="1"/>
  <c r="AE525" i="1"/>
  <c r="AO525" i="1" s="1"/>
  <c r="AF525" i="1"/>
  <c r="AP525" i="1" s="1"/>
  <c r="AG525" i="1"/>
  <c r="AQ525" i="1" s="1"/>
  <c r="AB525" i="1"/>
  <c r="AL525" i="1" s="1"/>
  <c r="AE613" i="1"/>
  <c r="AO613" i="1" s="1"/>
  <c r="AF613" i="1"/>
  <c r="AP613" i="1" s="1"/>
  <c r="AE464" i="1"/>
  <c r="AO464" i="1" s="1"/>
  <c r="AF464" i="1"/>
  <c r="AP464" i="1" s="1"/>
  <c r="AD464" i="1"/>
  <c r="AN464" i="1" s="1"/>
  <c r="AG464" i="1"/>
  <c r="AQ464" i="1" s="1"/>
  <c r="AB444" i="1"/>
  <c r="AL444" i="1" s="1"/>
  <c r="AG444" i="1"/>
  <c r="AQ444" i="1" s="1"/>
  <c r="AU402" i="1"/>
  <c r="AV402" i="1" s="1"/>
  <c r="AW402" i="1" s="1"/>
  <c r="AS395" i="1"/>
  <c r="AT395" i="1" s="1"/>
  <c r="AU395" i="1" s="1"/>
  <c r="AV395" i="1" s="1"/>
  <c r="AW395" i="1" s="1"/>
  <c r="AX639" i="1"/>
  <c r="AE572" i="1"/>
  <c r="AO572" i="1" s="1"/>
  <c r="AA572" i="1"/>
  <c r="AK572" i="1" s="1"/>
  <c r="AE571" i="1"/>
  <c r="AO571" i="1" s="1"/>
  <c r="AD571" i="1"/>
  <c r="AN571" i="1" s="1"/>
  <c r="AG571" i="1"/>
  <c r="AQ571" i="1" s="1"/>
  <c r="AE406" i="1"/>
  <c r="AO406" i="1" s="1"/>
  <c r="AA406" i="1"/>
  <c r="AK406" i="1" s="1"/>
  <c r="AF406" i="1"/>
  <c r="AP406" i="1" s="1"/>
  <c r="AE316" i="1"/>
  <c r="AO316" i="1" s="1"/>
  <c r="AD316" i="1"/>
  <c r="AN316" i="1" s="1"/>
  <c r="AB316" i="1"/>
  <c r="AL316" i="1" s="1"/>
  <c r="AF316" i="1"/>
  <c r="AP316" i="1" s="1"/>
  <c r="AE417" i="1"/>
  <c r="AO417" i="1" s="1"/>
  <c r="AD417" i="1"/>
  <c r="AN417" i="1" s="1"/>
  <c r="AF417" i="1"/>
  <c r="AP417" i="1" s="1"/>
  <c r="AG417" i="1"/>
  <c r="AQ417" i="1" s="1"/>
  <c r="BB417" i="1" s="1"/>
  <c r="BC417" i="1" s="1"/>
  <c r="AE272" i="1"/>
  <c r="AO272" i="1" s="1"/>
  <c r="AD272" i="1"/>
  <c r="AN272" i="1" s="1"/>
  <c r="AG272" i="1"/>
  <c r="AQ272" i="1" s="1"/>
  <c r="AK414" i="1"/>
  <c r="AF352" i="1"/>
  <c r="AP352" i="1" s="1"/>
  <c r="AD352" i="1"/>
  <c r="AN352" i="1" s="1"/>
  <c r="AB352" i="1"/>
  <c r="AL352" i="1" s="1"/>
  <c r="AB356" i="1"/>
  <c r="AL356" i="1" s="1"/>
  <c r="AG356" i="1"/>
  <c r="AQ356" i="1" s="1"/>
  <c r="AE439" i="1"/>
  <c r="AO439" i="1" s="1"/>
  <c r="AA439" i="1"/>
  <c r="AK439" i="1" s="1"/>
  <c r="AF439" i="1"/>
  <c r="AP439" i="1" s="1"/>
  <c r="AL424" i="1"/>
  <c r="AE426" i="1"/>
  <c r="AO426" i="1" s="1"/>
  <c r="AG426" i="1"/>
  <c r="AQ426" i="1" s="1"/>
  <c r="AD426" i="1"/>
  <c r="AN426" i="1" s="1"/>
  <c r="BB426" i="1" s="1"/>
  <c r="BC426" i="1" s="1"/>
  <c r="BD426" i="1" s="1"/>
  <c r="BE426" i="1" s="1"/>
  <c r="BF426" i="1" s="1"/>
  <c r="AA426" i="1"/>
  <c r="AK426" i="1" s="1"/>
  <c r="AE394" i="1"/>
  <c r="AO394" i="1" s="1"/>
  <c r="AA394" i="1"/>
  <c r="AK394" i="1" s="1"/>
  <c r="AG309" i="1"/>
  <c r="AQ309" i="1" s="1"/>
  <c r="BB309" i="1" s="1"/>
  <c r="BC309" i="1" s="1"/>
  <c r="AB309" i="1"/>
  <c r="AL309" i="1" s="1"/>
  <c r="AE309" i="1"/>
  <c r="AO309" i="1" s="1"/>
  <c r="AA309" i="1"/>
  <c r="AK309" i="1" s="1"/>
  <c r="AV398" i="1"/>
  <c r="AW398" i="1" s="1"/>
  <c r="AE218" i="1"/>
  <c r="AO218" i="1" s="1"/>
  <c r="AF218" i="1"/>
  <c r="AP218" i="1" s="1"/>
  <c r="AD278" i="1"/>
  <c r="AN278" i="1" s="1"/>
  <c r="AB278" i="1"/>
  <c r="AL278" i="1" s="1"/>
  <c r="AF278" i="1"/>
  <c r="AP278" i="1" s="1"/>
  <c r="AE207" i="1"/>
  <c r="AO207" i="1" s="1"/>
  <c r="AD207" i="1"/>
  <c r="AN207" i="1" s="1"/>
  <c r="BB207" i="1" s="1"/>
  <c r="BG207" i="1" s="1"/>
  <c r="AB207" i="1"/>
  <c r="AL207" i="1" s="1"/>
  <c r="AD178" i="1"/>
  <c r="AN178" i="1" s="1"/>
  <c r="AS178" i="1"/>
  <c r="AA331" i="1"/>
  <c r="AK331" i="1" s="1"/>
  <c r="AE331" i="1"/>
  <c r="AO331" i="1" s="1"/>
  <c r="AF331" i="1"/>
  <c r="AP331" i="1" s="1"/>
  <c r="AD167" i="1"/>
  <c r="AN167" i="1" s="1"/>
  <c r="AF167" i="1"/>
  <c r="AP167" i="1" s="1"/>
  <c r="AF334" i="1"/>
  <c r="AP334" i="1" s="1"/>
  <c r="AB334" i="1"/>
  <c r="AL334" i="1" s="1"/>
  <c r="AB177" i="1"/>
  <c r="AL177" i="1" s="1"/>
  <c r="AG177" i="1"/>
  <c r="AQ177" i="1" s="1"/>
  <c r="AE177" i="1"/>
  <c r="AO177" i="1" s="1"/>
  <c r="AD177" i="1"/>
  <c r="AN177" i="1" s="1"/>
  <c r="AF177" i="1"/>
  <c r="AP177" i="1" s="1"/>
  <c r="AF178" i="1"/>
  <c r="AP178" i="1" s="1"/>
  <c r="AE178" i="1"/>
  <c r="AO178" i="1" s="1"/>
  <c r="AA178" i="1"/>
  <c r="AK178" i="1" s="1"/>
  <c r="AG178" i="1"/>
  <c r="AQ178" i="1" s="1"/>
  <c r="AS273" i="1"/>
  <c r="AX273" i="1" s="1"/>
  <c r="AD273" i="1"/>
  <c r="AN273" i="1" s="1"/>
  <c r="AE230" i="1"/>
  <c r="AO230" i="1" s="1"/>
  <c r="AF230" i="1"/>
  <c r="AP230" i="1" s="1"/>
  <c r="AF289" i="1"/>
  <c r="AP289" i="1" s="1"/>
  <c r="AB289" i="1"/>
  <c r="AL289" i="1" s="1"/>
  <c r="AL271" i="1"/>
  <c r="AE306" i="1"/>
  <c r="AO306" i="1" s="1"/>
  <c r="AB306" i="1"/>
  <c r="AL306" i="1" s="1"/>
  <c r="AD306" i="1"/>
  <c r="AN306" i="1" s="1"/>
  <c r="AE256" i="1"/>
  <c r="AO256" i="1" s="1"/>
  <c r="AF256" i="1"/>
  <c r="AP256" i="1" s="1"/>
  <c r="AG256" i="1"/>
  <c r="AQ256" i="1" s="1"/>
  <c r="AG94" i="1"/>
  <c r="AQ94" i="1" s="1"/>
  <c r="AE305" i="1"/>
  <c r="AO305" i="1" s="1"/>
  <c r="AD305" i="1"/>
  <c r="AN305" i="1" s="1"/>
  <c r="AB305" i="1"/>
  <c r="AL305" i="1" s="1"/>
  <c r="AD134" i="1"/>
  <c r="AN134" i="1" s="1"/>
  <c r="AE134" i="1"/>
  <c r="AO134" i="1" s="1"/>
  <c r="AG134" i="1"/>
  <c r="AQ134" i="1" s="1"/>
  <c r="AA134" i="1"/>
  <c r="AK134" i="1" s="1"/>
  <c r="AS71" i="1"/>
  <c r="AT71" i="1" s="1"/>
  <c r="AU71" i="1" s="1"/>
  <c r="AV71" i="1" s="1"/>
  <c r="AW71" i="1" s="1"/>
  <c r="AE144" i="1"/>
  <c r="AO144" i="1" s="1"/>
  <c r="AB144" i="1"/>
  <c r="AL144" i="1" s="1"/>
  <c r="AE71" i="1"/>
  <c r="AO71" i="1" s="1"/>
  <c r="AF71" i="1"/>
  <c r="AP71" i="1" s="1"/>
  <c r="AD71" i="1"/>
  <c r="AN71" i="1" s="1"/>
  <c r="AA71" i="1"/>
  <c r="AK71" i="1" s="1"/>
  <c r="AE631" i="1"/>
  <c r="AO631" i="1" s="1"/>
  <c r="AA631" i="1"/>
  <c r="AK631" i="1" s="1"/>
  <c r="AE78" i="1"/>
  <c r="AO78" i="1" s="1"/>
  <c r="AF78" i="1"/>
  <c r="AP78" i="1" s="1"/>
  <c r="AD78" i="1"/>
  <c r="AN78" i="1" s="1"/>
  <c r="AA78" i="1"/>
  <c r="AK78" i="1" s="1"/>
  <c r="AB78" i="1"/>
  <c r="AL78" i="1" s="1"/>
  <c r="AS606" i="1"/>
  <c r="AE545" i="1"/>
  <c r="AO545" i="1" s="1"/>
  <c r="AF545" i="1"/>
  <c r="AP545" i="1" s="1"/>
  <c r="AS90" i="1"/>
  <c r="AT90" i="1" s="1"/>
  <c r="AU90" i="1" s="1"/>
  <c r="AV90" i="1" s="1"/>
  <c r="AW90" i="1" s="1"/>
  <c r="AD69" i="1"/>
  <c r="AN69" i="1" s="1"/>
  <c r="AS69" i="1"/>
  <c r="AT69" i="1" s="1"/>
  <c r="AU69" i="1" s="1"/>
  <c r="AV69" i="1" s="1"/>
  <c r="AW69" i="1" s="1"/>
  <c r="AE455" i="1"/>
  <c r="AO455" i="1" s="1"/>
  <c r="AD455" i="1"/>
  <c r="AN455" i="1" s="1"/>
  <c r="AA455" i="1"/>
  <c r="AK455" i="1" s="1"/>
  <c r="AS567" i="1"/>
  <c r="AT567" i="1" s="1"/>
  <c r="AU567" i="1" s="1"/>
  <c r="AV567" i="1" s="1"/>
  <c r="AW567" i="1" s="1"/>
  <c r="AD567" i="1"/>
  <c r="AN567" i="1" s="1"/>
  <c r="BB567" i="1" s="1"/>
  <c r="BC567" i="1" s="1"/>
  <c r="AE468" i="1"/>
  <c r="AO468" i="1" s="1"/>
  <c r="AB468" i="1"/>
  <c r="AL468" i="1" s="1"/>
  <c r="AS580" i="1"/>
  <c r="AX580" i="1" s="1"/>
  <c r="AE553" i="1"/>
  <c r="AO553" i="1" s="1"/>
  <c r="AD553" i="1"/>
  <c r="AN553" i="1" s="1"/>
  <c r="AG553" i="1"/>
  <c r="AQ553" i="1" s="1"/>
  <c r="AL420" i="1"/>
  <c r="AA481" i="1"/>
  <c r="AK481" i="1" s="1"/>
  <c r="AE481" i="1"/>
  <c r="AO481" i="1" s="1"/>
  <c r="AF481" i="1"/>
  <c r="AP481" i="1" s="1"/>
  <c r="AE422" i="1"/>
  <c r="AO422" i="1" s="1"/>
  <c r="AL265" i="1"/>
  <c r="AB637" i="1"/>
  <c r="AL637" i="1" s="1"/>
  <c r="AB195" i="1"/>
  <c r="AL195" i="1" s="1"/>
  <c r="AD176" i="1"/>
  <c r="AN176" i="1" s="1"/>
  <c r="AB578" i="1"/>
  <c r="AL578" i="1" s="1"/>
  <c r="AG144" i="1"/>
  <c r="AQ144" i="1" s="1"/>
  <c r="AA516" i="1"/>
  <c r="AK516" i="1" s="1"/>
  <c r="AB370" i="1"/>
  <c r="AL370" i="1" s="1"/>
  <c r="AL565" i="1"/>
  <c r="AD514" i="1"/>
  <c r="AN514" i="1" s="1"/>
  <c r="AF356" i="1"/>
  <c r="AP356" i="1" s="1"/>
  <c r="AG649" i="1"/>
  <c r="AQ649" i="1" s="1"/>
  <c r="AD366" i="1"/>
  <c r="AN366" i="1" s="1"/>
  <c r="BB366" i="1" s="1"/>
  <c r="BC366" i="1" s="1"/>
  <c r="AB570" i="1"/>
  <c r="AL570" i="1" s="1"/>
  <c r="AD256" i="1"/>
  <c r="AN256" i="1" s="1"/>
  <c r="AE531" i="1"/>
  <c r="AO531" i="1" s="1"/>
  <c r="AG363" i="1"/>
  <c r="AQ363" i="1" s="1"/>
  <c r="AD345" i="1"/>
  <c r="AN345" i="1" s="1"/>
  <c r="AS223" i="1"/>
  <c r="AX223" i="1" s="1"/>
  <c r="AG286" i="1"/>
  <c r="AQ286" i="1" s="1"/>
  <c r="BB286" i="1" s="1"/>
  <c r="BC286" i="1" s="1"/>
  <c r="AD276" i="1"/>
  <c r="AN276" i="1" s="1"/>
  <c r="AE278" i="1"/>
  <c r="AO278" i="1" s="1"/>
  <c r="AS586" i="1"/>
  <c r="AT586" i="1" s="1"/>
  <c r="AU586" i="1" s="1"/>
  <c r="AV586" i="1" s="1"/>
  <c r="AW586" i="1" s="1"/>
  <c r="AA541" i="1"/>
  <c r="AK541" i="1" s="1"/>
  <c r="AG230" i="1"/>
  <c r="AQ230" i="1" s="1"/>
  <c r="AD260" i="1"/>
  <c r="AN260" i="1" s="1"/>
  <c r="AG403" i="1"/>
  <c r="AQ403" i="1" s="1"/>
  <c r="AF553" i="1"/>
  <c r="AP553" i="1" s="1"/>
  <c r="AF313" i="1"/>
  <c r="AP313" i="1" s="1"/>
  <c r="AL626" i="1"/>
  <c r="AE334" i="1"/>
  <c r="AO334" i="1" s="1"/>
  <c r="AB394" i="1"/>
  <c r="AL394" i="1" s="1"/>
  <c r="AB497" i="1"/>
  <c r="AL497" i="1" s="1"/>
  <c r="AU511" i="1"/>
  <c r="AV511" i="1" s="1"/>
  <c r="AW511" i="1" s="1"/>
  <c r="AA654" i="1"/>
  <c r="AK654" i="1" s="1"/>
  <c r="AA316" i="1"/>
  <c r="AK316" i="1" s="1"/>
  <c r="AG195" i="1"/>
  <c r="AQ195" i="1" s="1"/>
  <c r="AD175" i="1"/>
  <c r="AN175" i="1" s="1"/>
  <c r="BB175" i="1" s="1"/>
  <c r="BC175" i="1" s="1"/>
  <c r="AE602" i="1"/>
  <c r="AO602" i="1" s="1"/>
  <c r="AB602" i="1"/>
  <c r="AL602" i="1" s="1"/>
  <c r="AB397" i="1"/>
  <c r="AL397" i="1" s="1"/>
  <c r="AE397" i="1"/>
  <c r="AO397" i="1" s="1"/>
  <c r="AU550" i="1"/>
  <c r="AV550" i="1" s="1"/>
  <c r="AW550" i="1" s="1"/>
  <c r="AG515" i="1"/>
  <c r="AQ515" i="1" s="1"/>
  <c r="AE515" i="1"/>
  <c r="AO515" i="1" s="1"/>
  <c r="AG500" i="1"/>
  <c r="AQ500" i="1" s="1"/>
  <c r="AE500" i="1"/>
  <c r="AO500" i="1" s="1"/>
  <c r="AF500" i="1"/>
  <c r="AP500" i="1" s="1"/>
  <c r="AD500" i="1"/>
  <c r="AN500" i="1" s="1"/>
  <c r="AE618" i="1"/>
  <c r="AO618" i="1" s="1"/>
  <c r="AG618" i="1"/>
  <c r="AQ618" i="1" s="1"/>
  <c r="AS537" i="1"/>
  <c r="AT537" i="1" s="1"/>
  <c r="AU537" i="1" s="1"/>
  <c r="AV537" i="1" s="1"/>
  <c r="AW537" i="1" s="1"/>
  <c r="AD537" i="1"/>
  <c r="AN537" i="1" s="1"/>
  <c r="BB537" i="1" s="1"/>
  <c r="BG537" i="1" s="1"/>
  <c r="AF257" i="1"/>
  <c r="AP257" i="1" s="1"/>
  <c r="AE257" i="1"/>
  <c r="AO257" i="1" s="1"/>
  <c r="AE467" i="1"/>
  <c r="AO467" i="1" s="1"/>
  <c r="AG467" i="1"/>
  <c r="AQ467" i="1" s="1"/>
  <c r="AE573" i="1"/>
  <c r="AO573" i="1" s="1"/>
  <c r="AF573" i="1"/>
  <c r="AP573" i="1" s="1"/>
  <c r="AS469" i="1"/>
  <c r="AT469" i="1" s="1"/>
  <c r="AU469" i="1" s="1"/>
  <c r="AV469" i="1" s="1"/>
  <c r="AW469" i="1" s="1"/>
  <c r="AD469" i="1"/>
  <c r="AN469" i="1" s="1"/>
  <c r="BB469" i="1" s="1"/>
  <c r="BC469" i="1" s="1"/>
  <c r="AG579" i="1"/>
  <c r="AQ579" i="1" s="1"/>
  <c r="AA579" i="1"/>
  <c r="AK579" i="1" s="1"/>
  <c r="AD579" i="1"/>
  <c r="AN579" i="1" s="1"/>
  <c r="AF579" i="1"/>
  <c r="AP579" i="1" s="1"/>
  <c r="AB579" i="1"/>
  <c r="AL579" i="1" s="1"/>
  <c r="AB546" i="1"/>
  <c r="AL546" i="1" s="1"/>
  <c r="AD546" i="1"/>
  <c r="AN546" i="1" s="1"/>
  <c r="AD448" i="1"/>
  <c r="AN448" i="1" s="1"/>
  <c r="AG448" i="1"/>
  <c r="AQ448" i="1" s="1"/>
  <c r="AV548" i="1"/>
  <c r="AW548" i="1" s="1"/>
  <c r="AS612" i="1"/>
  <c r="AD119" i="1"/>
  <c r="AN119" i="1" s="1"/>
  <c r="AA341" i="1"/>
  <c r="AK341" i="1" s="1"/>
  <c r="AG341" i="1"/>
  <c r="AQ341" i="1" s="1"/>
  <c r="AV557" i="1"/>
  <c r="AW557" i="1" s="1"/>
  <c r="AE302" i="1"/>
  <c r="AO302" i="1" s="1"/>
  <c r="AA302" i="1"/>
  <c r="AK302" i="1" s="1"/>
  <c r="AF302" i="1"/>
  <c r="AP302" i="1" s="1"/>
  <c r="AD431" i="1"/>
  <c r="AN431" i="1" s="1"/>
  <c r="BB431" i="1" s="1"/>
  <c r="BC431" i="1" s="1"/>
  <c r="AS431" i="1"/>
  <c r="AB438" i="1"/>
  <c r="AL438" i="1" s="1"/>
  <c r="AF438" i="1"/>
  <c r="AP438" i="1" s="1"/>
  <c r="AE114" i="1"/>
  <c r="AO114" i="1" s="1"/>
  <c r="AF114" i="1"/>
  <c r="AP114" i="1" s="1"/>
  <c r="AD114" i="1"/>
  <c r="AN114" i="1" s="1"/>
  <c r="AB178" i="1"/>
  <c r="AL178" i="1" s="1"/>
  <c r="AF631" i="1"/>
  <c r="AP631" i="1" s="1"/>
  <c r="AL440" i="1"/>
  <c r="AB285" i="1"/>
  <c r="AL285" i="1" s="1"/>
  <c r="AA285" i="1"/>
  <c r="AK285" i="1" s="1"/>
  <c r="AS662" i="1"/>
  <c r="AT662" i="1" s="1"/>
  <c r="AU662" i="1" s="1"/>
  <c r="AV662" i="1" s="1"/>
  <c r="AW662" i="1" s="1"/>
  <c r="AX299" i="1"/>
  <c r="AG638" i="1"/>
  <c r="AQ638" i="1" s="1"/>
  <c r="AE638" i="1"/>
  <c r="AO638" i="1" s="1"/>
  <c r="AD638" i="1"/>
  <c r="AN638" i="1" s="1"/>
  <c r="AE619" i="1"/>
  <c r="AO619" i="1" s="1"/>
  <c r="AD619" i="1"/>
  <c r="AN619" i="1" s="1"/>
  <c r="AB619" i="1"/>
  <c r="AL619" i="1" s="1"/>
  <c r="AE605" i="1"/>
  <c r="AO605" i="1" s="1"/>
  <c r="AD605" i="1"/>
  <c r="AN605" i="1" s="1"/>
  <c r="AG605" i="1"/>
  <c r="AQ605" i="1" s="1"/>
  <c r="AF664" i="1"/>
  <c r="AP664" i="1" s="1"/>
  <c r="AG664" i="1"/>
  <c r="AQ664" i="1" s="1"/>
  <c r="AG411" i="1"/>
  <c r="AQ411" i="1" s="1"/>
  <c r="BB411" i="1" s="1"/>
  <c r="BC411" i="1" s="1"/>
  <c r="AS411" i="1"/>
  <c r="AX411" i="1" s="1"/>
  <c r="AG559" i="1"/>
  <c r="AQ559" i="1" s="1"/>
  <c r="AA559" i="1"/>
  <c r="AK559" i="1" s="1"/>
  <c r="AU370" i="1"/>
  <c r="AV370" i="1" s="1"/>
  <c r="AW370" i="1" s="1"/>
  <c r="AE108" i="1"/>
  <c r="AO108" i="1" s="1"/>
  <c r="AD108" i="1"/>
  <c r="AN108" i="1" s="1"/>
  <c r="AU201" i="1"/>
  <c r="AV201" i="1" s="1"/>
  <c r="AW201" i="1" s="1"/>
  <c r="AS366" i="1"/>
  <c r="AL449" i="1"/>
  <c r="AU533" i="1"/>
  <c r="AV533" i="1" s="1"/>
  <c r="AW533" i="1" s="1"/>
  <c r="AA252" i="1"/>
  <c r="AK252" i="1" s="1"/>
  <c r="AB252" i="1"/>
  <c r="AL252" i="1" s="1"/>
  <c r="AE252" i="1"/>
  <c r="AO252" i="1" s="1"/>
  <c r="AK433" i="1"/>
  <c r="AK151" i="1"/>
  <c r="AU637" i="1"/>
  <c r="AV637" i="1" s="1"/>
  <c r="AW637" i="1" s="1"/>
  <c r="AE662" i="1"/>
  <c r="AO662" i="1" s="1"/>
  <c r="AB662" i="1"/>
  <c r="AL662" i="1" s="1"/>
  <c r="AG662" i="1"/>
  <c r="AQ662" i="1" s="1"/>
  <c r="AS551" i="1"/>
  <c r="AX551" i="1" s="1"/>
  <c r="AD551" i="1"/>
  <c r="AN551" i="1" s="1"/>
  <c r="AG517" i="1"/>
  <c r="AQ517" i="1" s="1"/>
  <c r="AF517" i="1"/>
  <c r="AP517" i="1" s="1"/>
  <c r="AE517" i="1"/>
  <c r="AO517" i="1" s="1"/>
  <c r="AE569" i="1"/>
  <c r="AO569" i="1" s="1"/>
  <c r="AG569" i="1"/>
  <c r="AQ569" i="1" s="1"/>
  <c r="AB569" i="1"/>
  <c r="AL569" i="1" s="1"/>
  <c r="AD569" i="1"/>
  <c r="AN569" i="1" s="1"/>
  <c r="AA614" i="1"/>
  <c r="AK614" i="1" s="1"/>
  <c r="AE614" i="1"/>
  <c r="AO614" i="1" s="1"/>
  <c r="AL646" i="1"/>
  <c r="AS503" i="1"/>
  <c r="AE645" i="1"/>
  <c r="AO645" i="1" s="1"/>
  <c r="AB645" i="1"/>
  <c r="AL645" i="1" s="1"/>
  <c r="AD645" i="1"/>
  <c r="AN645" i="1" s="1"/>
  <c r="AF645" i="1"/>
  <c r="AP645" i="1" s="1"/>
  <c r="AE375" i="1"/>
  <c r="AO375" i="1" s="1"/>
  <c r="AA375" i="1"/>
  <c r="AK375" i="1" s="1"/>
  <c r="AK522" i="1"/>
  <c r="AU271" i="1"/>
  <c r="AV271" i="1" s="1"/>
  <c r="AW271" i="1" s="1"/>
  <c r="AB269" i="1"/>
  <c r="AL269" i="1" s="1"/>
  <c r="AF269" i="1"/>
  <c r="AP269" i="1" s="1"/>
  <c r="AE269" i="1"/>
  <c r="AO269" i="1" s="1"/>
  <c r="AD311" i="1"/>
  <c r="AN311" i="1" s="1"/>
  <c r="AE311" i="1"/>
  <c r="AO311" i="1" s="1"/>
  <c r="AF311" i="1"/>
  <c r="AP311" i="1" s="1"/>
  <c r="AB311" i="1"/>
  <c r="AL311" i="1" s="1"/>
  <c r="AK222" i="1"/>
  <c r="AE204" i="1"/>
  <c r="AO204" i="1" s="1"/>
  <c r="AG204" i="1"/>
  <c r="AQ204" i="1" s="1"/>
  <c r="AD204" i="1"/>
  <c r="AN204" i="1" s="1"/>
  <c r="AA204" i="1"/>
  <c r="AK204" i="1" s="1"/>
  <c r="AL574" i="1"/>
  <c r="AF385" i="1"/>
  <c r="AP385" i="1" s="1"/>
  <c r="AB385" i="1"/>
  <c r="AL385" i="1" s="1"/>
  <c r="AG385" i="1"/>
  <c r="AQ385" i="1" s="1"/>
  <c r="AA385" i="1"/>
  <c r="AK385" i="1" s="1"/>
  <c r="AE385" i="1"/>
  <c r="AO385" i="1" s="1"/>
  <c r="AE318" i="1"/>
  <c r="AO318" i="1" s="1"/>
  <c r="AB318" i="1"/>
  <c r="AL318" i="1" s="1"/>
  <c r="AD318" i="1"/>
  <c r="AN318" i="1" s="1"/>
  <c r="AA318" i="1"/>
  <c r="AK318" i="1" s="1"/>
  <c r="AL413" i="1"/>
  <c r="AU231" i="1"/>
  <c r="AV231" i="1" s="1"/>
  <c r="AW231" i="1" s="1"/>
  <c r="AA196" i="1"/>
  <c r="AK196" i="1" s="1"/>
  <c r="AE196" i="1"/>
  <c r="AO196" i="1" s="1"/>
  <c r="AB196" i="1"/>
  <c r="AL196" i="1" s="1"/>
  <c r="AE127" i="1"/>
  <c r="AO127" i="1" s="1"/>
  <c r="AG127" i="1"/>
  <c r="AQ127" i="1" s="1"/>
  <c r="AS312" i="1"/>
  <c r="AT312" i="1" s="1"/>
  <c r="AU312" i="1" s="1"/>
  <c r="AV312" i="1" s="1"/>
  <c r="AW312" i="1" s="1"/>
  <c r="AE423" i="1"/>
  <c r="AO423" i="1" s="1"/>
  <c r="AB423" i="1"/>
  <c r="AL423" i="1" s="1"/>
  <c r="AG423" i="1"/>
  <c r="AQ423" i="1" s="1"/>
  <c r="AS375" i="1"/>
  <c r="AT375" i="1" s="1"/>
  <c r="AU375" i="1" s="1"/>
  <c r="AV375" i="1" s="1"/>
  <c r="AW375" i="1" s="1"/>
  <c r="AD320" i="1"/>
  <c r="AN320" i="1" s="1"/>
  <c r="BB320" i="1" s="1"/>
  <c r="BC320" i="1" s="1"/>
  <c r="BD320" i="1" s="1"/>
  <c r="BE320" i="1" s="1"/>
  <c r="BF320" i="1" s="1"/>
  <c r="AL303" i="1"/>
  <c r="AE147" i="1"/>
  <c r="AO147" i="1" s="1"/>
  <c r="AF147" i="1"/>
  <c r="AP147" i="1" s="1"/>
  <c r="AD208" i="1"/>
  <c r="AN208" i="1" s="1"/>
  <c r="AG208" i="1"/>
  <c r="AQ208" i="1" s="1"/>
  <c r="AF208" i="1"/>
  <c r="AP208" i="1" s="1"/>
  <c r="AE86" i="1"/>
  <c r="AO86" i="1" s="1"/>
  <c r="AG86" i="1"/>
  <c r="AQ86" i="1" s="1"/>
  <c r="AB86" i="1"/>
  <c r="AL86" i="1" s="1"/>
  <c r="AF86" i="1"/>
  <c r="AP86" i="1" s="1"/>
  <c r="AF296" i="1"/>
  <c r="AP296" i="1" s="1"/>
  <c r="AD296" i="1"/>
  <c r="AN296" i="1" s="1"/>
  <c r="AB354" i="1"/>
  <c r="AL354" i="1" s="1"/>
  <c r="AG354" i="1"/>
  <c r="AQ354" i="1" s="1"/>
  <c r="AD354" i="1"/>
  <c r="AN354" i="1" s="1"/>
  <c r="AA447" i="1"/>
  <c r="AK447" i="1" s="1"/>
  <c r="AE447" i="1"/>
  <c r="AO447" i="1" s="1"/>
  <c r="AG447" i="1"/>
  <c r="AQ447" i="1" s="1"/>
  <c r="AF293" i="1"/>
  <c r="AP293" i="1" s="1"/>
  <c r="AA293" i="1"/>
  <c r="AK293" i="1" s="1"/>
  <c r="AE293" i="1"/>
  <c r="AO293" i="1" s="1"/>
  <c r="AS373" i="1"/>
  <c r="AT373" i="1" s="1"/>
  <c r="AU373" i="1" s="1"/>
  <c r="AV373" i="1" s="1"/>
  <c r="AW373" i="1" s="1"/>
  <c r="AE226" i="1"/>
  <c r="AO226" i="1" s="1"/>
  <c r="AD226" i="1"/>
  <c r="AN226" i="1" s="1"/>
  <c r="BB226" i="1" s="1"/>
  <c r="BC226" i="1" s="1"/>
  <c r="AE300" i="1"/>
  <c r="AO300" i="1" s="1"/>
  <c r="AA300" i="1"/>
  <c r="AK300" i="1" s="1"/>
  <c r="AE231" i="1"/>
  <c r="AO231" i="1" s="1"/>
  <c r="AD231" i="1"/>
  <c r="AN231" i="1" s="1"/>
  <c r="AE132" i="1"/>
  <c r="AO132" i="1" s="1"/>
  <c r="AB132" i="1"/>
  <c r="AL132" i="1" s="1"/>
  <c r="AG132" i="1"/>
  <c r="AQ132" i="1" s="1"/>
  <c r="AS269" i="1"/>
  <c r="AE189" i="1"/>
  <c r="AO189" i="1" s="1"/>
  <c r="AG189" i="1"/>
  <c r="AQ189" i="1" s="1"/>
  <c r="AD189" i="1"/>
  <c r="AN189" i="1" s="1"/>
  <c r="AE139" i="1"/>
  <c r="AO139" i="1" s="1"/>
  <c r="AD139" i="1"/>
  <c r="AN139" i="1" s="1"/>
  <c r="AE153" i="1"/>
  <c r="AO153" i="1" s="1"/>
  <c r="AG153" i="1"/>
  <c r="AQ153" i="1" s="1"/>
  <c r="AF153" i="1"/>
  <c r="AP153" i="1" s="1"/>
  <c r="AF148" i="1"/>
  <c r="AP148" i="1" s="1"/>
  <c r="AE149" i="1"/>
  <c r="AO149" i="1" s="1"/>
  <c r="AF149" i="1"/>
  <c r="AP149" i="1" s="1"/>
  <c r="AA149" i="1"/>
  <c r="AK149" i="1" s="1"/>
  <c r="AA83" i="1"/>
  <c r="AK83" i="1" s="1"/>
  <c r="AF83" i="1"/>
  <c r="AP83" i="1" s="1"/>
  <c r="AD83" i="1"/>
  <c r="AN83" i="1" s="1"/>
  <c r="AA110" i="1"/>
  <c r="AK110" i="1" s="1"/>
  <c r="AE110" i="1"/>
  <c r="AO110" i="1" s="1"/>
  <c r="AE228" i="1"/>
  <c r="AO228" i="1" s="1"/>
  <c r="AG228" i="1"/>
  <c r="AQ228" i="1" s="1"/>
  <c r="AA228" i="1"/>
  <c r="AK228" i="1" s="1"/>
  <c r="AF228" i="1"/>
  <c r="AP228" i="1" s="1"/>
  <c r="AE105" i="1"/>
  <c r="AO105" i="1" s="1"/>
  <c r="AB105" i="1"/>
  <c r="AL105" i="1" s="1"/>
  <c r="AF105" i="1"/>
  <c r="AP105" i="1" s="1"/>
  <c r="AD105" i="1"/>
  <c r="AN105" i="1" s="1"/>
  <c r="AS358" i="1"/>
  <c r="AX358" i="1" s="1"/>
  <c r="AE197" i="1"/>
  <c r="AO197" i="1" s="1"/>
  <c r="AG197" i="1"/>
  <c r="AQ197" i="1" s="1"/>
  <c r="BB197" i="1" s="1"/>
  <c r="BC197" i="1" s="1"/>
  <c r="AB197" i="1"/>
  <c r="AL197" i="1" s="1"/>
  <c r="AS75" i="1"/>
  <c r="AT75" i="1" s="1"/>
  <c r="AU75" i="1" s="1"/>
  <c r="AV75" i="1" s="1"/>
  <c r="AW75" i="1" s="1"/>
  <c r="AD75" i="1"/>
  <c r="AN75" i="1" s="1"/>
  <c r="AV105" i="1"/>
  <c r="AW105" i="1" s="1"/>
  <c r="AE164" i="1"/>
  <c r="AO164" i="1" s="1"/>
  <c r="AA164" i="1"/>
  <c r="AK164" i="1" s="1"/>
  <c r="AB164" i="1"/>
  <c r="AL164" i="1" s="1"/>
  <c r="AF164" i="1"/>
  <c r="AP164" i="1" s="1"/>
  <c r="AD164" i="1"/>
  <c r="AN164" i="1" s="1"/>
  <c r="AD220" i="1"/>
  <c r="AN220" i="1" s="1"/>
  <c r="AB220" i="1"/>
  <c r="AL220" i="1" s="1"/>
  <c r="AE220" i="1"/>
  <c r="AO220" i="1" s="1"/>
  <c r="AG220" i="1"/>
  <c r="AQ220" i="1" s="1"/>
  <c r="AE235" i="1"/>
  <c r="AO235" i="1" s="1"/>
  <c r="AF235" i="1"/>
  <c r="AP235" i="1" s="1"/>
  <c r="AG235" i="1"/>
  <c r="AQ235" i="1" s="1"/>
  <c r="AA235" i="1"/>
  <c r="AK235" i="1" s="1"/>
  <c r="AB235" i="1"/>
  <c r="AL235" i="1" s="1"/>
  <c r="AB179" i="1"/>
  <c r="AL179" i="1" s="1"/>
  <c r="AA179" i="1"/>
  <c r="AK179" i="1" s="1"/>
  <c r="AG179" i="1"/>
  <c r="AQ179" i="1" s="1"/>
  <c r="AE158" i="1"/>
  <c r="AO158" i="1" s="1"/>
  <c r="AB158" i="1"/>
  <c r="AL158" i="1" s="1"/>
  <c r="AA158" i="1"/>
  <c r="AK158" i="1" s="1"/>
  <c r="AG158" i="1"/>
  <c r="AQ158" i="1" s="1"/>
  <c r="AD158" i="1"/>
  <c r="AN158" i="1" s="1"/>
  <c r="AL115" i="1"/>
  <c r="AS83" i="1"/>
  <c r="AT83" i="1" s="1"/>
  <c r="AU83" i="1" s="1"/>
  <c r="AV83" i="1" s="1"/>
  <c r="AW83" i="1" s="1"/>
  <c r="AU616" i="1"/>
  <c r="AV616" i="1" s="1"/>
  <c r="AW616" i="1" s="1"/>
  <c r="AA87" i="1"/>
  <c r="AK87" i="1" s="1"/>
  <c r="AE87" i="1"/>
  <c r="AO87" i="1" s="1"/>
  <c r="AD87" i="1"/>
  <c r="AN87" i="1" s="1"/>
  <c r="BB87" i="1" s="1"/>
  <c r="BC87" i="1" s="1"/>
  <c r="AB87" i="1"/>
  <c r="AL87" i="1" s="1"/>
  <c r="AE656" i="1"/>
  <c r="AO656" i="1" s="1"/>
  <c r="AF656" i="1"/>
  <c r="AP656" i="1" s="1"/>
  <c r="AB656" i="1"/>
  <c r="AL656" i="1" s="1"/>
  <c r="AA97" i="1"/>
  <c r="AK97" i="1" s="1"/>
  <c r="AE97" i="1"/>
  <c r="AO97" i="1" s="1"/>
  <c r="AG97" i="1"/>
  <c r="AQ97" i="1" s="1"/>
  <c r="AB79" i="1"/>
  <c r="AL79" i="1" s="1"/>
  <c r="AD79" i="1"/>
  <c r="AN79" i="1" s="1"/>
  <c r="AA79" i="1"/>
  <c r="AK79" i="1" s="1"/>
  <c r="AG79" i="1"/>
  <c r="AQ79" i="1" s="1"/>
  <c r="AE357" i="1"/>
  <c r="AO357" i="1" s="1"/>
  <c r="AD357" i="1"/>
  <c r="AN357" i="1" s="1"/>
  <c r="AS413" i="1"/>
  <c r="AT413" i="1" s="1"/>
  <c r="AU413" i="1" s="1"/>
  <c r="AV413" i="1" s="1"/>
  <c r="AW413" i="1" s="1"/>
  <c r="AE660" i="1"/>
  <c r="AO660" i="1" s="1"/>
  <c r="AB660" i="1"/>
  <c r="AL660" i="1" s="1"/>
  <c r="AS520" i="1"/>
  <c r="AX520" i="1" s="1"/>
  <c r="AA370" i="1"/>
  <c r="AK370" i="1" s="1"/>
  <c r="AA464" i="1"/>
  <c r="AK464" i="1" s="1"/>
  <c r="AS470" i="1"/>
  <c r="AX470" i="1" s="1"/>
  <c r="AB390" i="1"/>
  <c r="AL390" i="1" s="1"/>
  <c r="AF390" i="1"/>
  <c r="AP390" i="1" s="1"/>
  <c r="AA353" i="1"/>
  <c r="AK353" i="1" s="1"/>
  <c r="AX210" i="1"/>
  <c r="AU568" i="1"/>
  <c r="AV568" i="1" s="1"/>
  <c r="AW568" i="1" s="1"/>
  <c r="AS483" i="1"/>
  <c r="AT483" i="1" s="1"/>
  <c r="AU483" i="1" s="1"/>
  <c r="AV483" i="1" s="1"/>
  <c r="AW483" i="1" s="1"/>
  <c r="AE348" i="1"/>
  <c r="AO348" i="1" s="1"/>
  <c r="AA348" i="1"/>
  <c r="AK348" i="1" s="1"/>
  <c r="AG348" i="1"/>
  <c r="AQ348" i="1" s="1"/>
  <c r="AG630" i="1"/>
  <c r="AQ630" i="1" s="1"/>
  <c r="AE607" i="1"/>
  <c r="AO607" i="1" s="1"/>
  <c r="AB607" i="1"/>
  <c r="AL607" i="1" s="1"/>
  <c r="AS319" i="1"/>
  <c r="AT319" i="1" s="1"/>
  <c r="AU319" i="1" s="1"/>
  <c r="AV319" i="1" s="1"/>
  <c r="AW319" i="1" s="1"/>
  <c r="AS659" i="1"/>
  <c r="AT659" i="1" s="1"/>
  <c r="AU659" i="1" s="1"/>
  <c r="AV659" i="1" s="1"/>
  <c r="AW659" i="1" s="1"/>
  <c r="AD659" i="1"/>
  <c r="AN659" i="1" s="1"/>
  <c r="BB659" i="1" s="1"/>
  <c r="AD377" i="1"/>
  <c r="AN377" i="1" s="1"/>
  <c r="AF468" i="1"/>
  <c r="AP468" i="1" s="1"/>
  <c r="AL409" i="1"/>
  <c r="AD487" i="1"/>
  <c r="AN487" i="1" s="1"/>
  <c r="BB487" i="1" s="1"/>
  <c r="BC487" i="1" s="1"/>
  <c r="AB447" i="1"/>
  <c r="AL447" i="1" s="1"/>
  <c r="AF97" i="1"/>
  <c r="AP97" i="1" s="1"/>
  <c r="AD292" i="1"/>
  <c r="AN292" i="1" s="1"/>
  <c r="AB572" i="1"/>
  <c r="AL572" i="1" s="1"/>
  <c r="AA563" i="1"/>
  <c r="AK563" i="1" s="1"/>
  <c r="AF398" i="1"/>
  <c r="AP398" i="1" s="1"/>
  <c r="AF599" i="1"/>
  <c r="AP599" i="1" s="1"/>
  <c r="AE176" i="1"/>
  <c r="AO176" i="1" s="1"/>
  <c r="AE438" i="1"/>
  <c r="AO438" i="1" s="1"/>
  <c r="AF144" i="1"/>
  <c r="AP144" i="1" s="1"/>
  <c r="AE296" i="1"/>
  <c r="AO296" i="1" s="1"/>
  <c r="AD516" i="1"/>
  <c r="AN516" i="1" s="1"/>
  <c r="AE657" i="1"/>
  <c r="AO657" i="1" s="1"/>
  <c r="AD613" i="1"/>
  <c r="AN613" i="1" s="1"/>
  <c r="AF444" i="1"/>
  <c r="AP444" i="1" s="1"/>
  <c r="AE593" i="1"/>
  <c r="AO593" i="1" s="1"/>
  <c r="AD594" i="1"/>
  <c r="AN594" i="1" s="1"/>
  <c r="AD625" i="1"/>
  <c r="AN625" i="1" s="1"/>
  <c r="AA202" i="1"/>
  <c r="AK202" i="1" s="1"/>
  <c r="AG497" i="1"/>
  <c r="AQ497" i="1" s="1"/>
  <c r="AD383" i="1"/>
  <c r="AN383" i="1" s="1"/>
  <c r="AA574" i="1"/>
  <c r="AK574" i="1" s="1"/>
  <c r="AA257" i="1"/>
  <c r="AK257" i="1" s="1"/>
  <c r="AG78" i="1"/>
  <c r="AQ78" i="1" s="1"/>
  <c r="AA129" i="1"/>
  <c r="AK129" i="1" s="1"/>
  <c r="AD230" i="1"/>
  <c r="AN230" i="1" s="1"/>
  <c r="AA656" i="1"/>
  <c r="AK656" i="1" s="1"/>
  <c r="AK351" i="1"/>
  <c r="AE366" i="1"/>
  <c r="AO366" i="1" s="1"/>
  <c r="AE173" i="1"/>
  <c r="AO173" i="1" s="1"/>
  <c r="AE570" i="1"/>
  <c r="AO570" i="1" s="1"/>
  <c r="AD148" i="1"/>
  <c r="AN148" i="1" s="1"/>
  <c r="BB148" i="1" s="1"/>
  <c r="BC148" i="1" s="1"/>
  <c r="AE285" i="1"/>
  <c r="AO285" i="1" s="1"/>
  <c r="AA531" i="1"/>
  <c r="AK531" i="1" s="1"/>
  <c r="AA596" i="1"/>
  <c r="AK596" i="1" s="1"/>
  <c r="AA189" i="1"/>
  <c r="AK189" i="1" s="1"/>
  <c r="AA617" i="1"/>
  <c r="AK617" i="1" s="1"/>
  <c r="AD147" i="1"/>
  <c r="AN147" i="1" s="1"/>
  <c r="AB313" i="1"/>
  <c r="AL313" i="1" s="1"/>
  <c r="AG552" i="1"/>
  <c r="AQ552" i="1" s="1"/>
  <c r="BB552" i="1" s="1"/>
  <c r="BC552" i="1" s="1"/>
  <c r="AD582" i="1"/>
  <c r="AN582" i="1" s="1"/>
  <c r="AS636" i="1"/>
  <c r="AF662" i="1"/>
  <c r="AP662" i="1" s="1"/>
  <c r="AE141" i="1"/>
  <c r="AO141" i="1" s="1"/>
  <c r="AD141" i="1"/>
  <c r="AN141" i="1" s="1"/>
  <c r="AE276" i="1"/>
  <c r="AO276" i="1" s="1"/>
  <c r="AS183" i="1"/>
  <c r="AT183" i="1" s="1"/>
  <c r="AU183" i="1" s="1"/>
  <c r="AV183" i="1" s="1"/>
  <c r="AW183" i="1" s="1"/>
  <c r="AA552" i="1"/>
  <c r="AK552" i="1" s="1"/>
  <c r="AD512" i="1"/>
  <c r="AN512" i="1" s="1"/>
  <c r="AE352" i="1"/>
  <c r="AO352" i="1" s="1"/>
  <c r="AE208" i="1"/>
  <c r="AO208" i="1" s="1"/>
  <c r="AD341" i="1"/>
  <c r="AN341" i="1" s="1"/>
  <c r="AD269" i="1"/>
  <c r="AN269" i="1" s="1"/>
  <c r="AD536" i="1"/>
  <c r="AN536" i="1" s="1"/>
  <c r="BB536" i="1" s="1"/>
  <c r="BC536" i="1" s="1"/>
  <c r="AA230" i="1"/>
  <c r="AK230" i="1" s="1"/>
  <c r="AD541" i="1"/>
  <c r="AN541" i="1" s="1"/>
  <c r="AD313" i="1"/>
  <c r="AN313" i="1" s="1"/>
  <c r="AK659" i="1"/>
  <c r="AA546" i="1"/>
  <c r="AK546" i="1" s="1"/>
  <c r="AF536" i="1"/>
  <c r="AP536" i="1" s="1"/>
  <c r="AA198" i="1"/>
  <c r="AK198" i="1" s="1"/>
  <c r="AS459" i="1"/>
  <c r="AT459" i="1" s="1"/>
  <c r="AU459" i="1" s="1"/>
  <c r="AV459" i="1" s="1"/>
  <c r="AW459" i="1" s="1"/>
  <c r="AG293" i="1"/>
  <c r="AQ293" i="1" s="1"/>
  <c r="AG139" i="1"/>
  <c r="AQ139" i="1" s="1"/>
  <c r="AF266" i="1"/>
  <c r="AP266" i="1" s="1"/>
  <c r="AF395" i="1"/>
  <c r="AP395" i="1" s="1"/>
  <c r="AL121" i="1"/>
  <c r="AE210" i="1"/>
  <c r="AO210" i="1" s="1"/>
  <c r="AG375" i="1"/>
  <c r="AQ375" i="1" s="1"/>
  <c r="AE255" i="1"/>
  <c r="AO255" i="1" s="1"/>
  <c r="AD602" i="1"/>
  <c r="AN602" i="1" s="1"/>
  <c r="BB602" i="1" s="1"/>
  <c r="AK328" i="1"/>
  <c r="AG167" i="1"/>
  <c r="AQ167" i="1" s="1"/>
  <c r="BB167" i="1" s="1"/>
  <c r="BC167" i="1" s="1"/>
  <c r="AL437" i="1"/>
  <c r="AE295" i="1"/>
  <c r="AO295" i="1" s="1"/>
  <c r="AA357" i="1"/>
  <c r="AK357" i="1" s="1"/>
  <c r="AF423" i="1"/>
  <c r="AP423" i="1" s="1"/>
  <c r="AD548" i="1"/>
  <c r="AN548" i="1" s="1"/>
  <c r="BB548" i="1" s="1"/>
  <c r="BC548" i="1" s="1"/>
  <c r="AG445" i="1"/>
  <c r="AQ445" i="1" s="1"/>
  <c r="AG320" i="1"/>
  <c r="AQ320" i="1" s="1"/>
  <c r="AB464" i="1"/>
  <c r="AL464" i="1" s="1"/>
  <c r="AG619" i="1"/>
  <c r="AQ619" i="1" s="1"/>
  <c r="AF379" i="1"/>
  <c r="AP379" i="1" s="1"/>
  <c r="AE221" i="1"/>
  <c r="AO221" i="1" s="1"/>
  <c r="AE167" i="1"/>
  <c r="AO167" i="1" s="1"/>
  <c r="AD434" i="1"/>
  <c r="AN434" i="1" s="1"/>
  <c r="BB434" i="1" s="1"/>
  <c r="AG182" i="1"/>
  <c r="AQ182" i="1" s="1"/>
  <c r="AB231" i="1"/>
  <c r="AL231" i="1" s="1"/>
  <c r="AD557" i="1"/>
  <c r="AN557" i="1" s="1"/>
  <c r="AB148" i="1"/>
  <c r="AL148" i="1" s="1"/>
  <c r="AG300" i="1"/>
  <c r="AQ300" i="1" s="1"/>
  <c r="AD507" i="1"/>
  <c r="AN507" i="1" s="1"/>
  <c r="AE119" i="1"/>
  <c r="AO119" i="1" s="1"/>
  <c r="AG231" i="1"/>
  <c r="AQ231" i="1" s="1"/>
  <c r="BB231" i="1" s="1"/>
  <c r="BC231" i="1" s="1"/>
  <c r="BD231" i="1" s="1"/>
  <c r="BE231" i="1" s="1"/>
  <c r="BF231" i="1" s="1"/>
  <c r="AG318" i="1"/>
  <c r="AQ318" i="1" s="1"/>
  <c r="AF191" i="1"/>
  <c r="AP191" i="1" s="1"/>
  <c r="AA218" i="1"/>
  <c r="AK218" i="1" s="1"/>
  <c r="AG269" i="1"/>
  <c r="AQ269" i="1" s="1"/>
  <c r="AG311" i="1"/>
  <c r="AQ311" i="1" s="1"/>
  <c r="AU91" i="1"/>
  <c r="AV91" i="1" s="1"/>
  <c r="AW91" i="1" s="1"/>
  <c r="AF110" i="1"/>
  <c r="AP110" i="1" s="1"/>
  <c r="AX163" i="1"/>
  <c r="AA299" i="1"/>
  <c r="AK299" i="1" s="1"/>
  <c r="AA127" i="1"/>
  <c r="AK127" i="1" s="1"/>
  <c r="AG215" i="1"/>
  <c r="AQ215" i="1" s="1"/>
  <c r="AF592" i="1"/>
  <c r="AP592" i="1" s="1"/>
  <c r="AD592" i="1"/>
  <c r="AN592" i="1" s="1"/>
  <c r="AB513" i="1"/>
  <c r="AL513" i="1" s="1"/>
  <c r="AG513" i="1"/>
  <c r="AQ513" i="1" s="1"/>
  <c r="AF630" i="1"/>
  <c r="AP630" i="1" s="1"/>
  <c r="AD630" i="1"/>
  <c r="AN630" i="1" s="1"/>
  <c r="AF496" i="1"/>
  <c r="AP496" i="1" s="1"/>
  <c r="AA496" i="1"/>
  <c r="AK496" i="1" s="1"/>
  <c r="AB277" i="1"/>
  <c r="AL277" i="1" s="1"/>
  <c r="AE277" i="1"/>
  <c r="AO277" i="1" s="1"/>
  <c r="AE267" i="1"/>
  <c r="AO267" i="1" s="1"/>
  <c r="AF267" i="1"/>
  <c r="AP267" i="1" s="1"/>
  <c r="AE637" i="1"/>
  <c r="AO637" i="1" s="1"/>
  <c r="AG637" i="1"/>
  <c r="AQ637" i="1" s="1"/>
  <c r="BB637" i="1" s="1"/>
  <c r="BC637" i="1" s="1"/>
  <c r="AE501" i="1"/>
  <c r="AO501" i="1" s="1"/>
  <c r="AA501" i="1"/>
  <c r="AK501" i="1" s="1"/>
  <c r="AE325" i="1"/>
  <c r="AO325" i="1" s="1"/>
  <c r="AG325" i="1"/>
  <c r="AQ325" i="1" s="1"/>
  <c r="AE640" i="1"/>
  <c r="AO640" i="1" s="1"/>
  <c r="AA640" i="1"/>
  <c r="AK640" i="1" s="1"/>
  <c r="AG422" i="1"/>
  <c r="AQ422" i="1" s="1"/>
  <c r="AA422" i="1"/>
  <c r="AK422" i="1" s="1"/>
  <c r="AD422" i="1"/>
  <c r="AN422" i="1" s="1"/>
  <c r="AE418" i="1"/>
  <c r="AO418" i="1" s="1"/>
  <c r="AA418" i="1"/>
  <c r="AK418" i="1" s="1"/>
  <c r="AF332" i="1"/>
  <c r="AP332" i="1" s="1"/>
  <c r="AE332" i="1"/>
  <c r="AO332" i="1" s="1"/>
  <c r="AD332" i="1"/>
  <c r="AN332" i="1" s="1"/>
  <c r="BB332" i="1" s="1"/>
  <c r="BC332" i="1" s="1"/>
  <c r="AB332" i="1"/>
  <c r="AL332" i="1" s="1"/>
  <c r="AE435" i="1"/>
  <c r="AO435" i="1" s="1"/>
  <c r="AF435" i="1"/>
  <c r="AP435" i="1" s="1"/>
  <c r="AA435" i="1"/>
  <c r="AK435" i="1" s="1"/>
  <c r="AB435" i="1"/>
  <c r="AL435" i="1" s="1"/>
  <c r="AD590" i="1"/>
  <c r="AN590" i="1" s="1"/>
  <c r="AE590" i="1"/>
  <c r="AO590" i="1" s="1"/>
  <c r="AG590" i="1"/>
  <c r="AQ590" i="1" s="1"/>
  <c r="AG259" i="1"/>
  <c r="AQ259" i="1" s="1"/>
  <c r="AB259" i="1"/>
  <c r="AL259" i="1" s="1"/>
  <c r="AD259" i="1"/>
  <c r="AN259" i="1" s="1"/>
  <c r="AE259" i="1"/>
  <c r="AO259" i="1" s="1"/>
  <c r="AF259" i="1"/>
  <c r="AP259" i="1" s="1"/>
  <c r="AF562" i="1"/>
  <c r="AP562" i="1" s="1"/>
  <c r="AA562" i="1"/>
  <c r="AK562" i="1" s="1"/>
  <c r="AE617" i="1"/>
  <c r="AO617" i="1" s="1"/>
  <c r="AB617" i="1"/>
  <c r="AL617" i="1" s="1"/>
  <c r="AD599" i="1"/>
  <c r="AN599" i="1" s="1"/>
  <c r="AG599" i="1"/>
  <c r="AQ599" i="1" s="1"/>
  <c r="AF452" i="1"/>
  <c r="AP452" i="1" s="1"/>
  <c r="AE452" i="1"/>
  <c r="AO452" i="1" s="1"/>
  <c r="AG452" i="1"/>
  <c r="AQ452" i="1" s="1"/>
  <c r="BB452" i="1" s="1"/>
  <c r="AK436" i="1"/>
  <c r="AE286" i="1"/>
  <c r="AO286" i="1" s="1"/>
  <c r="AA286" i="1"/>
  <c r="AK286" i="1" s="1"/>
  <c r="AF527" i="1"/>
  <c r="AP527" i="1" s="1"/>
  <c r="AG527" i="1"/>
  <c r="AQ527" i="1" s="1"/>
  <c r="AE642" i="1"/>
  <c r="AO642" i="1" s="1"/>
  <c r="AB642" i="1"/>
  <c r="AL642" i="1" s="1"/>
  <c r="AD642" i="1"/>
  <c r="AN642" i="1" s="1"/>
  <c r="AE345" i="1"/>
  <c r="AO345" i="1" s="1"/>
  <c r="AA345" i="1"/>
  <c r="AK345" i="1" s="1"/>
  <c r="AG616" i="1"/>
  <c r="AQ616" i="1" s="1"/>
  <c r="BB616" i="1" s="1"/>
  <c r="BC616" i="1" s="1"/>
  <c r="AB616" i="1"/>
  <c r="AL616" i="1" s="1"/>
  <c r="AD616" i="1"/>
  <c r="AN616" i="1" s="1"/>
  <c r="AA616" i="1"/>
  <c r="AK616" i="1" s="1"/>
  <c r="AE616" i="1"/>
  <c r="AO616" i="1" s="1"/>
  <c r="AG593" i="1"/>
  <c r="AQ593" i="1" s="1"/>
  <c r="BB593" i="1" s="1"/>
  <c r="BC593" i="1" s="1"/>
  <c r="AA593" i="1"/>
  <c r="AK593" i="1" s="1"/>
  <c r="AB428" i="1"/>
  <c r="AL428" i="1" s="1"/>
  <c r="AG428" i="1"/>
  <c r="AQ428" i="1" s="1"/>
  <c r="AD428" i="1"/>
  <c r="AN428" i="1" s="1"/>
  <c r="AF491" i="1"/>
  <c r="AP491" i="1" s="1"/>
  <c r="AA491" i="1"/>
  <c r="AK491" i="1" s="1"/>
  <c r="AD491" i="1"/>
  <c r="AN491" i="1" s="1"/>
  <c r="AA649" i="1"/>
  <c r="AK649" i="1" s="1"/>
  <c r="AF649" i="1"/>
  <c r="AP649" i="1" s="1"/>
  <c r="AE654" i="1"/>
  <c r="AO654" i="1" s="1"/>
  <c r="AB654" i="1"/>
  <c r="AL654" i="1" s="1"/>
  <c r="AE457" i="1"/>
  <c r="AO457" i="1" s="1"/>
  <c r="AF457" i="1"/>
  <c r="AP457" i="1" s="1"/>
  <c r="AG457" i="1"/>
  <c r="AQ457" i="1" s="1"/>
  <c r="AE109" i="1"/>
  <c r="AO109" i="1" s="1"/>
  <c r="AA109" i="1"/>
  <c r="AK109" i="1" s="1"/>
  <c r="AD109" i="1"/>
  <c r="AN109" i="1" s="1"/>
  <c r="AG109" i="1"/>
  <c r="AQ109" i="1" s="1"/>
  <c r="AF109" i="1"/>
  <c r="AP109" i="1" s="1"/>
  <c r="AE475" i="1"/>
  <c r="AO475" i="1" s="1"/>
  <c r="AD475" i="1"/>
  <c r="AN475" i="1" s="1"/>
  <c r="AG475" i="1"/>
  <c r="AQ475" i="1" s="1"/>
  <c r="AB475" i="1"/>
  <c r="AL475" i="1" s="1"/>
  <c r="AA475" i="1"/>
  <c r="AK475" i="1" s="1"/>
  <c r="AE393" i="1"/>
  <c r="AO393" i="1" s="1"/>
  <c r="AF393" i="1"/>
  <c r="AP393" i="1" s="1"/>
  <c r="AS543" i="1"/>
  <c r="AT543" i="1" s="1"/>
  <c r="AU543" i="1" s="1"/>
  <c r="AV543" i="1" s="1"/>
  <c r="AW543" i="1" s="1"/>
  <c r="AE606" i="1"/>
  <c r="AO606" i="1" s="1"/>
  <c r="AF606" i="1"/>
  <c r="AP606" i="1" s="1"/>
  <c r="AB606" i="1"/>
  <c r="AL606" i="1" s="1"/>
  <c r="AE370" i="1"/>
  <c r="AO370" i="1" s="1"/>
  <c r="AD370" i="1"/>
  <c r="AN370" i="1" s="1"/>
  <c r="BB370" i="1" s="1"/>
  <c r="BC370" i="1" s="1"/>
  <c r="AD550" i="1"/>
  <c r="AN550" i="1" s="1"/>
  <c r="AF550" i="1"/>
  <c r="AP550" i="1" s="1"/>
  <c r="AA550" i="1"/>
  <c r="AK550" i="1" s="1"/>
  <c r="AG550" i="1"/>
  <c r="AQ550" i="1" s="1"/>
  <c r="AB550" i="1"/>
  <c r="AL550" i="1" s="1"/>
  <c r="AU235" i="1"/>
  <c r="AV235" i="1" s="1"/>
  <c r="AW235" i="1" s="1"/>
  <c r="AE96" i="1"/>
  <c r="AO96" i="1" s="1"/>
  <c r="AG96" i="1"/>
  <c r="AQ96" i="1" s="1"/>
  <c r="AF96" i="1"/>
  <c r="AP96" i="1" s="1"/>
  <c r="AE131" i="1"/>
  <c r="AO131" i="1" s="1"/>
  <c r="AA131" i="1"/>
  <c r="AK131" i="1" s="1"/>
  <c r="AB131" i="1"/>
  <c r="AL131" i="1" s="1"/>
  <c r="AG131" i="1"/>
  <c r="AQ131" i="1" s="1"/>
  <c r="BB131" i="1" s="1"/>
  <c r="BC131" i="1" s="1"/>
  <c r="AG508" i="1"/>
  <c r="AQ508" i="1" s="1"/>
  <c r="BB508" i="1" s="1"/>
  <c r="BC508" i="1" s="1"/>
  <c r="AE508" i="1"/>
  <c r="AO508" i="1" s="1"/>
  <c r="AF508" i="1"/>
  <c r="AP508" i="1" s="1"/>
  <c r="AX291" i="1"/>
  <c r="AS605" i="1"/>
  <c r="AX539" i="1"/>
  <c r="AE260" i="1"/>
  <c r="AO260" i="1" s="1"/>
  <c r="AG260" i="1"/>
  <c r="AQ260" i="1" s="1"/>
  <c r="AB403" i="1"/>
  <c r="AL403" i="1" s="1"/>
  <c r="AA403" i="1"/>
  <c r="AK403" i="1" s="1"/>
  <c r="AD188" i="1"/>
  <c r="AN188" i="1" s="1"/>
  <c r="AE188" i="1"/>
  <c r="AO188" i="1" s="1"/>
  <c r="AD274" i="1"/>
  <c r="AN274" i="1" s="1"/>
  <c r="AS274" i="1"/>
  <c r="AG258" i="1"/>
  <c r="AQ258" i="1" s="1"/>
  <c r="AA258" i="1"/>
  <c r="AK258" i="1" s="1"/>
  <c r="AE258" i="1"/>
  <c r="AO258" i="1" s="1"/>
  <c r="AX234" i="1"/>
  <c r="AE193" i="1"/>
  <c r="AO193" i="1" s="1"/>
  <c r="AA193" i="1"/>
  <c r="AK193" i="1" s="1"/>
  <c r="AF193" i="1"/>
  <c r="AP193" i="1" s="1"/>
  <c r="AE175" i="1"/>
  <c r="AO175" i="1" s="1"/>
  <c r="AA175" i="1"/>
  <c r="AK175" i="1" s="1"/>
  <c r="AS247" i="1"/>
  <c r="AD247" i="1"/>
  <c r="AN247" i="1" s="1"/>
  <c r="AE82" i="1"/>
  <c r="AO82" i="1" s="1"/>
  <c r="AD82" i="1"/>
  <c r="AN82" i="1" s="1"/>
  <c r="AG82" i="1"/>
  <c r="AQ82" i="1" s="1"/>
  <c r="AE122" i="1"/>
  <c r="AO122" i="1" s="1"/>
  <c r="AF122" i="1"/>
  <c r="AP122" i="1" s="1"/>
  <c r="AA106" i="1"/>
  <c r="AK106" i="1" s="1"/>
  <c r="AE106" i="1"/>
  <c r="AO106" i="1" s="1"/>
  <c r="AG106" i="1"/>
  <c r="AQ106" i="1" s="1"/>
  <c r="AE101" i="1"/>
  <c r="AO101" i="1" s="1"/>
  <c r="AB101" i="1"/>
  <c r="AL101" i="1" s="1"/>
  <c r="AG101" i="1"/>
  <c r="AQ101" i="1" s="1"/>
  <c r="AA101" i="1"/>
  <c r="AK101" i="1" s="1"/>
  <c r="AF101" i="1"/>
  <c r="AP101" i="1" s="1"/>
  <c r="AD101" i="1"/>
  <c r="AN101" i="1" s="1"/>
  <c r="AK173" i="1"/>
  <c r="AD186" i="1"/>
  <c r="AN186" i="1" s="1"/>
  <c r="AS124" i="1"/>
  <c r="AT124" i="1" s="1"/>
  <c r="AU124" i="1" s="1"/>
  <c r="AV124" i="1" s="1"/>
  <c r="AW124" i="1" s="1"/>
  <c r="AD124" i="1"/>
  <c r="AN124" i="1" s="1"/>
  <c r="BB124" i="1" s="1"/>
  <c r="BC124" i="1" s="1"/>
  <c r="AF632" i="1"/>
  <c r="AP632" i="1" s="1"/>
  <c r="AV652" i="1"/>
  <c r="AW652" i="1" s="1"/>
  <c r="AX104" i="1"/>
  <c r="AE73" i="1"/>
  <c r="AO73" i="1" s="1"/>
  <c r="AG73" i="1"/>
  <c r="AQ73" i="1" s="1"/>
  <c r="AK141" i="1"/>
  <c r="AS322" i="1"/>
  <c r="AX455" i="1"/>
  <c r="AU444" i="1"/>
  <c r="AV444" i="1" s="1"/>
  <c r="AW444" i="1" s="1"/>
  <c r="AK409" i="1"/>
  <c r="AB186" i="1"/>
  <c r="AL186" i="1" s="1"/>
  <c r="AG578" i="1"/>
  <c r="AQ578" i="1" s="1"/>
  <c r="AA578" i="1"/>
  <c r="AK578" i="1" s="1"/>
  <c r="AA305" i="1"/>
  <c r="AK305" i="1" s="1"/>
  <c r="AB613" i="1"/>
  <c r="AL613" i="1" s="1"/>
  <c r="AB94" i="1"/>
  <c r="AL94" i="1" s="1"/>
  <c r="AA393" i="1"/>
  <c r="AK393" i="1" s="1"/>
  <c r="AF516" i="1"/>
  <c r="AP516" i="1" s="1"/>
  <c r="AF258" i="1"/>
  <c r="AP258" i="1" s="1"/>
  <c r="AK515" i="1"/>
  <c r="AG141" i="1"/>
  <c r="AQ141" i="1" s="1"/>
  <c r="AA221" i="1"/>
  <c r="AK221" i="1" s="1"/>
  <c r="AS217" i="1"/>
  <c r="AG402" i="1"/>
  <c r="AQ402" i="1" s="1"/>
  <c r="BB402" i="1" s="1"/>
  <c r="BC402" i="1" s="1"/>
  <c r="AK161" i="1"/>
  <c r="AA334" i="1"/>
  <c r="AK334" i="1" s="1"/>
  <c r="AA468" i="1"/>
  <c r="AK468" i="1" s="1"/>
  <c r="AD280" i="1"/>
  <c r="AN280" i="1" s="1"/>
  <c r="AG280" i="1"/>
  <c r="AQ280" i="1" s="1"/>
  <c r="AG221" i="1"/>
  <c r="AQ221" i="1" s="1"/>
  <c r="AU287" i="1"/>
  <c r="AV287" i="1" s="1"/>
  <c r="AW287" i="1" s="1"/>
  <c r="AF325" i="1"/>
  <c r="AP325" i="1" s="1"/>
  <c r="AB325" i="1"/>
  <c r="AL325" i="1" s="1"/>
  <c r="AD325" i="1"/>
  <c r="AN325" i="1" s="1"/>
  <c r="AA306" i="1"/>
  <c r="AK306" i="1" s="1"/>
  <c r="AD298" i="1"/>
  <c r="AN298" i="1" s="1"/>
  <c r="AG418" i="1"/>
  <c r="AQ418" i="1" s="1"/>
  <c r="AD545" i="1"/>
  <c r="AN545" i="1" s="1"/>
  <c r="AB286" i="1"/>
  <c r="AL286" i="1" s="1"/>
  <c r="AG439" i="1"/>
  <c r="AQ439" i="1" s="1"/>
  <c r="AE186" i="1"/>
  <c r="AO186" i="1" s="1"/>
  <c r="AS130" i="1"/>
  <c r="AD353" i="1"/>
  <c r="AN353" i="1" s="1"/>
  <c r="AG353" i="1"/>
  <c r="AQ353" i="1" s="1"/>
  <c r="AB353" i="1"/>
  <c r="AL353" i="1" s="1"/>
  <c r="AD288" i="1"/>
  <c r="AN288" i="1" s="1"/>
  <c r="AF288" i="1"/>
  <c r="AP288" i="1" s="1"/>
  <c r="AS422" i="1"/>
  <c r="AT422" i="1" s="1"/>
  <c r="AU422" i="1" s="1"/>
  <c r="AV422" i="1" s="1"/>
  <c r="AW422" i="1" s="1"/>
  <c r="AF236" i="1"/>
  <c r="AP236" i="1" s="1"/>
  <c r="AA236" i="1"/>
  <c r="AK236" i="1" s="1"/>
  <c r="AB421" i="1"/>
  <c r="AL421" i="1" s="1"/>
  <c r="AD421" i="1"/>
  <c r="AN421" i="1" s="1"/>
  <c r="BB421" i="1" s="1"/>
  <c r="BC421" i="1" s="1"/>
  <c r="AF665" i="1"/>
  <c r="AP665" i="1" s="1"/>
  <c r="AE665" i="1"/>
  <c r="AO665" i="1" s="1"/>
  <c r="AD665" i="1"/>
  <c r="AN665" i="1" s="1"/>
  <c r="AG665" i="1"/>
  <c r="AQ665" i="1" s="1"/>
  <c r="AE538" i="1"/>
  <c r="AO538" i="1" s="1"/>
  <c r="AF538" i="1"/>
  <c r="AP538" i="1" s="1"/>
  <c r="AG538" i="1"/>
  <c r="AQ538" i="1" s="1"/>
  <c r="AE80" i="1"/>
  <c r="AO80" i="1" s="1"/>
  <c r="AG80" i="1"/>
  <c r="AQ80" i="1" s="1"/>
  <c r="AD80" i="1"/>
  <c r="AN80" i="1" s="1"/>
  <c r="BB80" i="1" s="1"/>
  <c r="BC80" i="1" s="1"/>
  <c r="AA80" i="1"/>
  <c r="AK80" i="1" s="1"/>
  <c r="AE363" i="1"/>
  <c r="AO363" i="1" s="1"/>
  <c r="AF363" i="1"/>
  <c r="AP363" i="1" s="1"/>
  <c r="AA363" i="1"/>
  <c r="AK363" i="1" s="1"/>
  <c r="AD363" i="1"/>
  <c r="AN363" i="1" s="1"/>
  <c r="AB363" i="1"/>
  <c r="AL363" i="1" s="1"/>
  <c r="AV582" i="1"/>
  <c r="AW582" i="1" s="1"/>
  <c r="AS419" i="1"/>
  <c r="AD419" i="1"/>
  <c r="AN419" i="1" s="1"/>
  <c r="BB419" i="1" s="1"/>
  <c r="BG419" i="1" s="1"/>
  <c r="AS473" i="1"/>
  <c r="AT473" i="1" s="1"/>
  <c r="AU473" i="1" s="1"/>
  <c r="AV473" i="1" s="1"/>
  <c r="AW473" i="1" s="1"/>
  <c r="AE533" i="1"/>
  <c r="AO533" i="1" s="1"/>
  <c r="AG533" i="1"/>
  <c r="AQ533" i="1" s="1"/>
  <c r="BB533" i="1" s="1"/>
  <c r="BC533" i="1" s="1"/>
  <c r="AE564" i="1"/>
  <c r="AO564" i="1" s="1"/>
  <c r="AD564" i="1"/>
  <c r="AN564" i="1" s="1"/>
  <c r="AE387" i="1"/>
  <c r="AO387" i="1" s="1"/>
  <c r="AG387" i="1"/>
  <c r="AQ387" i="1" s="1"/>
  <c r="AD387" i="1"/>
  <c r="AN387" i="1" s="1"/>
  <c r="AB387" i="1"/>
  <c r="AL387" i="1" s="1"/>
  <c r="AS281" i="1"/>
  <c r="AD631" i="1"/>
  <c r="AN631" i="1" s="1"/>
  <c r="AE275" i="1"/>
  <c r="AO275" i="1" s="1"/>
  <c r="AB275" i="1"/>
  <c r="AL275" i="1" s="1"/>
  <c r="AG373" i="1"/>
  <c r="AQ373" i="1" s="1"/>
  <c r="AD373" i="1"/>
  <c r="AN373" i="1" s="1"/>
  <c r="AB373" i="1"/>
  <c r="AL373" i="1" s="1"/>
  <c r="AB482" i="1"/>
  <c r="AL482" i="1" s="1"/>
  <c r="AE482" i="1"/>
  <c r="AO482" i="1" s="1"/>
  <c r="AS639" i="1"/>
  <c r="AT639" i="1" s="1"/>
  <c r="AU639" i="1" s="1"/>
  <c r="AV639" i="1" s="1"/>
  <c r="AW639" i="1" s="1"/>
  <c r="AE250" i="1"/>
  <c r="AO250" i="1" s="1"/>
  <c r="AD250" i="1"/>
  <c r="AN250" i="1" s="1"/>
  <c r="AB250" i="1"/>
  <c r="AL250" i="1" s="1"/>
  <c r="AS530" i="1"/>
  <c r="AD163" i="1"/>
  <c r="AN163" i="1" s="1"/>
  <c r="AF163" i="1"/>
  <c r="AP163" i="1" s="1"/>
  <c r="AG163" i="1"/>
  <c r="AQ163" i="1" s="1"/>
  <c r="AL557" i="1"/>
  <c r="AE488" i="1"/>
  <c r="AO488" i="1" s="1"/>
  <c r="AD488" i="1"/>
  <c r="AN488" i="1" s="1"/>
  <c r="AA488" i="1"/>
  <c r="AK488" i="1" s="1"/>
  <c r="AF512" i="1"/>
  <c r="AP512" i="1" s="1"/>
  <c r="AA512" i="1"/>
  <c r="AK512" i="1" s="1"/>
  <c r="AE322" i="1"/>
  <c r="AO322" i="1" s="1"/>
  <c r="AA322" i="1"/>
  <c r="AK322" i="1" s="1"/>
  <c r="AD322" i="1"/>
  <c r="AN322" i="1" s="1"/>
  <c r="AS453" i="1"/>
  <c r="AT453" i="1" s="1"/>
  <c r="AU453" i="1" s="1"/>
  <c r="AV453" i="1" s="1"/>
  <c r="AW453" i="1" s="1"/>
  <c r="AA463" i="1"/>
  <c r="AE463" i="1"/>
  <c r="AO463" i="1" s="1"/>
  <c r="AB317" i="1"/>
  <c r="AL317" i="1" s="1"/>
  <c r="AG317" i="1"/>
  <c r="AQ317" i="1" s="1"/>
  <c r="AE317" i="1"/>
  <c r="AO317" i="1" s="1"/>
  <c r="AE608" i="1"/>
  <c r="AO608" i="1" s="1"/>
  <c r="AG608" i="1"/>
  <c r="AQ608" i="1" s="1"/>
  <c r="BB608" i="1" s="1"/>
  <c r="BC608" i="1" s="1"/>
  <c r="AB608" i="1"/>
  <c r="AL608" i="1" s="1"/>
  <c r="AB323" i="1"/>
  <c r="AL323" i="1" s="1"/>
  <c r="AE323" i="1"/>
  <c r="AO323" i="1" s="1"/>
  <c r="AA323" i="1"/>
  <c r="AK323" i="1" s="1"/>
  <c r="AF410" i="1"/>
  <c r="AP410" i="1" s="1"/>
  <c r="AE410" i="1"/>
  <c r="AO410" i="1" s="1"/>
  <c r="AE265" i="1"/>
  <c r="AO265" i="1" s="1"/>
  <c r="AF265" i="1"/>
  <c r="AP265" i="1" s="1"/>
  <c r="AG265" i="1"/>
  <c r="AQ265" i="1" s="1"/>
  <c r="AD265" i="1"/>
  <c r="AN265" i="1" s="1"/>
  <c r="AS226" i="1"/>
  <c r="AT226" i="1" s="1"/>
  <c r="AU226" i="1" s="1"/>
  <c r="AV226" i="1" s="1"/>
  <c r="AW226" i="1" s="1"/>
  <c r="AF315" i="1"/>
  <c r="AP315" i="1" s="1"/>
  <c r="AB315" i="1"/>
  <c r="AL315" i="1" s="1"/>
  <c r="AS554" i="1"/>
  <c r="AT554" i="1" s="1"/>
  <c r="AU554" i="1" s="1"/>
  <c r="AV554" i="1" s="1"/>
  <c r="AW554" i="1" s="1"/>
  <c r="AD554" i="1"/>
  <c r="AN554" i="1" s="1"/>
  <c r="BB554" i="1" s="1"/>
  <c r="BC554" i="1" s="1"/>
  <c r="AX426" i="1"/>
  <c r="AE635" i="1"/>
  <c r="AO635" i="1" s="1"/>
  <c r="AD635" i="1"/>
  <c r="AN635" i="1" s="1"/>
  <c r="AG635" i="1"/>
  <c r="AQ635" i="1" s="1"/>
  <c r="AS261" i="1"/>
  <c r="AT261" i="1" s="1"/>
  <c r="AU261" i="1" s="1"/>
  <c r="AV261" i="1" s="1"/>
  <c r="AW261" i="1" s="1"/>
  <c r="AS552" i="1"/>
  <c r="AT552" i="1" s="1"/>
  <c r="AU552" i="1" s="1"/>
  <c r="AV552" i="1" s="1"/>
  <c r="AW552" i="1" s="1"/>
  <c r="AV427" i="1"/>
  <c r="AW427" i="1" s="1"/>
  <c r="AA432" i="1"/>
  <c r="AK432" i="1" s="1"/>
  <c r="AF432" i="1"/>
  <c r="AP432" i="1" s="1"/>
  <c r="AG432" i="1"/>
  <c r="AQ432" i="1" s="1"/>
  <c r="AD445" i="1"/>
  <c r="AN445" i="1" s="1"/>
  <c r="AF445" i="1"/>
  <c r="AP445" i="1" s="1"/>
  <c r="AE445" i="1"/>
  <c r="AO445" i="1" s="1"/>
  <c r="AE264" i="1"/>
  <c r="AO264" i="1" s="1"/>
  <c r="AB264" i="1"/>
  <c r="AL264" i="1" s="1"/>
  <c r="AG264" i="1"/>
  <c r="AQ264" i="1" s="1"/>
  <c r="AF264" i="1"/>
  <c r="AP264" i="1" s="1"/>
  <c r="AS175" i="1"/>
  <c r="AX175" i="1" s="1"/>
  <c r="AE478" i="1"/>
  <c r="AO478" i="1" s="1"/>
  <c r="AF478" i="1"/>
  <c r="AP478" i="1" s="1"/>
  <c r="AB478" i="1"/>
  <c r="AL478" i="1" s="1"/>
  <c r="AA478" i="1"/>
  <c r="AK478" i="1" s="1"/>
  <c r="AS448" i="1"/>
  <c r="AT448" i="1" s="1"/>
  <c r="AU448" i="1" s="1"/>
  <c r="AV448" i="1" s="1"/>
  <c r="AW448" i="1" s="1"/>
  <c r="AE378" i="1"/>
  <c r="AO378" i="1" s="1"/>
  <c r="AG378" i="1"/>
  <c r="AQ378" i="1" s="1"/>
  <c r="AA378" i="1"/>
  <c r="AK378" i="1" s="1"/>
  <c r="AD378" i="1"/>
  <c r="AN378" i="1" s="1"/>
  <c r="AF378" i="1"/>
  <c r="AP378" i="1" s="1"/>
  <c r="AE281" i="1"/>
  <c r="AO281" i="1" s="1"/>
  <c r="AA281" i="1"/>
  <c r="AK281" i="1" s="1"/>
  <c r="AE364" i="1"/>
  <c r="AO364" i="1" s="1"/>
  <c r="AD364" i="1"/>
  <c r="AN364" i="1" s="1"/>
  <c r="AF364" i="1"/>
  <c r="AP364" i="1" s="1"/>
  <c r="AG364" i="1"/>
  <c r="AQ364" i="1" s="1"/>
  <c r="AA364" i="1"/>
  <c r="AK364" i="1" s="1"/>
  <c r="AB364" i="1"/>
  <c r="AL364" i="1" s="1"/>
  <c r="AD486" i="1"/>
  <c r="AN486" i="1" s="1"/>
  <c r="BB486" i="1" s="1"/>
  <c r="BC486" i="1" s="1"/>
  <c r="BD486" i="1" s="1"/>
  <c r="BE486" i="1" s="1"/>
  <c r="BF486" i="1" s="1"/>
  <c r="AS486" i="1"/>
  <c r="AX486" i="1" s="1"/>
  <c r="AF173" i="1"/>
  <c r="AP173" i="1" s="1"/>
  <c r="AS209" i="1"/>
  <c r="AD140" i="1"/>
  <c r="AN140" i="1" s="1"/>
  <c r="AG140" i="1"/>
  <c r="AQ140" i="1" s="1"/>
  <c r="AA140" i="1"/>
  <c r="AK140" i="1" s="1"/>
  <c r="AE219" i="1"/>
  <c r="AO219" i="1" s="1"/>
  <c r="AF219" i="1"/>
  <c r="AP219" i="1" s="1"/>
  <c r="AG219" i="1"/>
  <c r="AQ219" i="1" s="1"/>
  <c r="BB219" i="1" s="1"/>
  <c r="BC219" i="1" s="1"/>
  <c r="AV356" i="1"/>
  <c r="AW356" i="1" s="1"/>
  <c r="AK449" i="1"/>
  <c r="AE396" i="1"/>
  <c r="AO396" i="1" s="1"/>
  <c r="AD396" i="1"/>
  <c r="AN396" i="1" s="1"/>
  <c r="BB396" i="1" s="1"/>
  <c r="AA310" i="1"/>
  <c r="AK310" i="1" s="1"/>
  <c r="AE99" i="1"/>
  <c r="AO99" i="1" s="1"/>
  <c r="AG99" i="1"/>
  <c r="AQ99" i="1" s="1"/>
  <c r="AB99" i="1"/>
  <c r="AL99" i="1" s="1"/>
  <c r="AA99" i="1"/>
  <c r="AK99" i="1" s="1"/>
  <c r="AE155" i="1"/>
  <c r="AO155" i="1" s="1"/>
  <c r="AD155" i="1"/>
  <c r="AN155" i="1" s="1"/>
  <c r="AB155" i="1"/>
  <c r="AL155" i="1" s="1"/>
  <c r="AE326" i="1"/>
  <c r="AO326" i="1" s="1"/>
  <c r="AA326" i="1"/>
  <c r="AK326" i="1" s="1"/>
  <c r="AS237" i="1"/>
  <c r="AE85" i="1"/>
  <c r="AO85" i="1" s="1"/>
  <c r="AA85" i="1"/>
  <c r="AK85" i="1" s="1"/>
  <c r="AG85" i="1"/>
  <c r="AQ85" i="1" s="1"/>
  <c r="AB85" i="1"/>
  <c r="AL85" i="1" s="1"/>
  <c r="AS248" i="1"/>
  <c r="AT248" i="1" s="1"/>
  <c r="AU248" i="1" s="1"/>
  <c r="AV248" i="1" s="1"/>
  <c r="AW248" i="1" s="1"/>
  <c r="AB225" i="1"/>
  <c r="AL225" i="1" s="1"/>
  <c r="AE225" i="1"/>
  <c r="AO225" i="1" s="1"/>
  <c r="AV190" i="1"/>
  <c r="AW190" i="1" s="1"/>
  <c r="AD262" i="1"/>
  <c r="AN262" i="1" s="1"/>
  <c r="AS262" i="1"/>
  <c r="AT262" i="1" s="1"/>
  <c r="AU262" i="1" s="1"/>
  <c r="AV262" i="1" s="1"/>
  <c r="AW262" i="1" s="1"/>
  <c r="AD283" i="1"/>
  <c r="AN283" i="1" s="1"/>
  <c r="AD284" i="1"/>
  <c r="AN284" i="1" s="1"/>
  <c r="AG284" i="1"/>
  <c r="AQ284" i="1" s="1"/>
  <c r="AE284" i="1"/>
  <c r="AO284" i="1" s="1"/>
  <c r="AE187" i="1"/>
  <c r="AO187" i="1" s="1"/>
  <c r="AA187" i="1"/>
  <c r="AK187" i="1" s="1"/>
  <c r="AB116" i="1"/>
  <c r="AL116" i="1" s="1"/>
  <c r="AF116" i="1"/>
  <c r="AP116" i="1" s="1"/>
  <c r="AE227" i="1"/>
  <c r="AO227" i="1" s="1"/>
  <c r="AB227" i="1"/>
  <c r="AL227" i="1" s="1"/>
  <c r="AA68" i="1"/>
  <c r="AK68" i="1" s="1"/>
  <c r="AD68" i="1"/>
  <c r="AN68" i="1" s="1"/>
  <c r="AE68" i="1"/>
  <c r="AO68" i="1" s="1"/>
  <c r="AK144" i="1"/>
  <c r="AS86" i="1"/>
  <c r="AX86" i="1" s="1"/>
  <c r="AF180" i="1"/>
  <c r="AP180" i="1" s="1"/>
  <c r="AA180" i="1"/>
  <c r="AK180" i="1" s="1"/>
  <c r="AA174" i="1"/>
  <c r="AK174" i="1" s="1"/>
  <c r="AE174" i="1"/>
  <c r="AO174" i="1" s="1"/>
  <c r="AG174" i="1"/>
  <c r="AQ174" i="1" s="1"/>
  <c r="BB174" i="1" s="1"/>
  <c r="AB174" i="1"/>
  <c r="AL174" i="1" s="1"/>
  <c r="AE253" i="1"/>
  <c r="AO253" i="1" s="1"/>
  <c r="AF253" i="1"/>
  <c r="AP253" i="1" s="1"/>
  <c r="AD253" i="1"/>
  <c r="AN253" i="1" s="1"/>
  <c r="AE103" i="1"/>
  <c r="AO103" i="1" s="1"/>
  <c r="AG103" i="1"/>
  <c r="AQ103" i="1" s="1"/>
  <c r="AB103" i="1"/>
  <c r="AL103" i="1" s="1"/>
  <c r="AE133" i="1"/>
  <c r="AO133" i="1" s="1"/>
  <c r="AG133" i="1"/>
  <c r="AQ133" i="1" s="1"/>
  <c r="AD133" i="1"/>
  <c r="AN133" i="1" s="1"/>
  <c r="BB133" i="1" s="1"/>
  <c r="AV153" i="1"/>
  <c r="AW153" i="1" s="1"/>
  <c r="AS494" i="1"/>
  <c r="AT494" i="1" s="1"/>
  <c r="AU494" i="1" s="1"/>
  <c r="AV494" i="1" s="1"/>
  <c r="AW494" i="1" s="1"/>
  <c r="AX100" i="1"/>
  <c r="AS114" i="1"/>
  <c r="AF418" i="1"/>
  <c r="AP418" i="1" s="1"/>
  <c r="AF548" i="1"/>
  <c r="AP548" i="1" s="1"/>
  <c r="AG379" i="1"/>
  <c r="AQ379" i="1" s="1"/>
  <c r="AD482" i="1"/>
  <c r="AN482" i="1" s="1"/>
  <c r="AF179" i="1"/>
  <c r="AP179" i="1" s="1"/>
  <c r="AG501" i="1"/>
  <c r="AQ501" i="1" s="1"/>
  <c r="AB276" i="1"/>
  <c r="AL276" i="1" s="1"/>
  <c r="AL351" i="1"/>
  <c r="AF637" i="1"/>
  <c r="AP637" i="1" s="1"/>
  <c r="AB559" i="1"/>
  <c r="AL559" i="1" s="1"/>
  <c r="AB208" i="1"/>
  <c r="AL208" i="1" s="1"/>
  <c r="AB563" i="1"/>
  <c r="AL563" i="1" s="1"/>
  <c r="AA518" i="1"/>
  <c r="AK518" i="1" s="1"/>
  <c r="AF451" i="1"/>
  <c r="AP451" i="1" s="1"/>
  <c r="AB508" i="1"/>
  <c r="AL508" i="1" s="1"/>
  <c r="AE237" i="1"/>
  <c r="AO237" i="1" s="1"/>
  <c r="AD438" i="1"/>
  <c r="AN438" i="1" s="1"/>
  <c r="BB438" i="1" s="1"/>
  <c r="BG438" i="1" s="1"/>
  <c r="AD562" i="1"/>
  <c r="AN562" i="1" s="1"/>
  <c r="AD398" i="1"/>
  <c r="AN398" i="1" s="1"/>
  <c r="AD181" i="1"/>
  <c r="AN181" i="1" s="1"/>
  <c r="AG657" i="1"/>
  <c r="AQ657" i="1" s="1"/>
  <c r="BB657" i="1" s="1"/>
  <c r="BC657" i="1" s="1"/>
  <c r="BD657" i="1" s="1"/>
  <c r="AD518" i="1"/>
  <c r="AN518" i="1" s="1"/>
  <c r="AF323" i="1"/>
  <c r="AP323" i="1" s="1"/>
  <c r="AA533" i="1"/>
  <c r="AK533" i="1" s="1"/>
  <c r="AE444" i="1"/>
  <c r="AO444" i="1" s="1"/>
  <c r="AB625" i="1"/>
  <c r="AG186" i="1"/>
  <c r="AQ186" i="1" s="1"/>
  <c r="E10" i="1"/>
  <c r="DS2" i="1" s="1"/>
  <c r="AF277" i="1"/>
  <c r="AP277" i="1" s="1"/>
  <c r="AB496" i="1"/>
  <c r="AL496" i="1" s="1"/>
  <c r="AL666" i="1"/>
  <c r="AG613" i="1"/>
  <c r="AQ613" i="1" s="1"/>
  <c r="AD394" i="1"/>
  <c r="AN394" i="1" s="1"/>
  <c r="AD157" i="1"/>
  <c r="AN157" i="1" s="1"/>
  <c r="AE353" i="1"/>
  <c r="AO353" i="1" s="1"/>
  <c r="AG451" i="1"/>
  <c r="AQ451" i="1" s="1"/>
  <c r="BB451" i="1" s="1"/>
  <c r="BC451" i="1" s="1"/>
  <c r="BD451" i="1" s="1"/>
  <c r="BE451" i="1" s="1"/>
  <c r="BF451" i="1" s="1"/>
  <c r="AX140" i="1"/>
  <c r="AB515" i="1"/>
  <c r="AL515" i="1" s="1"/>
  <c r="AA618" i="1"/>
  <c r="AK618" i="1" s="1"/>
  <c r="AE548" i="1"/>
  <c r="AO548" i="1" s="1"/>
  <c r="AB553" i="1"/>
  <c r="AL553" i="1" s="1"/>
  <c r="AG108" i="1"/>
  <c r="AQ108" i="1" s="1"/>
  <c r="AB457" i="1"/>
  <c r="AL457" i="1" s="1"/>
  <c r="AE148" i="1"/>
  <c r="AO148" i="1" s="1"/>
  <c r="AB596" i="1"/>
  <c r="AL596" i="1" s="1"/>
  <c r="AD521" i="1"/>
  <c r="AN521" i="1" s="1"/>
  <c r="BB521" i="1" s="1"/>
  <c r="BC521" i="1" s="1"/>
  <c r="AK203" i="1"/>
  <c r="AD596" i="1"/>
  <c r="AN596" i="1" s="1"/>
  <c r="AA276" i="1"/>
  <c r="AK276" i="1" s="1"/>
  <c r="AA289" i="1"/>
  <c r="AK289" i="1" s="1"/>
  <c r="AF455" i="1"/>
  <c r="AP455" i="1" s="1"/>
  <c r="AA525" i="1"/>
  <c r="AK525" i="1" s="1"/>
  <c r="AB418" i="1"/>
  <c r="AL418" i="1" s="1"/>
  <c r="AF196" i="1"/>
  <c r="AP196" i="1" s="1"/>
  <c r="AF309" i="1"/>
  <c r="AP309" i="1" s="1"/>
  <c r="AD484" i="1"/>
  <c r="AN484" i="1" s="1"/>
  <c r="AD127" i="1"/>
  <c r="AN127" i="1" s="1"/>
  <c r="AE236" i="1"/>
  <c r="AO236" i="1" s="1"/>
  <c r="AE429" i="1"/>
  <c r="AO429" i="1" s="1"/>
  <c r="AF354" i="1"/>
  <c r="AP354" i="1" s="1"/>
  <c r="AA467" i="1"/>
  <c r="AK467" i="1" s="1"/>
  <c r="AE179" i="1"/>
  <c r="AO179" i="1" s="1"/>
  <c r="AD289" i="1"/>
  <c r="AN289" i="1" s="1"/>
  <c r="AU284" i="1"/>
  <c r="AV284" i="1" s="1"/>
  <c r="AW284" i="1" s="1"/>
  <c r="AA606" i="1"/>
  <c r="AK606" i="1" s="1"/>
  <c r="AB322" i="1"/>
  <c r="AL322" i="1" s="1"/>
  <c r="AA395" i="1"/>
  <c r="AK395" i="1" s="1"/>
  <c r="AG295" i="1"/>
  <c r="AQ295" i="1" s="1"/>
  <c r="BB295" i="1" s="1"/>
  <c r="BC295" i="1" s="1"/>
  <c r="AB226" i="1"/>
  <c r="AL226" i="1" s="1"/>
  <c r="AD617" i="1"/>
  <c r="AN617" i="1" s="1"/>
  <c r="AG352" i="1"/>
  <c r="AQ352" i="1" s="1"/>
  <c r="BB352" i="1" s="1"/>
  <c r="AB466" i="1"/>
  <c r="AL466" i="1" s="1"/>
  <c r="AD99" i="1"/>
  <c r="AN99" i="1" s="1"/>
  <c r="AB230" i="1"/>
  <c r="AL230" i="1" s="1"/>
  <c r="AE491" i="1"/>
  <c r="AO491" i="1" s="1"/>
  <c r="AF322" i="1"/>
  <c r="AP322" i="1" s="1"/>
  <c r="AG322" i="1"/>
  <c r="AQ322" i="1" s="1"/>
  <c r="AE536" i="1"/>
  <c r="AO536" i="1" s="1"/>
  <c r="AE198" i="1"/>
  <c r="AO198" i="1" s="1"/>
  <c r="AA313" i="1"/>
  <c r="AS631" i="1"/>
  <c r="AE163" i="1"/>
  <c r="AO163" i="1" s="1"/>
  <c r="AG313" i="1"/>
  <c r="AQ313" i="1" s="1"/>
  <c r="AF482" i="1"/>
  <c r="AP482" i="1" s="1"/>
  <c r="AD96" i="1"/>
  <c r="AN96" i="1" s="1"/>
  <c r="AE266" i="1"/>
  <c r="AO266" i="1" s="1"/>
  <c r="AD395" i="1"/>
  <c r="AN395" i="1" s="1"/>
  <c r="BB395" i="1" s="1"/>
  <c r="BC395" i="1" s="1"/>
  <c r="AD258" i="1"/>
  <c r="AN258" i="1" s="1"/>
  <c r="AG606" i="1"/>
  <c r="AQ606" i="1" s="1"/>
  <c r="BB606" i="1" s="1"/>
  <c r="BG606" i="1" s="1"/>
  <c r="AA105" i="1"/>
  <c r="AE428" i="1"/>
  <c r="AO428" i="1" s="1"/>
  <c r="AG394" i="1"/>
  <c r="AQ394" i="1" s="1"/>
  <c r="AG147" i="1"/>
  <c r="AQ147" i="1" s="1"/>
  <c r="AE559" i="1"/>
  <c r="AO559" i="1" s="1"/>
  <c r="AA448" i="1"/>
  <c r="AK448" i="1" s="1"/>
  <c r="AD266" i="1"/>
  <c r="AN266" i="1" s="1"/>
  <c r="AU372" i="1"/>
  <c r="AV372" i="1" s="1"/>
  <c r="AW372" i="1" s="1"/>
  <c r="AG482" i="1"/>
  <c r="AQ482" i="1" s="1"/>
  <c r="AV628" i="1"/>
  <c r="AW628" i="1" s="1"/>
  <c r="AD662" i="1"/>
  <c r="AN662" i="1" s="1"/>
  <c r="AD111" i="1"/>
  <c r="AN111" i="1" s="1"/>
  <c r="AB284" i="1"/>
  <c r="AL284" i="1" s="1"/>
  <c r="AE310" i="1"/>
  <c r="AO310" i="1" s="1"/>
  <c r="AD309" i="1"/>
  <c r="AN309" i="1" s="1"/>
  <c r="AK376" i="1"/>
  <c r="AB664" i="1"/>
  <c r="AL664" i="1" s="1"/>
  <c r="AF182" i="1"/>
  <c r="AP182" i="1" s="1"/>
  <c r="AV545" i="1"/>
  <c r="AW545" i="1" s="1"/>
  <c r="AF366" i="1"/>
  <c r="AP366" i="1" s="1"/>
  <c r="AE288" i="1"/>
  <c r="AO288" i="1" s="1"/>
  <c r="AB122" i="1"/>
  <c r="AL122" i="1" s="1"/>
  <c r="AD331" i="1"/>
  <c r="AN331" i="1" s="1"/>
  <c r="BB331" i="1" s="1"/>
  <c r="BC331" i="1" s="1"/>
  <c r="AF140" i="1"/>
  <c r="AP140" i="1" s="1"/>
  <c r="AG253" i="1"/>
  <c r="AQ253" i="1" s="1"/>
  <c r="AG546" i="1"/>
  <c r="AQ546" i="1" s="1"/>
  <c r="AA538" i="1"/>
  <c r="AK538" i="1" s="1"/>
  <c r="AD180" i="1"/>
  <c r="AN180" i="1" s="1"/>
  <c r="BB180" i="1" s="1"/>
  <c r="BC180" i="1" s="1"/>
  <c r="AD447" i="1"/>
  <c r="AN447" i="1" s="1"/>
  <c r="AB181" i="1"/>
  <c r="AL181" i="1" s="1"/>
  <c r="AB141" i="1"/>
  <c r="AL141" i="1" s="1"/>
  <c r="AG83" i="1"/>
  <c r="AQ83" i="1" s="1"/>
  <c r="AD86" i="1"/>
  <c r="AN86" i="1" s="1"/>
  <c r="AE180" i="1"/>
  <c r="AO180" i="1" s="1"/>
  <c r="AK75" i="1"/>
  <c r="AL583" i="1"/>
  <c r="AL222" i="1"/>
  <c r="AK383" i="1"/>
  <c r="AL469" i="1"/>
  <c r="AL431" i="1"/>
  <c r="AK532" i="1"/>
  <c r="AU390" i="1"/>
  <c r="AV390" i="1" s="1"/>
  <c r="AW390" i="1" s="1"/>
  <c r="AU275" i="1"/>
  <c r="AV275" i="1" s="1"/>
  <c r="AW275" i="1" s="1"/>
  <c r="AL95" i="1"/>
  <c r="AK626" i="1"/>
  <c r="AL151" i="1"/>
  <c r="AK377" i="1"/>
  <c r="BB523" i="1"/>
  <c r="BC523" i="1" s="1"/>
  <c r="AK386" i="1"/>
  <c r="AL190" i="1"/>
  <c r="AU258" i="1"/>
  <c r="AV258" i="1" s="1"/>
  <c r="AW258" i="1" s="1"/>
  <c r="AK81" i="1"/>
  <c r="AK120" i="1"/>
  <c r="AK184" i="1"/>
  <c r="AK413" i="1"/>
  <c r="AU461" i="1"/>
  <c r="AV461" i="1" s="1"/>
  <c r="AW461" i="1" s="1"/>
  <c r="AU505" i="1"/>
  <c r="AV505" i="1" s="1"/>
  <c r="AW505" i="1" s="1"/>
  <c r="AX330" i="1"/>
  <c r="AL216" i="1"/>
  <c r="AU460" i="1"/>
  <c r="AV460" i="1" s="1"/>
  <c r="AW460" i="1" s="1"/>
  <c r="AX596" i="1"/>
  <c r="AK169" i="1"/>
  <c r="AX202" i="1"/>
  <c r="AK479" i="1"/>
  <c r="AL238" i="1"/>
  <c r="AK411" i="1"/>
  <c r="AU403" i="1"/>
  <c r="AV403" i="1" s="1"/>
  <c r="AW403" i="1" s="1"/>
  <c r="AX250" i="1"/>
  <c r="AK431" i="1"/>
  <c r="AV517" i="1"/>
  <c r="AW517" i="1" s="1"/>
  <c r="AL416" i="1"/>
  <c r="AL361" i="1"/>
  <c r="AV193" i="1"/>
  <c r="AW193" i="1" s="1"/>
  <c r="AS132" i="1"/>
  <c r="AT132" i="1" s="1"/>
  <c r="AU132" i="1" s="1"/>
  <c r="AV132" i="1" s="1"/>
  <c r="AW132" i="1" s="1"/>
  <c r="AF421" i="1"/>
  <c r="AP421" i="1" s="1"/>
  <c r="AG556" i="1"/>
  <c r="AQ556" i="1" s="1"/>
  <c r="AB639" i="1"/>
  <c r="AL639" i="1" s="1"/>
  <c r="AB573" i="1"/>
  <c r="AL573" i="1" s="1"/>
  <c r="AB517" i="1"/>
  <c r="AL517" i="1" s="1"/>
  <c r="AS482" i="1"/>
  <c r="AT482" i="1" s="1"/>
  <c r="AU482" i="1" s="1"/>
  <c r="AV482" i="1" s="1"/>
  <c r="AW482" i="1" s="1"/>
  <c r="AB665" i="1"/>
  <c r="AL665" i="1" s="1"/>
  <c r="AA571" i="1"/>
  <c r="AK571" i="1" s="1"/>
  <c r="AD471" i="1"/>
  <c r="AN471" i="1" s="1"/>
  <c r="BB471" i="1" s="1"/>
  <c r="BC471" i="1" s="1"/>
  <c r="AU111" i="1"/>
  <c r="AV111" i="1" s="1"/>
  <c r="AW111" i="1" s="1"/>
  <c r="AS465" i="1"/>
  <c r="AX465" i="1" s="1"/>
  <c r="AA428" i="1"/>
  <c r="AK428" i="1" s="1"/>
  <c r="AB266" i="1"/>
  <c r="AL266" i="1" s="1"/>
  <c r="AA629" i="1"/>
  <c r="AK629" i="1" s="1"/>
  <c r="AD573" i="1"/>
  <c r="AN573" i="1" s="1"/>
  <c r="AA560" i="1"/>
  <c r="AK560" i="1" s="1"/>
  <c r="AD478" i="1"/>
  <c r="AN478" i="1" s="1"/>
  <c r="AF448" i="1"/>
  <c r="AP448" i="1" s="1"/>
  <c r="AS496" i="1"/>
  <c r="AX496" i="1" s="1"/>
  <c r="AF108" i="1"/>
  <c r="AP108" i="1" s="1"/>
  <c r="AD656" i="1"/>
  <c r="AN656" i="1" s="1"/>
  <c r="AB545" i="1"/>
  <c r="AL545" i="1" s="1"/>
  <c r="AS314" i="1"/>
  <c r="AX314" i="1" s="1"/>
  <c r="AG326" i="1"/>
  <c r="AQ326" i="1" s="1"/>
  <c r="AA214" i="1"/>
  <c r="AK214" i="1" s="1"/>
  <c r="AA181" i="1"/>
  <c r="AK181" i="1" s="1"/>
  <c r="AK420" i="1"/>
  <c r="AG191" i="1"/>
  <c r="AQ191" i="1" s="1"/>
  <c r="AG176" i="1"/>
  <c r="AQ176" i="1" s="1"/>
  <c r="AD403" i="1"/>
  <c r="AN403" i="1" s="1"/>
  <c r="AS467" i="1"/>
  <c r="AT467" i="1" s="1"/>
  <c r="AU467" i="1" s="1"/>
  <c r="AV467" i="1" s="1"/>
  <c r="AW467" i="1" s="1"/>
  <c r="AF475" i="1"/>
  <c r="AP475" i="1" s="1"/>
  <c r="AG484" i="1"/>
  <c r="AQ484" i="1" s="1"/>
  <c r="AG516" i="1"/>
  <c r="AQ516" i="1" s="1"/>
  <c r="AX257" i="1"/>
  <c r="AF570" i="1"/>
  <c r="AP570" i="1" s="1"/>
  <c r="AB455" i="1"/>
  <c r="AL455" i="1" s="1"/>
  <c r="AA315" i="1"/>
  <c r="AK315" i="1" s="1"/>
  <c r="AB448" i="1"/>
  <c r="AL448" i="1" s="1"/>
  <c r="AF362" i="1"/>
  <c r="AP362" i="1" s="1"/>
  <c r="AL342" i="1"/>
  <c r="AF227" i="1"/>
  <c r="AP227" i="1" s="1"/>
  <c r="AS540" i="1"/>
  <c r="AX540" i="1" s="1"/>
  <c r="AD660" i="1"/>
  <c r="AN660" i="1" s="1"/>
  <c r="BB660" i="1" s="1"/>
  <c r="BC660" i="1" s="1"/>
  <c r="AS433" i="1"/>
  <c r="AX433" i="1" s="1"/>
  <c r="AS617" i="1"/>
  <c r="AX617" i="1" s="1"/>
  <c r="AA265" i="1"/>
  <c r="AK265" i="1" s="1"/>
  <c r="AG471" i="1"/>
  <c r="AQ471" i="1" s="1"/>
  <c r="AA503" i="1"/>
  <c r="AK503" i="1" s="1"/>
  <c r="AA630" i="1"/>
  <c r="AK630" i="1" s="1"/>
  <c r="AF515" i="1"/>
  <c r="AP515" i="1" s="1"/>
  <c r="AL587" i="1"/>
  <c r="AS623" i="1"/>
  <c r="AT623" i="1" s="1"/>
  <c r="AU623" i="1" s="1"/>
  <c r="AV623" i="1" s="1"/>
  <c r="AW623" i="1" s="1"/>
  <c r="AA421" i="1"/>
  <c r="AK421" i="1" s="1"/>
  <c r="AS638" i="1"/>
  <c r="AT638" i="1" s="1"/>
  <c r="AU638" i="1" s="1"/>
  <c r="AV638" i="1" s="1"/>
  <c r="AW638" i="1" s="1"/>
  <c r="AA642" i="1"/>
  <c r="AK642" i="1" s="1"/>
  <c r="AB618" i="1"/>
  <c r="AL618" i="1" s="1"/>
  <c r="AG541" i="1"/>
  <c r="AQ541" i="1" s="1"/>
  <c r="AS555" i="1"/>
  <c r="AG438" i="1"/>
  <c r="AQ438" i="1" s="1"/>
  <c r="AA592" i="1"/>
  <c r="AK592" i="1" s="1"/>
  <c r="AS338" i="1"/>
  <c r="AX338" i="1" s="1"/>
  <c r="AL389" i="1"/>
  <c r="AU397" i="1"/>
  <c r="AV397" i="1" s="1"/>
  <c r="AW397" i="1" s="1"/>
  <c r="AS93" i="1"/>
  <c r="AT93" i="1" s="1"/>
  <c r="AU93" i="1" s="1"/>
  <c r="AV93" i="1" s="1"/>
  <c r="AW93" i="1" s="1"/>
  <c r="AB248" i="1"/>
  <c r="AL248" i="1" s="1"/>
  <c r="AF176" i="1"/>
  <c r="AP176" i="1" s="1"/>
  <c r="AS634" i="1"/>
  <c r="AT634" i="1" s="1"/>
  <c r="AU634" i="1" s="1"/>
  <c r="AV634" i="1" s="1"/>
  <c r="AW634" i="1" s="1"/>
  <c r="AB655" i="1"/>
  <c r="AL655" i="1" s="1"/>
  <c r="AS542" i="1"/>
  <c r="AT542" i="1" s="1"/>
  <c r="AU542" i="1" s="1"/>
  <c r="AV542" i="1" s="1"/>
  <c r="AW542" i="1" s="1"/>
  <c r="AF317" i="1"/>
  <c r="AP317" i="1" s="1"/>
  <c r="AD326" i="1"/>
  <c r="AN326" i="1" s="1"/>
  <c r="AG316" i="1"/>
  <c r="AQ316" i="1" s="1"/>
  <c r="BB316" i="1" s="1"/>
  <c r="AD627" i="1"/>
  <c r="AN627" i="1" s="1"/>
  <c r="AF642" i="1"/>
  <c r="AP642" i="1" s="1"/>
  <c r="AF357" i="1"/>
  <c r="AP357" i="1" s="1"/>
  <c r="AG518" i="1"/>
  <c r="AQ518" i="1" s="1"/>
  <c r="BB518" i="1" s="1"/>
  <c r="BC518" i="1" s="1"/>
  <c r="AF304" i="1"/>
  <c r="AP304" i="1" s="1"/>
  <c r="AS488" i="1"/>
  <c r="AS598" i="1"/>
  <c r="AB630" i="1"/>
  <c r="AL630" i="1" s="1"/>
  <c r="AX331" i="1"/>
  <c r="AX113" i="1"/>
  <c r="AL232" i="1"/>
  <c r="AA502" i="1"/>
  <c r="AK502" i="1" s="1"/>
  <c r="AS108" i="1"/>
  <c r="AT108" i="1" s="1"/>
  <c r="AU108" i="1" s="1"/>
  <c r="AV108" i="1" s="1"/>
  <c r="AW108" i="1" s="1"/>
  <c r="AB326" i="1"/>
  <c r="AL326" i="1" s="1"/>
  <c r="AB393" i="1"/>
  <c r="AL393" i="1" s="1"/>
  <c r="AV528" i="1"/>
  <c r="AW528" i="1" s="1"/>
  <c r="AS501" i="1"/>
  <c r="AT501" i="1" s="1"/>
  <c r="AU501" i="1" s="1"/>
  <c r="AV501" i="1" s="1"/>
  <c r="AW501" i="1" s="1"/>
  <c r="AS344" i="1"/>
  <c r="AV544" i="1"/>
  <c r="AW544" i="1" s="1"/>
  <c r="AS404" i="1"/>
  <c r="AT404" i="1" s="1"/>
  <c r="AU404" i="1" s="1"/>
  <c r="AV404" i="1" s="1"/>
  <c r="AW404" i="1" s="1"/>
  <c r="AA613" i="1"/>
  <c r="AK613" i="1" s="1"/>
  <c r="AS614" i="1"/>
  <c r="AG563" i="1"/>
  <c r="AQ563" i="1" s="1"/>
  <c r="AS630" i="1"/>
  <c r="AT630" i="1" s="1"/>
  <c r="AU630" i="1" s="1"/>
  <c r="AV630" i="1" s="1"/>
  <c r="AW630" i="1" s="1"/>
  <c r="AB406" i="1"/>
  <c r="AL406" i="1" s="1"/>
  <c r="AS563" i="1"/>
  <c r="AS454" i="1"/>
  <c r="AT454" i="1" s="1"/>
  <c r="AU454" i="1" s="1"/>
  <c r="AV454" i="1" s="1"/>
  <c r="AW454" i="1" s="1"/>
  <c r="AX583" i="1"/>
  <c r="AA482" i="1"/>
  <c r="AK482" i="1" s="1"/>
  <c r="AS161" i="1"/>
  <c r="AB536" i="1"/>
  <c r="AL536" i="1" s="1"/>
  <c r="AD526" i="1"/>
  <c r="AN526" i="1" s="1"/>
  <c r="AS309" i="1"/>
  <c r="AT309" i="1" s="1"/>
  <c r="AU309" i="1" s="1"/>
  <c r="AV309" i="1" s="1"/>
  <c r="AW309" i="1" s="1"/>
  <c r="AA272" i="1"/>
  <c r="AK272" i="1" s="1"/>
  <c r="AF119" i="1"/>
  <c r="AP119" i="1" s="1"/>
  <c r="AF225" i="1"/>
  <c r="AP225" i="1" s="1"/>
  <c r="AU464" i="1"/>
  <c r="AV464" i="1" s="1"/>
  <c r="AW464" i="1" s="1"/>
  <c r="AS556" i="1"/>
  <c r="AA657" i="1"/>
  <c r="AK657" i="1" s="1"/>
  <c r="AB631" i="1"/>
  <c r="AL631" i="1" s="1"/>
  <c r="AD527" i="1"/>
  <c r="AN527" i="1" s="1"/>
  <c r="AU368" i="1"/>
  <c r="AV368" i="1" s="1"/>
  <c r="AW368" i="1" s="1"/>
  <c r="AU323" i="1"/>
  <c r="AV323" i="1" s="1"/>
  <c r="AW323" i="1" s="1"/>
  <c r="AS532" i="1"/>
  <c r="AT532" i="1" s="1"/>
  <c r="AU532" i="1" s="1"/>
  <c r="AV532" i="1" s="1"/>
  <c r="AW532" i="1" s="1"/>
  <c r="AF628" i="1"/>
  <c r="AP628" i="1" s="1"/>
  <c r="AF605" i="1"/>
  <c r="AP605" i="1" s="1"/>
  <c r="AB501" i="1"/>
  <c r="AL501" i="1" s="1"/>
  <c r="AS619" i="1"/>
  <c r="AT619" i="1" s="1"/>
  <c r="AU619" i="1" s="1"/>
  <c r="AV619" i="1" s="1"/>
  <c r="AW619" i="1" s="1"/>
  <c r="AA554" i="1"/>
  <c r="AK554" i="1" s="1"/>
  <c r="AG572" i="1"/>
  <c r="AQ572" i="1" s="1"/>
  <c r="AA444" i="1"/>
  <c r="AK444" i="1" s="1"/>
  <c r="AA443" i="1"/>
  <c r="AK443" i="1" s="1"/>
  <c r="AD424" i="1"/>
  <c r="AN424" i="1" s="1"/>
  <c r="BB424" i="1" s="1"/>
  <c r="BC424" i="1" s="1"/>
  <c r="AG562" i="1"/>
  <c r="AQ562" i="1" s="1"/>
  <c r="AG463" i="1"/>
  <c r="AQ463" i="1" s="1"/>
  <c r="BB463" i="1" s="1"/>
  <c r="AA360" i="1"/>
  <c r="AK360" i="1" s="1"/>
  <c r="AD368" i="1"/>
  <c r="AN368" i="1" s="1"/>
  <c r="AD171" i="1"/>
  <c r="AN171" i="1" s="1"/>
  <c r="BB171" i="1" s="1"/>
  <c r="BC171" i="1" s="1"/>
  <c r="AV181" i="1"/>
  <c r="AW181" i="1" s="1"/>
  <c r="AS523" i="1"/>
  <c r="AT523" i="1" s="1"/>
  <c r="AU523" i="1" s="1"/>
  <c r="AV523" i="1" s="1"/>
  <c r="AW523" i="1" s="1"/>
  <c r="AS401" i="1"/>
  <c r="AU311" i="1"/>
  <c r="AV311" i="1" s="1"/>
  <c r="AW311" i="1" s="1"/>
  <c r="AB343" i="1"/>
  <c r="AL343" i="1" s="1"/>
  <c r="AL203" i="1"/>
  <c r="AA632" i="1"/>
  <c r="AK632" i="1" s="1"/>
  <c r="AS343" i="1"/>
  <c r="AX343" i="1" s="1"/>
  <c r="AA645" i="1"/>
  <c r="AK645" i="1" s="1"/>
  <c r="AG455" i="1"/>
  <c r="AQ455" i="1" s="1"/>
  <c r="BB455" i="1" s="1"/>
  <c r="BC455" i="1" s="1"/>
  <c r="AS591" i="1"/>
  <c r="AS346" i="1"/>
  <c r="AT346" i="1" s="1"/>
  <c r="AU346" i="1" s="1"/>
  <c r="AV346" i="1" s="1"/>
  <c r="AW346" i="1" s="1"/>
  <c r="AB331" i="1"/>
  <c r="AL331" i="1" s="1"/>
  <c r="AS566" i="1"/>
  <c r="AT566" i="1" s="1"/>
  <c r="AU566" i="1" s="1"/>
  <c r="AV566" i="1" s="1"/>
  <c r="AW566" i="1" s="1"/>
  <c r="AA608" i="1"/>
  <c r="AK608" i="1" s="1"/>
  <c r="AB649" i="1"/>
  <c r="AL649" i="1" s="1"/>
  <c r="AS394" i="1"/>
  <c r="AX394" i="1" s="1"/>
  <c r="AD640" i="1"/>
  <c r="AN640" i="1" s="1"/>
  <c r="AG435" i="1"/>
  <c r="AQ435" i="1" s="1"/>
  <c r="AK646" i="1"/>
  <c r="AS641" i="1"/>
  <c r="AX641" i="1" s="1"/>
  <c r="AA635" i="1"/>
  <c r="AK635" i="1" s="1"/>
  <c r="AS437" i="1"/>
  <c r="AX437" i="1" s="1"/>
  <c r="AK557" i="1"/>
  <c r="AD612" i="1"/>
  <c r="AN612" i="1" s="1"/>
  <c r="BB612" i="1" s="1"/>
  <c r="AA638" i="1"/>
  <c r="AK638" i="1" s="1"/>
  <c r="AS502" i="1"/>
  <c r="AT502" i="1" s="1"/>
  <c r="AU502" i="1" s="1"/>
  <c r="AV502" i="1" s="1"/>
  <c r="AW502" i="1" s="1"/>
  <c r="AA368" i="1"/>
  <c r="AK368" i="1" s="1"/>
  <c r="AA597" i="1"/>
  <c r="AK597" i="1" s="1"/>
  <c r="AD628" i="1"/>
  <c r="AN628" i="1" s="1"/>
  <c r="AS526" i="1"/>
  <c r="AS576" i="1"/>
  <c r="AX576" i="1" s="1"/>
  <c r="AG654" i="1"/>
  <c r="AQ654" i="1" s="1"/>
  <c r="AK623" i="1"/>
  <c r="AA521" i="1"/>
  <c r="AK521" i="1" s="1"/>
  <c r="AD465" i="1"/>
  <c r="AN465" i="1" s="1"/>
  <c r="AD584" i="1"/>
  <c r="AN584" i="1" s="1"/>
  <c r="AS493" i="1"/>
  <c r="AT493" i="1" s="1"/>
  <c r="AU493" i="1" s="1"/>
  <c r="AV493" i="1" s="1"/>
  <c r="AW493" i="1" s="1"/>
  <c r="AB256" i="1"/>
  <c r="AL256" i="1" s="1"/>
  <c r="AU170" i="1"/>
  <c r="AV170" i="1" s="1"/>
  <c r="AW170" i="1" s="1"/>
  <c r="AK600" i="1"/>
  <c r="AD410" i="1"/>
  <c r="AN410" i="1" s="1"/>
  <c r="BB410" i="1" s="1"/>
  <c r="BC410" i="1" s="1"/>
  <c r="AG384" i="1"/>
  <c r="AQ384" i="1" s="1"/>
  <c r="AA225" i="1"/>
  <c r="AK225" i="1" s="1"/>
  <c r="AA320" i="1"/>
  <c r="AK320" i="1" s="1"/>
  <c r="AB388" i="1"/>
  <c r="AL388" i="1" s="1"/>
  <c r="AB202" i="1"/>
  <c r="AL202" i="1" s="1"/>
  <c r="AB410" i="1"/>
  <c r="AL410" i="1" s="1"/>
  <c r="AA651" i="1"/>
  <c r="AK651" i="1" s="1"/>
  <c r="AG512" i="1"/>
  <c r="AQ512" i="1" s="1"/>
  <c r="AF531" i="1"/>
  <c r="AP531" i="1" s="1"/>
  <c r="AG345" i="1"/>
  <c r="AQ345" i="1" s="1"/>
  <c r="AD495" i="1"/>
  <c r="AN495" i="1" s="1"/>
  <c r="AB562" i="1"/>
  <c r="AL562" i="1" s="1"/>
  <c r="AF456" i="1"/>
  <c r="AP456" i="1" s="1"/>
  <c r="AF580" i="1"/>
  <c r="AP580" i="1" s="1"/>
  <c r="AL490" i="1"/>
  <c r="AA356" i="1"/>
  <c r="AK356" i="1" s="1"/>
  <c r="AF284" i="1"/>
  <c r="AP284" i="1" s="1"/>
  <c r="AL487" i="1"/>
  <c r="AA662" i="1"/>
  <c r="AK662" i="1" s="1"/>
  <c r="AF571" i="1"/>
  <c r="AP571" i="1" s="1"/>
  <c r="AF428" i="1"/>
  <c r="AP428" i="1" s="1"/>
  <c r="AA664" i="1"/>
  <c r="AK664" i="1" s="1"/>
  <c r="AS625" i="1"/>
  <c r="AF618" i="1"/>
  <c r="AP618" i="1" s="1"/>
  <c r="AD494" i="1"/>
  <c r="AN494" i="1" s="1"/>
  <c r="AG408" i="1"/>
  <c r="AQ408" i="1" s="1"/>
  <c r="AG296" i="1"/>
  <c r="AQ296" i="1" s="1"/>
  <c r="AB260" i="1"/>
  <c r="AL260" i="1" s="1"/>
  <c r="AS205" i="1"/>
  <c r="AB599" i="1"/>
  <c r="AL599" i="1" s="1"/>
  <c r="AA625" i="1"/>
  <c r="AK625" i="1" s="1"/>
  <c r="AG304" i="1"/>
  <c r="AQ304" i="1" s="1"/>
  <c r="AG653" i="1"/>
  <c r="AQ653" i="1" s="1"/>
  <c r="BB653" i="1" s="1"/>
  <c r="BC653" i="1" s="1"/>
  <c r="BD653" i="1" s="1"/>
  <c r="AS457" i="1"/>
  <c r="AT457" i="1" s="1"/>
  <c r="AU457" i="1" s="1"/>
  <c r="AV457" i="1" s="1"/>
  <c r="AW457" i="1" s="1"/>
  <c r="AS615" i="1"/>
  <c r="AX615" i="1" s="1"/>
  <c r="AG656" i="1"/>
  <c r="AQ656" i="1" s="1"/>
  <c r="AG574" i="1"/>
  <c r="AQ574" i="1" s="1"/>
  <c r="AA517" i="1"/>
  <c r="AK517" i="1" s="1"/>
  <c r="AF518" i="1"/>
  <c r="AP518" i="1" s="1"/>
  <c r="AA412" i="1"/>
  <c r="AK412" i="1" s="1"/>
  <c r="AS412" i="1"/>
  <c r="AF397" i="1"/>
  <c r="AP397" i="1" s="1"/>
  <c r="AK130" i="1"/>
  <c r="AS463" i="1"/>
  <c r="AX463" i="1" s="1"/>
  <c r="AA594" i="1"/>
  <c r="AK594" i="1" s="1"/>
  <c r="AG397" i="1"/>
  <c r="AQ397" i="1" s="1"/>
  <c r="AB187" i="1"/>
  <c r="AL187" i="1" s="1"/>
  <c r="AB136" i="1"/>
  <c r="AL136" i="1" s="1"/>
  <c r="AS585" i="1"/>
  <c r="AT585" i="1" s="1"/>
  <c r="AU585" i="1" s="1"/>
  <c r="AV585" i="1" s="1"/>
  <c r="AW585" i="1" s="1"/>
  <c r="AG478" i="1"/>
  <c r="AQ478" i="1" s="1"/>
  <c r="AD277" i="1"/>
  <c r="AN277" i="1" s="1"/>
  <c r="AF220" i="1"/>
  <c r="AP220" i="1" s="1"/>
  <c r="AA641" i="1"/>
  <c r="AK641" i="1" s="1"/>
  <c r="AB280" i="1"/>
  <c r="AL280" i="1" s="1"/>
  <c r="AA660" i="1"/>
  <c r="AK660" i="1" s="1"/>
  <c r="AF655" i="1"/>
  <c r="AP655" i="1" s="1"/>
  <c r="AA573" i="1"/>
  <c r="AK573" i="1" s="1"/>
  <c r="AG404" i="1"/>
  <c r="AQ404" i="1" s="1"/>
  <c r="AB614" i="1"/>
  <c r="AL614" i="1" s="1"/>
  <c r="AA311" i="1"/>
  <c r="AK311" i="1" s="1"/>
  <c r="AD520" i="1"/>
  <c r="AN520" i="1" s="1"/>
  <c r="AF351" i="1"/>
  <c r="AP351" i="1" s="1"/>
  <c r="AU666" i="1"/>
  <c r="AV666" i="1" s="1"/>
  <c r="AW666" i="1" s="1"/>
  <c r="AG640" i="1"/>
  <c r="AQ640" i="1" s="1"/>
  <c r="AS347" i="1"/>
  <c r="AF596" i="1"/>
  <c r="AP596" i="1" s="1"/>
  <c r="AU303" i="1"/>
  <c r="AV303" i="1" s="1"/>
  <c r="AW303" i="1" s="1"/>
  <c r="AF286" i="1"/>
  <c r="AP286" i="1" s="1"/>
  <c r="AS219" i="1"/>
  <c r="AT219" i="1" s="1"/>
  <c r="AU219" i="1" s="1"/>
  <c r="AV219" i="1" s="1"/>
  <c r="AW219" i="1" s="1"/>
  <c r="AF501" i="1"/>
  <c r="AP501" i="1" s="1"/>
  <c r="AA410" i="1"/>
  <c r="AK410" i="1" s="1"/>
  <c r="AB376" i="1"/>
  <c r="AL376" i="1" s="1"/>
  <c r="AK470" i="1"/>
  <c r="E11" i="1"/>
  <c r="DT2" i="1" s="1"/>
  <c r="AA553" i="1"/>
  <c r="AK553" i="1" s="1"/>
  <c r="AG481" i="1"/>
  <c r="AQ481" i="1" s="1"/>
  <c r="BB481" i="1" s="1"/>
  <c r="BC481" i="1" s="1"/>
  <c r="AB548" i="1"/>
  <c r="AL548" i="1" s="1"/>
  <c r="AX603" i="1"/>
  <c r="AS355" i="1"/>
  <c r="AX355" i="1" s="1"/>
  <c r="AA379" i="1"/>
  <c r="AK379" i="1" s="1"/>
  <c r="AF657" i="1"/>
  <c r="AP657" i="1" s="1"/>
  <c r="AS405" i="1"/>
  <c r="AX405" i="1" s="1"/>
  <c r="AF626" i="1"/>
  <c r="AP626" i="1" s="1"/>
  <c r="AU270" i="1"/>
  <c r="AV270" i="1" s="1"/>
  <c r="AW270" i="1" s="1"/>
  <c r="AG631" i="1"/>
  <c r="AQ631" i="1" s="1"/>
  <c r="AB521" i="1"/>
  <c r="AL521" i="1" s="1"/>
  <c r="AF590" i="1"/>
  <c r="AP590" i="1" s="1"/>
  <c r="AB544" i="1"/>
  <c r="AL544" i="1" s="1"/>
  <c r="AF447" i="1"/>
  <c r="AP447" i="1" s="1"/>
  <c r="AG357" i="1"/>
  <c r="AQ357" i="1" s="1"/>
  <c r="AF341" i="1"/>
  <c r="AP341" i="1" s="1"/>
  <c r="AG277" i="1"/>
  <c r="AQ277" i="1" s="1"/>
  <c r="BB277" i="1" s="1"/>
  <c r="BC277" i="1" s="1"/>
  <c r="AB484" i="1"/>
  <c r="AL484" i="1" s="1"/>
  <c r="AS417" i="1"/>
  <c r="AX417" i="1" s="1"/>
  <c r="AF310" i="1"/>
  <c r="AP310" i="1" s="1"/>
  <c r="AB359" i="1"/>
  <c r="AL359" i="1" s="1"/>
  <c r="AS267" i="1"/>
  <c r="AT267" i="1" s="1"/>
  <c r="AU267" i="1" s="1"/>
  <c r="AV267" i="1" s="1"/>
  <c r="AW267" i="1" s="1"/>
  <c r="AF574" i="1"/>
  <c r="AP574" i="1" s="1"/>
  <c r="AB512" i="1"/>
  <c r="AL512" i="1" s="1"/>
  <c r="AB432" i="1"/>
  <c r="AL432" i="1" s="1"/>
  <c r="AF433" i="1"/>
  <c r="AP433" i="1" s="1"/>
  <c r="AA451" i="1"/>
  <c r="AK451" i="1" s="1"/>
  <c r="AA371" i="1"/>
  <c r="AK371" i="1" s="1"/>
  <c r="AS436" i="1"/>
  <c r="AT436" i="1" s="1"/>
  <c r="AU436" i="1" s="1"/>
  <c r="AV436" i="1" s="1"/>
  <c r="AW436" i="1" s="1"/>
  <c r="AA208" i="1"/>
  <c r="AK208" i="1" s="1"/>
  <c r="AG334" i="1"/>
  <c r="AQ334" i="1" s="1"/>
  <c r="AD385" i="1"/>
  <c r="AN385" i="1" s="1"/>
  <c r="AG116" i="1"/>
  <c r="AQ116" i="1" s="1"/>
  <c r="AF281" i="1"/>
  <c r="AP281" i="1" s="1"/>
  <c r="AF241" i="1"/>
  <c r="AP241" i="1" s="1"/>
  <c r="AF174" i="1"/>
  <c r="AP174" i="1" s="1"/>
  <c r="AD293" i="1"/>
  <c r="AN293" i="1" s="1"/>
  <c r="AS587" i="1"/>
  <c r="AF484" i="1"/>
  <c r="AP484" i="1" s="1"/>
  <c r="AD406" i="1"/>
  <c r="AN406" i="1" s="1"/>
  <c r="AS332" i="1"/>
  <c r="AD290" i="1"/>
  <c r="AN290" i="1" s="1"/>
  <c r="AF345" i="1"/>
  <c r="AP345" i="1" s="1"/>
  <c r="AS649" i="1"/>
  <c r="AT649" i="1" s="1"/>
  <c r="AU649" i="1" s="1"/>
  <c r="AV649" i="1" s="1"/>
  <c r="AW649" i="1" s="1"/>
  <c r="AS581" i="1"/>
  <c r="AX581" i="1" s="1"/>
  <c r="AD517" i="1"/>
  <c r="AN517" i="1" s="1"/>
  <c r="AS443" i="1"/>
  <c r="AX443" i="1" s="1"/>
  <c r="AA381" i="1"/>
  <c r="AK381" i="1" s="1"/>
  <c r="AB483" i="1"/>
  <c r="AL483" i="1" s="1"/>
  <c r="AB471" i="1"/>
  <c r="AL471" i="1" s="1"/>
  <c r="AB439" i="1"/>
  <c r="AL439" i="1" s="1"/>
  <c r="AF187" i="1"/>
  <c r="AP187" i="1" s="1"/>
  <c r="AB380" i="1"/>
  <c r="AL380" i="1" s="1"/>
  <c r="AB396" i="1"/>
  <c r="AL396" i="1" s="1"/>
  <c r="AG307" i="1"/>
  <c r="AQ307" i="1" s="1"/>
  <c r="AS446" i="1"/>
  <c r="AT446" i="1" s="1"/>
  <c r="AU446" i="1" s="1"/>
  <c r="AV446" i="1" s="1"/>
  <c r="AW446" i="1" s="1"/>
  <c r="AD90" i="1"/>
  <c r="AN90" i="1" s="1"/>
  <c r="AB237" i="1"/>
  <c r="AL237" i="1" s="1"/>
  <c r="AA259" i="1"/>
  <c r="AK259" i="1" s="1"/>
  <c r="AS365" i="1"/>
  <c r="AX365" i="1" s="1"/>
  <c r="AA256" i="1"/>
  <c r="AK256" i="1" s="1"/>
  <c r="AS207" i="1"/>
  <c r="AG155" i="1"/>
  <c r="AQ155" i="1" s="1"/>
  <c r="AK492" i="1"/>
  <c r="AF207" i="1"/>
  <c r="AP207" i="1" s="1"/>
  <c r="AA195" i="1"/>
  <c r="AK195" i="1" s="1"/>
  <c r="AD655" i="1"/>
  <c r="AN655" i="1" s="1"/>
  <c r="AB588" i="1"/>
  <c r="AL588" i="1" s="1"/>
  <c r="AA527" i="1"/>
  <c r="AK527" i="1" s="1"/>
  <c r="AD334" i="1"/>
  <c r="AN334" i="1" s="1"/>
  <c r="AS602" i="1"/>
  <c r="AF426" i="1"/>
  <c r="AP426" i="1" s="1"/>
  <c r="AS651" i="1"/>
  <c r="AX651" i="1" s="1"/>
  <c r="AS519" i="1"/>
  <c r="AT519" i="1" s="1"/>
  <c r="AU519" i="1" s="1"/>
  <c r="AV519" i="1" s="1"/>
  <c r="AW519" i="1" s="1"/>
  <c r="AF280" i="1"/>
  <c r="AP280" i="1" s="1"/>
  <c r="AS297" i="1"/>
  <c r="AT297" i="1" s="1"/>
  <c r="AU297" i="1" s="1"/>
  <c r="AV297" i="1" s="1"/>
  <c r="AW297" i="1" s="1"/>
  <c r="AK274" i="1"/>
  <c r="AS642" i="1"/>
  <c r="AT642" i="1" s="1"/>
  <c r="AU642" i="1" s="1"/>
  <c r="AV642" i="1" s="1"/>
  <c r="AW642" i="1" s="1"/>
  <c r="AG596" i="1"/>
  <c r="AQ596" i="1" s="1"/>
  <c r="AD648" i="1"/>
  <c r="AN648" i="1" s="1"/>
  <c r="AG583" i="1"/>
  <c r="AQ583" i="1" s="1"/>
  <c r="BB583" i="1" s="1"/>
  <c r="BC583" i="1" s="1"/>
  <c r="AB653" i="1"/>
  <c r="AL653" i="1" s="1"/>
  <c r="AF650" i="1"/>
  <c r="AP650" i="1" s="1"/>
  <c r="AG565" i="1"/>
  <c r="AQ565" i="1" s="1"/>
  <c r="AA653" i="1"/>
  <c r="AK653" i="1" s="1"/>
  <c r="AA655" i="1"/>
  <c r="AK655" i="1" s="1"/>
  <c r="AF648" i="1"/>
  <c r="AP648" i="1" s="1"/>
  <c r="AF608" i="1"/>
  <c r="AP608" i="1" s="1"/>
  <c r="AS300" i="1"/>
  <c r="AX300" i="1" s="1"/>
  <c r="AG573" i="1"/>
  <c r="AQ573" i="1" s="1"/>
  <c r="AS480" i="1"/>
  <c r="AS268" i="1"/>
  <c r="AT268" i="1" s="1"/>
  <c r="AU268" i="1" s="1"/>
  <c r="AV268" i="1" s="1"/>
  <c r="AW268" i="1" s="1"/>
  <c r="AD388" i="1"/>
  <c r="AN388" i="1" s="1"/>
  <c r="BB388" i="1" s="1"/>
  <c r="BC388" i="1" s="1"/>
  <c r="AD104" i="1"/>
  <c r="AN104" i="1" s="1"/>
  <c r="AF72" i="1"/>
  <c r="AP72" i="1" s="1"/>
  <c r="AB635" i="1"/>
  <c r="AL635" i="1" s="1"/>
  <c r="AS534" i="1"/>
  <c r="AT534" i="1" s="1"/>
  <c r="AU534" i="1" s="1"/>
  <c r="AV534" i="1" s="1"/>
  <c r="AW534" i="1" s="1"/>
  <c r="AL561" i="1"/>
  <c r="AF635" i="1"/>
  <c r="AP635" i="1" s="1"/>
  <c r="AD408" i="1"/>
  <c r="AN408" i="1" s="1"/>
  <c r="BB408" i="1" s="1"/>
  <c r="BC408" i="1" s="1"/>
  <c r="AB605" i="1"/>
  <c r="AL605" i="1" s="1"/>
  <c r="AB541" i="1"/>
  <c r="AL541" i="1" s="1"/>
  <c r="AG358" i="1"/>
  <c r="AQ358" i="1" s="1"/>
  <c r="BB358" i="1" s="1"/>
  <c r="BC358" i="1" s="1"/>
  <c r="AU643" i="1"/>
  <c r="AV643" i="1" s="1"/>
  <c r="AW643" i="1" s="1"/>
  <c r="AF602" i="1"/>
  <c r="AP602" i="1" s="1"/>
  <c r="AA570" i="1"/>
  <c r="AK570" i="1" s="1"/>
  <c r="AB524" i="1"/>
  <c r="AL524" i="1" s="1"/>
  <c r="AS374" i="1"/>
  <c r="AT374" i="1" s="1"/>
  <c r="AU374" i="1" s="1"/>
  <c r="AV374" i="1" s="1"/>
  <c r="AW374" i="1" s="1"/>
  <c r="AD271" i="1"/>
  <c r="AN271" i="1" s="1"/>
  <c r="BB271" i="1" s="1"/>
  <c r="BC271" i="1" s="1"/>
  <c r="AL243" i="1"/>
  <c r="AS499" i="1"/>
  <c r="AX499" i="1" s="1"/>
  <c r="AS399" i="1"/>
  <c r="AF660" i="1"/>
  <c r="AP660" i="1" s="1"/>
  <c r="AS595" i="1"/>
  <c r="AT595" i="1" s="1"/>
  <c r="AU595" i="1" s="1"/>
  <c r="AV595" i="1" s="1"/>
  <c r="AW595" i="1" s="1"/>
  <c r="AS521" i="1"/>
  <c r="AG267" i="1"/>
  <c r="AQ267" i="1" s="1"/>
  <c r="BB267" i="1" s="1"/>
  <c r="BC267" i="1" s="1"/>
  <c r="AB375" i="1"/>
  <c r="AL375" i="1" s="1"/>
  <c r="AS272" i="1"/>
  <c r="AS278" i="1"/>
  <c r="AX278" i="1" s="1"/>
  <c r="AF326" i="1"/>
  <c r="AP326" i="1" s="1"/>
  <c r="AF616" i="1"/>
  <c r="AP616" i="1" s="1"/>
  <c r="AD585" i="1"/>
  <c r="AN585" i="1" s="1"/>
  <c r="AD588" i="1"/>
  <c r="AN588" i="1" s="1"/>
  <c r="AG306" i="1"/>
  <c r="AQ306" i="1" s="1"/>
  <c r="AA197" i="1"/>
  <c r="AK197" i="1" s="1"/>
  <c r="AS661" i="1"/>
  <c r="AS597" i="1"/>
  <c r="AT597" i="1" s="1"/>
  <c r="AU597" i="1" s="1"/>
  <c r="AV597" i="1" s="1"/>
  <c r="AW597" i="1" s="1"/>
  <c r="AS350" i="1"/>
  <c r="AX350" i="1" s="1"/>
  <c r="AA509" i="1"/>
  <c r="AK509" i="1" s="1"/>
  <c r="AG632" i="1"/>
  <c r="AQ632" i="1" s="1"/>
  <c r="BB632" i="1" s="1"/>
  <c r="BC632" i="1" s="1"/>
  <c r="AS590" i="1"/>
  <c r="AS369" i="1"/>
  <c r="AX369" i="1" s="1"/>
  <c r="AA548" i="1"/>
  <c r="AK548" i="1" s="1"/>
  <c r="AS424" i="1"/>
  <c r="AF327" i="1"/>
  <c r="AP327" i="1" s="1"/>
  <c r="AG255" i="1"/>
  <c r="AQ255" i="1" s="1"/>
  <c r="AS650" i="1"/>
  <c r="AT650" i="1" s="1"/>
  <c r="AU650" i="1" s="1"/>
  <c r="AV650" i="1" s="1"/>
  <c r="AW650" i="1" s="1"/>
  <c r="AS421" i="1"/>
  <c r="AF609" i="1"/>
  <c r="AP609" i="1" s="1"/>
  <c r="AA666" i="1"/>
  <c r="AK666" i="1" s="1"/>
  <c r="AD589" i="1"/>
  <c r="AN589" i="1" s="1"/>
  <c r="BB589" i="1" s="1"/>
  <c r="BC589" i="1" s="1"/>
  <c r="AD485" i="1"/>
  <c r="AN485" i="1" s="1"/>
  <c r="AF659" i="1"/>
  <c r="AP659" i="1" s="1"/>
  <c r="AD531" i="1"/>
  <c r="AN531" i="1" s="1"/>
  <c r="AS430" i="1"/>
  <c r="AT430" i="1" s="1"/>
  <c r="AU430" i="1" s="1"/>
  <c r="AV430" i="1" s="1"/>
  <c r="AW430" i="1" s="1"/>
  <c r="AS295" i="1"/>
  <c r="AX295" i="1" s="1"/>
  <c r="AA604" i="1"/>
  <c r="AK604" i="1" s="1"/>
  <c r="AS495" i="1"/>
  <c r="AT495" i="1" s="1"/>
  <c r="AU495" i="1" s="1"/>
  <c r="AV495" i="1" s="1"/>
  <c r="AW495" i="1" s="1"/>
  <c r="AS428" i="1"/>
  <c r="AT428" i="1" s="1"/>
  <c r="AU428" i="1" s="1"/>
  <c r="AV428" i="1" s="1"/>
  <c r="AW428" i="1" s="1"/>
  <c r="AB272" i="1"/>
  <c r="AL272" i="1" s="1"/>
  <c r="AS253" i="1"/>
  <c r="AT253" i="1" s="1"/>
  <c r="AU253" i="1" s="1"/>
  <c r="AV253" i="1" s="1"/>
  <c r="AW253" i="1" s="1"/>
  <c r="AG545" i="1"/>
  <c r="AQ545" i="1" s="1"/>
  <c r="AB481" i="1"/>
  <c r="AL481" i="1" s="1"/>
  <c r="AB417" i="1"/>
  <c r="AL417" i="1" s="1"/>
  <c r="AB433" i="1"/>
  <c r="AL433" i="1" s="1"/>
  <c r="AG229" i="1"/>
  <c r="AQ229" i="1" s="1"/>
  <c r="AD173" i="1"/>
  <c r="AN173" i="1" s="1"/>
  <c r="AS203" i="1"/>
  <c r="AT203" i="1" s="1"/>
  <c r="AU203" i="1" s="1"/>
  <c r="AV203" i="1" s="1"/>
  <c r="AW203" i="1" s="1"/>
  <c r="E12" i="1"/>
  <c r="DU2" i="1" s="1"/>
  <c r="AF295" i="1"/>
  <c r="AP295" i="1" s="1"/>
  <c r="AS388" i="1"/>
  <c r="AT388" i="1" s="1"/>
  <c r="AU388" i="1" s="1"/>
  <c r="AV388" i="1" s="1"/>
  <c r="AW388" i="1" s="1"/>
  <c r="AF419" i="1"/>
  <c r="AP419" i="1" s="1"/>
  <c r="AA513" i="1"/>
  <c r="AK513" i="1" s="1"/>
  <c r="AB640" i="1"/>
  <c r="AL640" i="1" s="1"/>
  <c r="AF572" i="1"/>
  <c r="AP572" i="1" s="1"/>
  <c r="AA474" i="1"/>
  <c r="AK474" i="1" s="1"/>
  <c r="AG429" i="1"/>
  <c r="AQ429" i="1" s="1"/>
  <c r="AB255" i="1"/>
  <c r="AL255" i="1" s="1"/>
  <c r="AF463" i="1"/>
  <c r="AP463" i="1" s="1"/>
  <c r="AB357" i="1"/>
  <c r="AL357" i="1" s="1"/>
  <c r="AA325" i="1"/>
  <c r="AK325" i="1" s="1"/>
  <c r="AD228" i="1"/>
  <c r="AN228" i="1" s="1"/>
  <c r="AS379" i="1"/>
  <c r="AT379" i="1" s="1"/>
  <c r="AU379" i="1" s="1"/>
  <c r="AV379" i="1" s="1"/>
  <c r="AW379" i="1" s="1"/>
  <c r="AG323" i="1"/>
  <c r="AQ323" i="1" s="1"/>
  <c r="AS196" i="1"/>
  <c r="AT196" i="1" s="1"/>
  <c r="AU196" i="1" s="1"/>
  <c r="AV196" i="1" s="1"/>
  <c r="AW196" i="1" s="1"/>
  <c r="AA280" i="1"/>
  <c r="AK280" i="1" s="1"/>
  <c r="AU222" i="1"/>
  <c r="AV222" i="1" s="1"/>
  <c r="AW222" i="1" s="1"/>
  <c r="AG118" i="1"/>
  <c r="AQ118" i="1" s="1"/>
  <c r="BB118" i="1" s="1"/>
  <c r="BC118" i="1" s="1"/>
  <c r="AB124" i="1"/>
  <c r="AL124" i="1" s="1"/>
  <c r="AS549" i="1"/>
  <c r="AX549" i="1" s="1"/>
  <c r="AF471" i="1"/>
  <c r="AP471" i="1" s="1"/>
  <c r="AA366" i="1"/>
  <c r="AK366" i="1" s="1"/>
  <c r="AB163" i="1"/>
  <c r="AL163" i="1" s="1"/>
  <c r="AA182" i="1"/>
  <c r="AK182" i="1" s="1"/>
  <c r="AU647" i="1"/>
  <c r="AV647" i="1" s="1"/>
  <c r="AW647" i="1" s="1"/>
  <c r="AS547" i="1"/>
  <c r="AD515" i="1"/>
  <c r="AN515" i="1" s="1"/>
  <c r="AS439" i="1"/>
  <c r="AX439" i="1" s="1"/>
  <c r="AA536" i="1"/>
  <c r="AK536" i="1" s="1"/>
  <c r="AD481" i="1"/>
  <c r="AN481" i="1" s="1"/>
  <c r="AF403" i="1"/>
  <c r="AP403" i="1" s="1"/>
  <c r="AS324" i="1"/>
  <c r="AT324" i="1" s="1"/>
  <c r="AU324" i="1" s="1"/>
  <c r="AV324" i="1" s="1"/>
  <c r="AW324" i="1" s="1"/>
  <c r="AV139" i="1"/>
  <c r="AW139" i="1" s="1"/>
  <c r="AS420" i="1"/>
  <c r="AT420" i="1" s="1"/>
  <c r="AU420" i="1" s="1"/>
  <c r="AV420" i="1" s="1"/>
  <c r="AW420" i="1" s="1"/>
  <c r="AB302" i="1"/>
  <c r="AL302" i="1" s="1"/>
  <c r="AD444" i="1"/>
  <c r="AN444" i="1" s="1"/>
  <c r="AF229" i="1"/>
  <c r="AP229" i="1" s="1"/>
  <c r="AF252" i="1"/>
  <c r="AP252" i="1" s="1"/>
  <c r="AF231" i="1"/>
  <c r="AP231" i="1" s="1"/>
  <c r="AS225" i="1"/>
  <c r="AA295" i="1"/>
  <c r="AK295" i="1" s="1"/>
  <c r="AG310" i="1"/>
  <c r="AQ310" i="1" s="1"/>
  <c r="BB310" i="1" s="1"/>
  <c r="BC310" i="1" s="1"/>
  <c r="AF373" i="1"/>
  <c r="AP373" i="1" s="1"/>
  <c r="AA335" i="1"/>
  <c r="AK335" i="1" s="1"/>
  <c r="AF260" i="1"/>
  <c r="AP260" i="1" s="1"/>
  <c r="AB290" i="1"/>
  <c r="AL290" i="1" s="1"/>
  <c r="AF136" i="1"/>
  <c r="AP136" i="1" s="1"/>
  <c r="AF210" i="1"/>
  <c r="AP210" i="1" s="1"/>
  <c r="AD212" i="1"/>
  <c r="AN212" i="1" s="1"/>
  <c r="AA177" i="1"/>
  <c r="AK177" i="1" s="1"/>
  <c r="AL411" i="1"/>
  <c r="AF318" i="1"/>
  <c r="AP318" i="1" s="1"/>
  <c r="AB330" i="1"/>
  <c r="AL330" i="1" s="1"/>
  <c r="AF197" i="1"/>
  <c r="AP197" i="1" s="1"/>
  <c r="AA282" i="1"/>
  <c r="AK282" i="1" s="1"/>
  <c r="AG491" i="1"/>
  <c r="AQ491" i="1" s="1"/>
  <c r="AX568" i="1"/>
  <c r="AG542" i="1"/>
  <c r="AQ542" i="1" s="1"/>
  <c r="AA452" i="1"/>
  <c r="AK452" i="1" s="1"/>
  <c r="AD400" i="1"/>
  <c r="AN400" i="1" s="1"/>
  <c r="BB400" i="1" s="1"/>
  <c r="BC400" i="1" s="1"/>
  <c r="AB445" i="1"/>
  <c r="AL445" i="1" s="1"/>
  <c r="AS376" i="1"/>
  <c r="AS213" i="1"/>
  <c r="AA275" i="1"/>
  <c r="AK275" i="1" s="1"/>
  <c r="AA396" i="1"/>
  <c r="AK396" i="1" s="1"/>
  <c r="AD362" i="1"/>
  <c r="AN362" i="1" s="1"/>
  <c r="AG276" i="1"/>
  <c r="AQ276" i="1" s="1"/>
  <c r="AS282" i="1"/>
  <c r="AT282" i="1" s="1"/>
  <c r="AU282" i="1" s="1"/>
  <c r="AV282" i="1" s="1"/>
  <c r="AW282" i="1" s="1"/>
  <c r="AA114" i="1"/>
  <c r="AK114" i="1" s="1"/>
  <c r="AX137" i="1"/>
  <c r="AF283" i="1"/>
  <c r="AP283" i="1" s="1"/>
  <c r="AB167" i="1"/>
  <c r="AL167" i="1" s="1"/>
  <c r="AD317" i="1"/>
  <c r="AN317" i="1" s="1"/>
  <c r="AG241" i="1"/>
  <c r="AQ241" i="1" s="1"/>
  <c r="AS138" i="1"/>
  <c r="AT138" i="1" s="1"/>
  <c r="AU138" i="1" s="1"/>
  <c r="AV138" i="1" s="1"/>
  <c r="AW138" i="1" s="1"/>
  <c r="AD202" i="1"/>
  <c r="AN202" i="1" s="1"/>
  <c r="AG193" i="1"/>
  <c r="AQ193" i="1" s="1"/>
  <c r="AS72" i="1"/>
  <c r="AT72" i="1" s="1"/>
  <c r="AU72" i="1" s="1"/>
  <c r="AV72" i="1" s="1"/>
  <c r="AW72" i="1" s="1"/>
  <c r="AS382" i="1"/>
  <c r="AT382" i="1" s="1"/>
  <c r="AU382" i="1" s="1"/>
  <c r="AV382" i="1" s="1"/>
  <c r="AW382" i="1" s="1"/>
  <c r="AB288" i="1"/>
  <c r="AL288" i="1" s="1"/>
  <c r="AS327" i="1"/>
  <c r="AT327" i="1" s="1"/>
  <c r="AU327" i="1" s="1"/>
  <c r="AV327" i="1" s="1"/>
  <c r="AW327" i="1" s="1"/>
  <c r="AA139" i="1"/>
  <c r="AK139" i="1" s="1"/>
  <c r="AD418" i="1"/>
  <c r="AN418" i="1" s="1"/>
  <c r="AA417" i="1"/>
  <c r="AK417" i="1" s="1"/>
  <c r="AK389" i="1"/>
  <c r="AS393" i="1"/>
  <c r="AX393" i="1" s="1"/>
  <c r="AF255" i="1"/>
  <c r="AP255" i="1" s="1"/>
  <c r="AD236" i="1"/>
  <c r="AN236" i="1" s="1"/>
  <c r="BB236" i="1" s="1"/>
  <c r="BC236" i="1" s="1"/>
  <c r="AA253" i="1"/>
  <c r="AK253" i="1" s="1"/>
  <c r="AG210" i="1"/>
  <c r="AQ210" i="1" s="1"/>
  <c r="AD95" i="1"/>
  <c r="AN95" i="1" s="1"/>
  <c r="AB366" i="1"/>
  <c r="AL366" i="1" s="1"/>
  <c r="AA314" i="1"/>
  <c r="AK314" i="1" s="1"/>
  <c r="AB267" i="1"/>
  <c r="AL267" i="1" s="1"/>
  <c r="AA296" i="1"/>
  <c r="AK296" i="1" s="1"/>
  <c r="AS199" i="1"/>
  <c r="AT199" i="1" s="1"/>
  <c r="AU199" i="1" s="1"/>
  <c r="AV199" i="1" s="1"/>
  <c r="AW199" i="1" s="1"/>
  <c r="AB338" i="1"/>
  <c r="AL338" i="1" s="1"/>
  <c r="AD304" i="1"/>
  <c r="AN304" i="1" s="1"/>
  <c r="AU246" i="1"/>
  <c r="AV246" i="1" s="1"/>
  <c r="AW246" i="1" s="1"/>
  <c r="AF132" i="1"/>
  <c r="AP132" i="1" s="1"/>
  <c r="AS158" i="1"/>
  <c r="AF157" i="1"/>
  <c r="AP157" i="1" s="1"/>
  <c r="AS160" i="1"/>
  <c r="AX160" i="1" s="1"/>
  <c r="AS340" i="1"/>
  <c r="AX340" i="1" s="1"/>
  <c r="AG283" i="1"/>
  <c r="AQ283" i="1" s="1"/>
  <c r="AS227" i="1"/>
  <c r="AT227" i="1" s="1"/>
  <c r="AU227" i="1" s="1"/>
  <c r="AV227" i="1" s="1"/>
  <c r="AW227" i="1" s="1"/>
  <c r="AS416" i="1"/>
  <c r="AB281" i="1"/>
  <c r="AL281" i="1" s="1"/>
  <c r="AB415" i="1"/>
  <c r="AL415" i="1" s="1"/>
  <c r="AA349" i="1"/>
  <c r="AK349" i="1" s="1"/>
  <c r="AB298" i="1"/>
  <c r="AL298" i="1" s="1"/>
  <c r="AS391" i="1"/>
  <c r="AX391" i="1" s="1"/>
  <c r="AF189" i="1"/>
  <c r="AP189" i="1" s="1"/>
  <c r="AF247" i="1"/>
  <c r="AP247" i="1" s="1"/>
  <c r="AA292" i="1"/>
  <c r="AK292" i="1" s="1"/>
  <c r="AG288" i="1"/>
  <c r="AQ288" i="1" s="1"/>
  <c r="AB234" i="1"/>
  <c r="AL234" i="1" s="1"/>
  <c r="AA74" i="1"/>
  <c r="AK74" i="1" s="1"/>
  <c r="AS243" i="1"/>
  <c r="AT243" i="1" s="1"/>
  <c r="AU243" i="1" s="1"/>
  <c r="AV243" i="1" s="1"/>
  <c r="AW243" i="1" s="1"/>
  <c r="AD193" i="1"/>
  <c r="AN193" i="1" s="1"/>
  <c r="AG218" i="1"/>
  <c r="AQ218" i="1" s="1"/>
  <c r="AK150" i="1"/>
  <c r="AB336" i="1"/>
  <c r="AL336" i="1" s="1"/>
  <c r="AS315" i="1"/>
  <c r="AT315" i="1" s="1"/>
  <c r="AU315" i="1" s="1"/>
  <c r="AV315" i="1" s="1"/>
  <c r="AW315" i="1" s="1"/>
  <c r="AS251" i="1"/>
  <c r="AT251" i="1" s="1"/>
  <c r="AU251" i="1" s="1"/>
  <c r="AV251" i="1" s="1"/>
  <c r="AW251" i="1" s="1"/>
  <c r="AB193" i="1"/>
  <c r="AL193" i="1" s="1"/>
  <c r="AS166" i="1"/>
  <c r="AT166" i="1" s="1"/>
  <c r="AU166" i="1" s="1"/>
  <c r="AV166" i="1" s="1"/>
  <c r="AW166" i="1" s="1"/>
  <c r="AA82" i="1"/>
  <c r="AK82" i="1" s="1"/>
  <c r="AG250" i="1"/>
  <c r="AQ250" i="1" s="1"/>
  <c r="AA93" i="1"/>
  <c r="AK93" i="1" s="1"/>
  <c r="AF158" i="1"/>
  <c r="AP158" i="1" s="1"/>
  <c r="AF133" i="1"/>
  <c r="AP133" i="1" s="1"/>
  <c r="AB189" i="1"/>
  <c r="AL189" i="1" s="1"/>
  <c r="AF204" i="1"/>
  <c r="AP204" i="1" s="1"/>
  <c r="AS192" i="1"/>
  <c r="AT192" i="1" s="1"/>
  <c r="AU192" i="1" s="1"/>
  <c r="AV192" i="1" s="1"/>
  <c r="AW192" i="1" s="1"/>
  <c r="AF165" i="1"/>
  <c r="AP165" i="1" s="1"/>
  <c r="AA278" i="1"/>
  <c r="AK278" i="1" s="1"/>
  <c r="AG129" i="1"/>
  <c r="AQ129" i="1" s="1"/>
  <c r="AF202" i="1"/>
  <c r="AP202" i="1" s="1"/>
  <c r="AG242" i="1"/>
  <c r="AQ242" i="1" s="1"/>
  <c r="BB242" i="1" s="1"/>
  <c r="BC242" i="1" s="1"/>
  <c r="BD242" i="1" s="1"/>
  <c r="BE242" i="1" s="1"/>
  <c r="BF242" i="1" s="1"/>
  <c r="AG202" i="1"/>
  <c r="AQ202" i="1" s="1"/>
  <c r="AS214" i="1"/>
  <c r="AT214" i="1" s="1"/>
  <c r="AU214" i="1" s="1"/>
  <c r="AV214" i="1" s="1"/>
  <c r="AW214" i="1" s="1"/>
  <c r="AA132" i="1"/>
  <c r="AK132" i="1" s="1"/>
  <c r="AA148" i="1"/>
  <c r="AK148" i="1" s="1"/>
  <c r="AS77" i="1"/>
  <c r="AT77" i="1" s="1"/>
  <c r="AU77" i="1" s="1"/>
  <c r="AV77" i="1" s="1"/>
  <c r="AW77" i="1" s="1"/>
  <c r="AS82" i="1"/>
  <c r="AT82" i="1" s="1"/>
  <c r="AU82" i="1" s="1"/>
  <c r="AV82" i="1" s="1"/>
  <c r="AW82" i="1" s="1"/>
  <c r="AG187" i="1"/>
  <c r="AQ187" i="1" s="1"/>
  <c r="AA89" i="1"/>
  <c r="AK89" i="1" s="1"/>
  <c r="AF106" i="1"/>
  <c r="AP106" i="1" s="1"/>
  <c r="AB83" i="1"/>
  <c r="AL83" i="1" s="1"/>
  <c r="AB236" i="1"/>
  <c r="AL236" i="1" s="1"/>
  <c r="AS179" i="1"/>
  <c r="AS145" i="1"/>
  <c r="AS198" i="1"/>
  <c r="AB219" i="1"/>
  <c r="AL219" i="1" s="1"/>
  <c r="AA167" i="1"/>
  <c r="AK167" i="1" s="1"/>
  <c r="AD122" i="1"/>
  <c r="AN122" i="1" s="1"/>
  <c r="AS238" i="1"/>
  <c r="AB119" i="1"/>
  <c r="AL119" i="1" s="1"/>
  <c r="AB70" i="1"/>
  <c r="AL70" i="1" s="1"/>
  <c r="AA469" i="1"/>
  <c r="AK469" i="1" s="1"/>
  <c r="AB68" i="1"/>
  <c r="AL68" i="1" s="1"/>
  <c r="AD538" i="1"/>
  <c r="AN538" i="1" s="1"/>
  <c r="AA231" i="1"/>
  <c r="AK231" i="1" s="1"/>
  <c r="AA108" i="1"/>
  <c r="AK108" i="1" s="1"/>
  <c r="AA226" i="1"/>
  <c r="AK226" i="1" s="1"/>
  <c r="AB279" i="1"/>
  <c r="AL279" i="1" s="1"/>
  <c r="AF305" i="1"/>
  <c r="AP305" i="1" s="1"/>
  <c r="AB221" i="1"/>
  <c r="AL221" i="1" s="1"/>
  <c r="AG122" i="1"/>
  <c r="AQ122" i="1" s="1"/>
  <c r="AG289" i="1"/>
  <c r="AQ289" i="1" s="1"/>
  <c r="AA264" i="1"/>
  <c r="AK264" i="1" s="1"/>
  <c r="AG252" i="1"/>
  <c r="AQ252" i="1" s="1"/>
  <c r="BB252" i="1" s="1"/>
  <c r="BC252" i="1" s="1"/>
  <c r="AS143" i="1"/>
  <c r="AS654" i="1"/>
  <c r="AT654" i="1" s="1"/>
  <c r="AU654" i="1" s="1"/>
  <c r="AV654" i="1" s="1"/>
  <c r="AW654" i="1" s="1"/>
  <c r="AB198" i="1"/>
  <c r="AL198" i="1" s="1"/>
  <c r="AS220" i="1"/>
  <c r="AA207" i="1"/>
  <c r="AK207" i="1" s="1"/>
  <c r="AG105" i="1"/>
  <c r="AQ105" i="1" s="1"/>
  <c r="AB140" i="1"/>
  <c r="AL140" i="1" s="1"/>
  <c r="AS68" i="1"/>
  <c r="AX68" i="1" s="1"/>
  <c r="AF250" i="1"/>
  <c r="AP250" i="1" s="1"/>
  <c r="AB204" i="1"/>
  <c r="AL204" i="1" s="1"/>
  <c r="AG165" i="1"/>
  <c r="AQ165" i="1" s="1"/>
  <c r="AS440" i="1"/>
  <c r="AT440" i="1" s="1"/>
  <c r="AU440" i="1" s="1"/>
  <c r="AV440" i="1" s="1"/>
  <c r="AW440" i="1" s="1"/>
  <c r="AF409" i="1"/>
  <c r="AP409" i="1" s="1"/>
  <c r="AB378" i="1"/>
  <c r="AL378" i="1" s="1"/>
  <c r="AD153" i="1"/>
  <c r="AN153" i="1" s="1"/>
  <c r="AB229" i="1"/>
  <c r="AL229" i="1" s="1"/>
  <c r="AB218" i="1"/>
  <c r="AL218" i="1" s="1"/>
  <c r="AS359" i="1"/>
  <c r="AS150" i="1"/>
  <c r="AT150" i="1" s="1"/>
  <c r="AU150" i="1" s="1"/>
  <c r="AV150" i="1" s="1"/>
  <c r="AW150" i="1" s="1"/>
  <c r="AA217" i="1"/>
  <c r="AK217" i="1" s="1"/>
  <c r="AD195" i="1"/>
  <c r="AN195" i="1" s="1"/>
  <c r="AS98" i="1"/>
  <c r="AT98" i="1" s="1"/>
  <c r="AU98" i="1" s="1"/>
  <c r="AV98" i="1" s="1"/>
  <c r="AW98" i="1" s="1"/>
  <c r="AS279" i="1"/>
  <c r="AT279" i="1" s="1"/>
  <c r="AU279" i="1" s="1"/>
  <c r="AV279" i="1" s="1"/>
  <c r="AW279" i="1" s="1"/>
  <c r="AF246" i="1"/>
  <c r="AP246" i="1" s="1"/>
  <c r="AS149" i="1"/>
  <c r="AS188" i="1"/>
  <c r="AS184" i="1"/>
  <c r="AT184" i="1" s="1"/>
  <c r="AU184" i="1" s="1"/>
  <c r="AV184" i="1" s="1"/>
  <c r="AW184" i="1" s="1"/>
  <c r="AF226" i="1"/>
  <c r="AP226" i="1" s="1"/>
  <c r="AD227" i="1"/>
  <c r="AN227" i="1" s="1"/>
  <c r="AG183" i="1"/>
  <c r="AQ183" i="1" s="1"/>
  <c r="BB183" i="1" s="1"/>
  <c r="BC183" i="1" s="1"/>
  <c r="BD183" i="1" s="1"/>
  <c r="BE183" i="1" s="1"/>
  <c r="BF183" i="1" s="1"/>
  <c r="AA213" i="1"/>
  <c r="AK213" i="1" s="1"/>
  <c r="AS147" i="1"/>
  <c r="AF141" i="1"/>
  <c r="AP141" i="1" s="1"/>
  <c r="AB75" i="1"/>
  <c r="AL75" i="1" s="1"/>
  <c r="AS224" i="1"/>
  <c r="AT224" i="1" s="1"/>
  <c r="AU224" i="1" s="1"/>
  <c r="AV224" i="1" s="1"/>
  <c r="AW224" i="1" s="1"/>
  <c r="AG199" i="1"/>
  <c r="AQ199" i="1" s="1"/>
  <c r="AS177" i="1"/>
  <c r="AG181" i="1"/>
  <c r="AQ181" i="1" s="1"/>
  <c r="AS171" i="1"/>
  <c r="AT171" i="1" s="1"/>
  <c r="AU171" i="1" s="1"/>
  <c r="AV171" i="1" s="1"/>
  <c r="AW171" i="1" s="1"/>
  <c r="AF184" i="1"/>
  <c r="AP184" i="1" s="1"/>
  <c r="AF82" i="1"/>
  <c r="AP82" i="1" s="1"/>
  <c r="AA102" i="1"/>
  <c r="AK102" i="1" s="1"/>
  <c r="AA137" i="1"/>
  <c r="AK137" i="1" s="1"/>
  <c r="AB80" i="1"/>
  <c r="AL80" i="1" s="1"/>
  <c r="AS131" i="1"/>
  <c r="AT131" i="1" s="1"/>
  <c r="AU131" i="1" s="1"/>
  <c r="AV131" i="1" s="1"/>
  <c r="AW131" i="1" s="1"/>
  <c r="AS127" i="1"/>
  <c r="AS134" i="1"/>
  <c r="AT134" i="1" s="1"/>
  <c r="AU134" i="1" s="1"/>
  <c r="AV134" i="1" s="1"/>
  <c r="AW134" i="1" s="1"/>
  <c r="AB153" i="1"/>
  <c r="AL153" i="1" s="1"/>
  <c r="AA122" i="1"/>
  <c r="AK122" i="1" s="1"/>
  <c r="AB129" i="1"/>
  <c r="AL129" i="1" s="1"/>
  <c r="AB109" i="1"/>
  <c r="AL109" i="1" s="1"/>
  <c r="AD103" i="1"/>
  <c r="AN103" i="1" s="1"/>
  <c r="BB103" i="1" s="1"/>
  <c r="BC103" i="1" s="1"/>
  <c r="AS611" i="1"/>
  <c r="AA86" i="1"/>
  <c r="AK86" i="1" s="1"/>
  <c r="AB82" i="1"/>
  <c r="AL82" i="1" s="1"/>
  <c r="AA73" i="1"/>
  <c r="AK73" i="1" s="1"/>
  <c r="AG150" i="1"/>
  <c r="AQ150" i="1" s="1"/>
  <c r="AS73" i="1"/>
  <c r="AT73" i="1" s="1"/>
  <c r="AU73" i="1" s="1"/>
  <c r="AV73" i="1" s="1"/>
  <c r="AW73" i="1" s="1"/>
  <c r="AF103" i="1"/>
  <c r="AP103" i="1" s="1"/>
  <c r="AS80" i="1"/>
  <c r="AX80" i="1" s="1"/>
  <c r="AB92" i="1"/>
  <c r="AL92" i="1" s="1"/>
  <c r="AS92" i="1"/>
  <c r="AB382" i="1"/>
  <c r="AL382" i="1" s="1"/>
  <c r="AD423" i="1"/>
  <c r="AN423" i="1" s="1"/>
  <c r="AB594" i="1"/>
  <c r="AL594" i="1" s="1"/>
  <c r="AS627" i="1"/>
  <c r="AT627" i="1" s="1"/>
  <c r="AU627" i="1" s="1"/>
  <c r="AV627" i="1" s="1"/>
  <c r="AW627" i="1" s="1"/>
  <c r="AU104" i="1"/>
  <c r="AV104" i="1" s="1"/>
  <c r="AW104" i="1" s="1"/>
  <c r="AA94" i="1"/>
  <c r="AK94" i="1" s="1"/>
  <c r="AF614" i="1"/>
  <c r="AP614" i="1" s="1"/>
  <c r="AA392" i="1"/>
  <c r="AK392" i="1" s="1"/>
  <c r="AX510" i="1"/>
  <c r="AG100" i="1"/>
  <c r="AQ100" i="1" s="1"/>
  <c r="AA332" i="1"/>
  <c r="AK332" i="1" s="1"/>
  <c r="AA605" i="1"/>
  <c r="AK605" i="1" s="1"/>
  <c r="AB503" i="1"/>
  <c r="AL503" i="1" s="1"/>
  <c r="AG535" i="1"/>
  <c r="AQ535" i="1" s="1"/>
  <c r="AD572" i="1"/>
  <c r="AN572" i="1" s="1"/>
  <c r="AS123" i="1"/>
  <c r="AT123" i="1" s="1"/>
  <c r="AU123" i="1" s="1"/>
  <c r="AV123" i="1" s="1"/>
  <c r="AW123" i="1" s="1"/>
  <c r="AG164" i="1"/>
  <c r="AQ164" i="1" s="1"/>
  <c r="AS84" i="1"/>
  <c r="AX84" i="1" s="1"/>
  <c r="AB134" i="1"/>
  <c r="AL134" i="1" s="1"/>
  <c r="AA188" i="1"/>
  <c r="AK188" i="1" s="1"/>
  <c r="AD97" i="1"/>
  <c r="AN97" i="1" s="1"/>
  <c r="AF118" i="1"/>
  <c r="AP118" i="1" s="1"/>
  <c r="AB127" i="1"/>
  <c r="AL127" i="1" s="1"/>
  <c r="AF192" i="1"/>
  <c r="AP192" i="1" s="1"/>
  <c r="AB149" i="1"/>
  <c r="AL149" i="1" s="1"/>
  <c r="AG102" i="1"/>
  <c r="AQ102" i="1" s="1"/>
  <c r="BB102" i="1" s="1"/>
  <c r="BC102" i="1" s="1"/>
  <c r="BD102" i="1" s="1"/>
  <c r="BE102" i="1" s="1"/>
  <c r="BF102" i="1" s="1"/>
  <c r="AS88" i="1"/>
  <c r="AS658" i="1"/>
  <c r="AT658" i="1" s="1"/>
  <c r="AU658" i="1" s="1"/>
  <c r="AV658" i="1" s="1"/>
  <c r="AW658" i="1" s="1"/>
  <c r="AB74" i="1"/>
  <c r="AL74" i="1" s="1"/>
  <c r="AF99" i="1"/>
  <c r="AP99" i="1" s="1"/>
  <c r="AS216" i="1"/>
  <c r="AB143" i="1"/>
  <c r="AL143" i="1" s="1"/>
  <c r="AF155" i="1"/>
  <c r="AP155" i="1" s="1"/>
  <c r="AS119" i="1"/>
  <c r="AX119" i="1" s="1"/>
  <c r="AS211" i="1"/>
  <c r="AA153" i="1"/>
  <c r="AK153" i="1" s="1"/>
  <c r="AA229" i="1"/>
  <c r="AK229" i="1" s="1"/>
  <c r="AB169" i="1"/>
  <c r="AL169" i="1" s="1"/>
  <c r="AS120" i="1"/>
  <c r="AT120" i="1" s="1"/>
  <c r="AU120" i="1" s="1"/>
  <c r="AV120" i="1" s="1"/>
  <c r="AW120" i="1" s="1"/>
  <c r="AB76" i="1"/>
  <c r="AL76" i="1" s="1"/>
  <c r="AG173" i="1"/>
  <c r="AQ173" i="1" s="1"/>
  <c r="AS144" i="1"/>
  <c r="AX144" i="1" s="1"/>
  <c r="AA116" i="1"/>
  <c r="AK116" i="1" s="1"/>
  <c r="AB173" i="1"/>
  <c r="AL173" i="1" s="1"/>
  <c r="AD85" i="1"/>
  <c r="AN85" i="1" s="1"/>
  <c r="AB110" i="1"/>
  <c r="AL110" i="1" s="1"/>
  <c r="AS107" i="1"/>
  <c r="AB96" i="1"/>
  <c r="AL96" i="1" s="1"/>
  <c r="AS558" i="1"/>
  <c r="AT558" i="1" s="1"/>
  <c r="AU558" i="1" s="1"/>
  <c r="AV558" i="1" s="1"/>
  <c r="AW558" i="1" s="1"/>
  <c r="AS159" i="1"/>
  <c r="AT159" i="1" s="1"/>
  <c r="AU159" i="1" s="1"/>
  <c r="AV159" i="1" s="1"/>
  <c r="AW159" i="1" s="1"/>
  <c r="AS126" i="1"/>
  <c r="AS81" i="1"/>
  <c r="AT81" i="1" s="1"/>
  <c r="AU81" i="1" s="1"/>
  <c r="AV81" i="1" s="1"/>
  <c r="AW81" i="1" s="1"/>
  <c r="AB139" i="1"/>
  <c r="AL139" i="1" s="1"/>
  <c r="AS106" i="1"/>
  <c r="AX106" i="1" s="1"/>
  <c r="AF87" i="1"/>
  <c r="AP87" i="1" s="1"/>
  <c r="AF94" i="1"/>
  <c r="AP94" i="1" s="1"/>
  <c r="AS94" i="1"/>
  <c r="AF74" i="1"/>
  <c r="AP74" i="1" s="1"/>
  <c r="E13" i="1"/>
  <c r="DV2" i="1" s="1"/>
  <c r="AB518" i="1"/>
  <c r="AL518" i="1" s="1"/>
  <c r="AB145" i="1"/>
  <c r="AL145" i="1" s="1"/>
  <c r="AL113" i="1"/>
  <c r="BD113" i="1" s="1"/>
  <c r="BE113" i="1" s="1"/>
  <c r="BF113" i="1" s="1"/>
  <c r="AS79" i="1"/>
  <c r="AT79" i="1" s="1"/>
  <c r="AU79" i="1" s="1"/>
  <c r="AV79" i="1" s="1"/>
  <c r="AW79" i="1" s="1"/>
  <c r="AS112" i="1"/>
  <c r="AT112" i="1" s="1"/>
  <c r="AU112" i="1" s="1"/>
  <c r="AV112" i="1" s="1"/>
  <c r="AW112" i="1" s="1"/>
  <c r="AF77" i="1"/>
  <c r="AP77" i="1" s="1"/>
  <c r="AL523" i="1"/>
  <c r="AL111" i="1"/>
  <c r="AB73" i="1"/>
  <c r="AL73" i="1" s="1"/>
  <c r="AS409" i="1"/>
  <c r="AT409" i="1" s="1"/>
  <c r="AU409" i="1" s="1"/>
  <c r="AV409" i="1" s="1"/>
  <c r="AW409" i="1" s="1"/>
  <c r="AB106" i="1"/>
  <c r="AL106" i="1" s="1"/>
  <c r="AF73" i="1"/>
  <c r="AP73" i="1" s="1"/>
  <c r="AS102" i="1"/>
  <c r="AT102" i="1" s="1"/>
  <c r="AU102" i="1" s="1"/>
  <c r="AV102" i="1" s="1"/>
  <c r="AW102" i="1" s="1"/>
  <c r="AB71" i="1"/>
  <c r="AL71" i="1" s="1"/>
  <c r="AB571" i="1"/>
  <c r="AL571" i="1" s="1"/>
  <c r="AB593" i="1"/>
  <c r="AL593" i="1" s="1"/>
  <c r="AB429" i="1"/>
  <c r="AL429" i="1" s="1"/>
  <c r="AF79" i="1"/>
  <c r="AP79" i="1" s="1"/>
  <c r="AD574" i="1"/>
  <c r="AN574" i="1" s="1"/>
  <c r="AB426" i="1"/>
  <c r="AL426" i="1" s="1"/>
  <c r="AD664" i="1"/>
  <c r="AN664" i="1" s="1"/>
  <c r="AS229" i="1"/>
  <c r="AT229" i="1" s="1"/>
  <c r="AU229" i="1" s="1"/>
  <c r="AV229" i="1" s="1"/>
  <c r="AW229" i="1" s="1"/>
  <c r="AS425" i="1"/>
  <c r="AS197" i="1"/>
  <c r="AT197" i="1" s="1"/>
  <c r="AU197" i="1" s="1"/>
  <c r="AV197" i="1" s="1"/>
  <c r="AW197" i="1" s="1"/>
  <c r="AF396" i="1"/>
  <c r="AP396" i="1" s="1"/>
  <c r="AG621" i="1"/>
  <c r="AQ621" i="1" s="1"/>
  <c r="AB552" i="1"/>
  <c r="AL552" i="1" s="1"/>
  <c r="AF467" i="1"/>
  <c r="AP467" i="1" s="1"/>
  <c r="AS626" i="1"/>
  <c r="AG564" i="1"/>
  <c r="AQ564" i="1" s="1"/>
  <c r="BB564" i="1" s="1"/>
  <c r="BC564" i="1" s="1"/>
  <c r="AD151" i="1"/>
  <c r="AN151" i="1" s="1"/>
  <c r="BB151" i="1" s="1"/>
  <c r="BC151" i="1" s="1"/>
  <c r="AG594" i="1"/>
  <c r="AQ594" i="1" s="1"/>
  <c r="AD264" i="1"/>
  <c r="AN264" i="1" s="1"/>
  <c r="AD600" i="1"/>
  <c r="AN600" i="1" s="1"/>
  <c r="BB600" i="1" s="1"/>
  <c r="BC600" i="1" s="1"/>
  <c r="BD600" i="1" s="1"/>
  <c r="BE600" i="1" s="1"/>
  <c r="BF600" i="1" s="1"/>
  <c r="AB527" i="1"/>
  <c r="AL527" i="1" s="1"/>
  <c r="AA471" i="1"/>
  <c r="AK471" i="1" s="1"/>
  <c r="AF639" i="1"/>
  <c r="AP639" i="1" s="1"/>
  <c r="AF537" i="1"/>
  <c r="AP537" i="1" s="1"/>
  <c r="AG592" i="1"/>
  <c r="AQ592" i="1" s="1"/>
  <c r="AB504" i="1"/>
  <c r="AL504" i="1" s="1"/>
  <c r="AF601" i="1"/>
  <c r="AP601" i="1" s="1"/>
  <c r="AA425" i="1"/>
  <c r="AK425" i="1" s="1"/>
  <c r="AD328" i="1"/>
  <c r="AN328" i="1" s="1"/>
  <c r="BB328" i="1" s="1"/>
  <c r="BC328" i="1" s="1"/>
  <c r="AE201" i="1"/>
  <c r="AO201" i="1" s="1"/>
  <c r="AG111" i="1"/>
  <c r="AQ111" i="1" s="1"/>
  <c r="AB355" i="1"/>
  <c r="AL355" i="1" s="1"/>
  <c r="AA312" i="1"/>
  <c r="AK312" i="1" s="1"/>
  <c r="AE77" i="1"/>
  <c r="AO77" i="1" s="1"/>
  <c r="AE120" i="1"/>
  <c r="AO120" i="1" s="1"/>
  <c r="AB120" i="1"/>
  <c r="AL120" i="1" s="1"/>
  <c r="AF233" i="1"/>
  <c r="AP233" i="1" s="1"/>
  <c r="AD321" i="1"/>
  <c r="AN321" i="1" s="1"/>
  <c r="AG324" i="1"/>
  <c r="AQ324" i="1" s="1"/>
  <c r="AG347" i="1"/>
  <c r="AQ347" i="1" s="1"/>
  <c r="AF483" i="1"/>
  <c r="AP483" i="1" s="1"/>
  <c r="AD257" i="1"/>
  <c r="AN257" i="1" s="1"/>
  <c r="BB257" i="1" s="1"/>
  <c r="BC257" i="1" s="1"/>
  <c r="AE157" i="1"/>
  <c r="AO157" i="1" s="1"/>
  <c r="AS89" i="1"/>
  <c r="AX89" i="1" s="1"/>
  <c r="E17" i="1"/>
  <c r="DZ2" i="1" s="1"/>
  <c r="AB542" i="1"/>
  <c r="AL542" i="1" s="1"/>
  <c r="AD451" i="1"/>
  <c r="AN451" i="1" s="1"/>
  <c r="AV360" i="1"/>
  <c r="AW360" i="1" s="1"/>
  <c r="AD446" i="1"/>
  <c r="AN446" i="1" s="1"/>
  <c r="BB446" i="1" s="1"/>
  <c r="BC446" i="1" s="1"/>
  <c r="AG652" i="1"/>
  <c r="AQ652" i="1" s="1"/>
  <c r="AA495" i="1"/>
  <c r="AK495" i="1" s="1"/>
  <c r="AK147" i="1"/>
  <c r="AG465" i="1"/>
  <c r="AQ465" i="1" s="1"/>
  <c r="AD560" i="1"/>
  <c r="AN560" i="1" s="1"/>
  <c r="AD483" i="1"/>
  <c r="AN483" i="1" s="1"/>
  <c r="AD339" i="1"/>
  <c r="AN339" i="1" s="1"/>
  <c r="AD156" i="1"/>
  <c r="AN156" i="1" s="1"/>
  <c r="BB156" i="1" s="1"/>
  <c r="BC156" i="1" s="1"/>
  <c r="AF307" i="1"/>
  <c r="AP307" i="1" s="1"/>
  <c r="AA307" i="1"/>
  <c r="AK307" i="1" s="1"/>
  <c r="AA355" i="1"/>
  <c r="AK355" i="1" s="1"/>
  <c r="AD67" i="1"/>
  <c r="AN67" i="1" s="1"/>
  <c r="BB67" i="1" s="1"/>
  <c r="BC67" i="1" s="1"/>
  <c r="AD238" i="1"/>
  <c r="AN238" i="1" s="1"/>
  <c r="AA612" i="1"/>
  <c r="AK612" i="1" s="1"/>
  <c r="AE89" i="1"/>
  <c r="AO89" i="1" s="1"/>
  <c r="AA291" i="1"/>
  <c r="AK291" i="1" s="1"/>
  <c r="AF494" i="1"/>
  <c r="AP494" i="1" s="1"/>
  <c r="AF610" i="1"/>
  <c r="AP610" i="1" s="1"/>
  <c r="AD460" i="1"/>
  <c r="AN460" i="1" s="1"/>
  <c r="BB460" i="1" s="1"/>
  <c r="BC460" i="1" s="1"/>
  <c r="AB581" i="1"/>
  <c r="AL581" i="1" s="1"/>
  <c r="E15" i="1"/>
  <c r="DX2" i="1" s="1"/>
  <c r="AK602" i="1"/>
  <c r="AE329" i="1"/>
  <c r="AO329" i="1" s="1"/>
  <c r="AG88" i="1"/>
  <c r="AQ88" i="1" s="1"/>
  <c r="AB321" i="1"/>
  <c r="AL321" i="1" s="1"/>
  <c r="AD393" i="1"/>
  <c r="AN393" i="1" s="1"/>
  <c r="AS277" i="1"/>
  <c r="AT277" i="1" s="1"/>
  <c r="AU277" i="1" s="1"/>
  <c r="AV277" i="1" s="1"/>
  <c r="AW277" i="1" s="1"/>
  <c r="AB112" i="1"/>
  <c r="AL112" i="1" s="1"/>
  <c r="AD200" i="1"/>
  <c r="AN200" i="1" s="1"/>
  <c r="AF469" i="1"/>
  <c r="AP469" i="1" s="1"/>
  <c r="AX642" i="1"/>
  <c r="AD429" i="1"/>
  <c r="AN429" i="1" s="1"/>
  <c r="AA200" i="1"/>
  <c r="AK200" i="1" s="1"/>
  <c r="AE627" i="1"/>
  <c r="AO627" i="1" s="1"/>
  <c r="AL554" i="1"/>
  <c r="AD492" i="1"/>
  <c r="AN492" i="1" s="1"/>
  <c r="AA227" i="1"/>
  <c r="AK227" i="1" s="1"/>
  <c r="AA248" i="1"/>
  <c r="AK248" i="1" s="1"/>
  <c r="AB90" i="1"/>
  <c r="AL90" i="1" s="1"/>
  <c r="AA340" i="1"/>
  <c r="AK340" i="1" s="1"/>
  <c r="AE339" i="1"/>
  <c r="AO339" i="1" s="1"/>
  <c r="AE172" i="1"/>
  <c r="AO172" i="1" s="1"/>
  <c r="AB551" i="1"/>
  <c r="AL551" i="1" s="1"/>
  <c r="AF294" i="1"/>
  <c r="AP294" i="1" s="1"/>
  <c r="AA493" i="1"/>
  <c r="AK493" i="1" s="1"/>
  <c r="AA270" i="1"/>
  <c r="AK270" i="1" s="1"/>
  <c r="AB263" i="1"/>
  <c r="AL263" i="1" s="1"/>
  <c r="AK269" i="1"/>
  <c r="AG93" i="1"/>
  <c r="AQ93" i="1" s="1"/>
  <c r="AG123" i="1"/>
  <c r="AQ123" i="1" s="1"/>
  <c r="AD442" i="1"/>
  <c r="AN442" i="1" s="1"/>
  <c r="AA232" i="1"/>
  <c r="AK232" i="1" s="1"/>
  <c r="AD248" i="1"/>
  <c r="AN248" i="1" s="1"/>
  <c r="AB520" i="1"/>
  <c r="AL520" i="1" s="1"/>
  <c r="AF121" i="1"/>
  <c r="AP121" i="1" s="1"/>
  <c r="AG441" i="1"/>
  <c r="AQ441" i="1" s="1"/>
  <c r="AD365" i="1"/>
  <c r="AN365" i="1" s="1"/>
  <c r="BB365" i="1" s="1"/>
  <c r="BG365" i="1" s="1"/>
  <c r="AA603" i="1"/>
  <c r="AK603" i="1" s="1"/>
  <c r="AS656" i="1"/>
  <c r="AT656" i="1" s="1"/>
  <c r="AU656" i="1" s="1"/>
  <c r="AV656" i="1" s="1"/>
  <c r="AW656" i="1" s="1"/>
  <c r="AG201" i="1"/>
  <c r="AQ201" i="1" s="1"/>
  <c r="AF391" i="1"/>
  <c r="AP391" i="1" s="1"/>
  <c r="AD70" i="1"/>
  <c r="AN70" i="1" s="1"/>
  <c r="AF138" i="1"/>
  <c r="AP138" i="1" s="1"/>
  <c r="AF415" i="1"/>
  <c r="AP415" i="1" s="1"/>
  <c r="AA346" i="1"/>
  <c r="AK346" i="1" s="1"/>
  <c r="AG555" i="1"/>
  <c r="AQ555" i="1" s="1"/>
  <c r="AB460" i="1"/>
  <c r="AL460" i="1" s="1"/>
  <c r="AG495" i="1"/>
  <c r="AQ495" i="1" s="1"/>
  <c r="BB495" i="1" s="1"/>
  <c r="BC495" i="1" s="1"/>
  <c r="AE404" i="1"/>
  <c r="AO404" i="1" s="1"/>
  <c r="AX275" i="1"/>
  <c r="AU185" i="1"/>
  <c r="AV185" i="1" s="1"/>
  <c r="AW185" i="1" s="1"/>
  <c r="AB348" i="1"/>
  <c r="AL348" i="1" s="1"/>
  <c r="AD425" i="1"/>
  <c r="AN425" i="1" s="1"/>
  <c r="AS574" i="1"/>
  <c r="AT574" i="1" s="1"/>
  <c r="AU574" i="1" s="1"/>
  <c r="AV574" i="1" s="1"/>
  <c r="AW574" i="1" s="1"/>
  <c r="AD397" i="1"/>
  <c r="AN397" i="1" s="1"/>
  <c r="AE641" i="1"/>
  <c r="AO641" i="1" s="1"/>
  <c r="AS389" i="1"/>
  <c r="AT389" i="1" s="1"/>
  <c r="AU389" i="1" s="1"/>
  <c r="AV389" i="1" s="1"/>
  <c r="AW389" i="1" s="1"/>
  <c r="AD558" i="1"/>
  <c r="AN558" i="1" s="1"/>
  <c r="AB629" i="1"/>
  <c r="AL629" i="1" s="1"/>
  <c r="AF314" i="1"/>
  <c r="AP314" i="1" s="1"/>
  <c r="AA441" i="1"/>
  <c r="AK441" i="1" s="1"/>
  <c r="AU572" i="1"/>
  <c r="AV572" i="1" s="1"/>
  <c r="AW572" i="1" s="1"/>
  <c r="AB400" i="1"/>
  <c r="AL400" i="1" s="1"/>
  <c r="AV441" i="1"/>
  <c r="AW441" i="1" s="1"/>
  <c r="AF466" i="1"/>
  <c r="AP466" i="1" s="1"/>
  <c r="AG70" i="1"/>
  <c r="AQ70" i="1" s="1"/>
  <c r="BB70" i="1" s="1"/>
  <c r="BC70" i="1" s="1"/>
  <c r="AF244" i="1"/>
  <c r="AP244" i="1" s="1"/>
  <c r="AB244" i="1"/>
  <c r="AL244" i="1" s="1"/>
  <c r="AB206" i="1"/>
  <c r="AL206" i="1" s="1"/>
  <c r="AA494" i="1"/>
  <c r="AK494" i="1" s="1"/>
  <c r="AF597" i="1"/>
  <c r="AP597" i="1" s="1"/>
  <c r="AA584" i="1"/>
  <c r="AK584" i="1" s="1"/>
  <c r="AG433" i="1"/>
  <c r="AQ433" i="1" s="1"/>
  <c r="AE612" i="1"/>
  <c r="AO612" i="1" s="1"/>
  <c r="AV233" i="1"/>
  <c r="AW233" i="1" s="1"/>
  <c r="AE95" i="1"/>
  <c r="AO95" i="1" s="1"/>
  <c r="AE587" i="1"/>
  <c r="AO587" i="1" s="1"/>
  <c r="AF454" i="1"/>
  <c r="AP454" i="1" s="1"/>
  <c r="AD143" i="1"/>
  <c r="AN143" i="1" s="1"/>
  <c r="AD489" i="1"/>
  <c r="AN489" i="1" s="1"/>
  <c r="AB534" i="1"/>
  <c r="AL534" i="1" s="1"/>
  <c r="AA352" i="1"/>
  <c r="AK352" i="1" s="1"/>
  <c r="AU569" i="1"/>
  <c r="AV569" i="1" s="1"/>
  <c r="AW569" i="1" s="1"/>
  <c r="AK575" i="1"/>
  <c r="AB381" i="1"/>
  <c r="AL381" i="1" s="1"/>
  <c r="AD137" i="1"/>
  <c r="AN137" i="1" s="1"/>
  <c r="AA263" i="1"/>
  <c r="AK263" i="1" s="1"/>
  <c r="AA369" i="1"/>
  <c r="AK369" i="1" s="1"/>
  <c r="AB597" i="1"/>
  <c r="AL597" i="1" s="1"/>
  <c r="AS152" i="1"/>
  <c r="AT152" i="1" s="1"/>
  <c r="AU152" i="1" s="1"/>
  <c r="AV152" i="1" s="1"/>
  <c r="AW152" i="1" s="1"/>
  <c r="AG502" i="1"/>
  <c r="AQ502" i="1" s="1"/>
  <c r="BB502" i="1" s="1"/>
  <c r="BC502" i="1" s="1"/>
  <c r="BD502" i="1" s="1"/>
  <c r="BE502" i="1" s="1"/>
  <c r="BF502" i="1" s="1"/>
  <c r="AS97" i="1"/>
  <c r="AT97" i="1" s="1"/>
  <c r="AU97" i="1" s="1"/>
  <c r="AV97" i="1" s="1"/>
  <c r="AW97" i="1" s="1"/>
  <c r="AA154" i="1"/>
  <c r="AK154" i="1" s="1"/>
  <c r="AK223" i="1"/>
  <c r="AD356" i="1"/>
  <c r="AN356" i="1" s="1"/>
  <c r="AF117" i="1"/>
  <c r="AP117" i="1" s="1"/>
  <c r="AD409" i="1"/>
  <c r="AN409" i="1" s="1"/>
  <c r="BB409" i="1" s="1"/>
  <c r="BC409" i="1" s="1"/>
  <c r="AD115" i="1"/>
  <c r="AN115" i="1" s="1"/>
  <c r="BB115" i="1" s="1"/>
  <c r="BC115" i="1" s="1"/>
  <c r="AB89" i="1"/>
  <c r="AL89" i="1" s="1"/>
  <c r="BD89" i="1" s="1"/>
  <c r="BE89" i="1" s="1"/>
  <c r="BF89" i="1" s="1"/>
  <c r="AF209" i="1"/>
  <c r="AP209" i="1" s="1"/>
  <c r="AS155" i="1"/>
  <c r="AT155" i="1" s="1"/>
  <c r="AU155" i="1" s="1"/>
  <c r="AV155" i="1" s="1"/>
  <c r="AW155" i="1" s="1"/>
  <c r="AB81" i="1"/>
  <c r="AL81" i="1" s="1"/>
  <c r="AD135" i="1"/>
  <c r="AN135" i="1" s="1"/>
  <c r="BB135" i="1" s="1"/>
  <c r="BC135" i="1" s="1"/>
  <c r="AE69" i="1"/>
  <c r="AO69" i="1" s="1"/>
  <c r="AA192" i="1"/>
  <c r="AK192" i="1" s="1"/>
  <c r="AD93" i="1"/>
  <c r="AN93" i="1" s="1"/>
  <c r="AD301" i="1"/>
  <c r="AN301" i="1" s="1"/>
  <c r="BB301" i="1" s="1"/>
  <c r="BC301" i="1" s="1"/>
  <c r="BD301" i="1" s="1"/>
  <c r="BE301" i="1" s="1"/>
  <c r="BF301" i="1" s="1"/>
  <c r="AB492" i="1"/>
  <c r="AL492" i="1" s="1"/>
  <c r="AS367" i="1"/>
  <c r="AT367" i="1" s="1"/>
  <c r="AU367" i="1" s="1"/>
  <c r="AV367" i="1" s="1"/>
  <c r="AW367" i="1" s="1"/>
  <c r="AL450" i="1"/>
  <c r="AS622" i="1"/>
  <c r="AT622" i="1" s="1"/>
  <c r="AU622" i="1" s="1"/>
  <c r="AV622" i="1" s="1"/>
  <c r="AW622" i="1" s="1"/>
  <c r="AE224" i="1"/>
  <c r="AO224" i="1" s="1"/>
  <c r="AG224" i="1"/>
  <c r="AQ224" i="1" s="1"/>
  <c r="AA91" i="1"/>
  <c r="AK91" i="1" s="1"/>
  <c r="AG91" i="1"/>
  <c r="AQ91" i="1" s="1"/>
  <c r="AG480" i="1"/>
  <c r="AQ480" i="1" s="1"/>
  <c r="BB480" i="1" s="1"/>
  <c r="BC480" i="1" s="1"/>
  <c r="AB547" i="1"/>
  <c r="AL547" i="1" s="1"/>
  <c r="AA644" i="1"/>
  <c r="AK644" i="1" s="1"/>
  <c r="AA628" i="1"/>
  <c r="AK628" i="1" s="1"/>
  <c r="AG399" i="1"/>
  <c r="AQ399" i="1" s="1"/>
  <c r="AB584" i="1"/>
  <c r="AL584" i="1" s="1"/>
  <c r="AD255" i="1"/>
  <c r="AN255" i="1" s="1"/>
  <c r="AB647" i="1"/>
  <c r="AL647" i="1" s="1"/>
  <c r="AF652" i="1"/>
  <c r="AP652" i="1" s="1"/>
  <c r="AG211" i="1"/>
  <c r="AQ211" i="1" s="1"/>
  <c r="AB292" i="1"/>
  <c r="AL292" i="1" s="1"/>
  <c r="AA382" i="1"/>
  <c r="AK382" i="1" s="1"/>
  <c r="AB307" i="1"/>
  <c r="AL307" i="1" s="1"/>
  <c r="AL341" i="1"/>
  <c r="AL575" i="1"/>
  <c r="AF251" i="1"/>
  <c r="AP251" i="1" s="1"/>
  <c r="AG488" i="1"/>
  <c r="AQ488" i="1" s="1"/>
  <c r="AF493" i="1"/>
  <c r="AP493" i="1" s="1"/>
  <c r="AF292" i="1"/>
  <c r="AP292" i="1" s="1"/>
  <c r="AD335" i="1"/>
  <c r="AN335" i="1" s="1"/>
  <c r="BB335" i="1" s="1"/>
  <c r="BC335" i="1" s="1"/>
  <c r="BD335" i="1" s="1"/>
  <c r="AD607" i="1"/>
  <c r="AN607" i="1" s="1"/>
  <c r="AS334" i="1"/>
  <c r="AX334" i="1" s="1"/>
  <c r="AS438" i="1"/>
  <c r="AX438" i="1" s="1"/>
  <c r="AD201" i="1"/>
  <c r="AN201" i="1" s="1"/>
  <c r="AG459" i="1"/>
  <c r="AQ459" i="1" s="1"/>
  <c r="BB459" i="1" s="1"/>
  <c r="BG459" i="1" s="1"/>
  <c r="AF408" i="1"/>
  <c r="AP408" i="1" s="1"/>
  <c r="AG492" i="1"/>
  <c r="AQ492" i="1" s="1"/>
  <c r="AD509" i="1"/>
  <c r="AN509" i="1" s="1"/>
  <c r="AG367" i="1"/>
  <c r="AQ367" i="1" s="1"/>
  <c r="AB601" i="1"/>
  <c r="AL601" i="1" s="1"/>
  <c r="AK241" i="1"/>
  <c r="AA661" i="1"/>
  <c r="AK661" i="1" s="1"/>
  <c r="AG377" i="1"/>
  <c r="AQ377" i="1" s="1"/>
  <c r="AB620" i="1"/>
  <c r="AL620" i="1" s="1"/>
  <c r="AD529" i="1"/>
  <c r="AN529" i="1" s="1"/>
  <c r="AE203" i="1"/>
  <c r="AO203" i="1" s="1"/>
  <c r="AF355" i="1"/>
  <c r="AP355" i="1" s="1"/>
  <c r="AF376" i="1"/>
  <c r="AP376" i="1" s="1"/>
  <c r="AD565" i="1"/>
  <c r="AN565" i="1" s="1"/>
  <c r="AA615" i="1"/>
  <c r="AK615" i="1" s="1"/>
  <c r="AB622" i="1"/>
  <c r="AL622" i="1" s="1"/>
  <c r="AG531" i="1"/>
  <c r="AQ531" i="1" s="1"/>
  <c r="AL625" i="1"/>
  <c r="AS474" i="1"/>
  <c r="AX474" i="1" s="1"/>
  <c r="AF368" i="1"/>
  <c r="AP368" i="1" s="1"/>
  <c r="AB77" i="1"/>
  <c r="AL77" i="1" s="1"/>
  <c r="AD94" i="1"/>
  <c r="AN94" i="1" s="1"/>
  <c r="AG120" i="1"/>
  <c r="AQ120" i="1" s="1"/>
  <c r="BB120" i="1" s="1"/>
  <c r="BC120" i="1" s="1"/>
  <c r="AB233" i="1"/>
  <c r="AL233" i="1" s="1"/>
  <c r="AF324" i="1"/>
  <c r="AP324" i="1" s="1"/>
  <c r="AB347" i="1"/>
  <c r="AL347" i="1" s="1"/>
  <c r="AD347" i="1"/>
  <c r="AN347" i="1" s="1"/>
  <c r="AG483" i="1"/>
  <c r="AQ483" i="1" s="1"/>
  <c r="BB483" i="1" s="1"/>
  <c r="AG494" i="1"/>
  <c r="AQ494" i="1" s="1"/>
  <c r="AG159" i="1"/>
  <c r="AQ159" i="1" s="1"/>
  <c r="AA262" i="1"/>
  <c r="AK262" i="1" s="1"/>
  <c r="AA424" i="1"/>
  <c r="AK424" i="1" s="1"/>
  <c r="AD496" i="1"/>
  <c r="AN496" i="1" s="1"/>
  <c r="AE358" i="1"/>
  <c r="AO358" i="1" s="1"/>
  <c r="AF477" i="1"/>
  <c r="AP477" i="1" s="1"/>
  <c r="AA643" i="1"/>
  <c r="AK643" i="1" s="1"/>
  <c r="AF643" i="1"/>
  <c r="AP643" i="1" s="1"/>
  <c r="AF589" i="1"/>
  <c r="AP589" i="1" s="1"/>
  <c r="AG666" i="1"/>
  <c r="AQ666" i="1" s="1"/>
  <c r="BB666" i="1" s="1"/>
  <c r="BC666" i="1" s="1"/>
  <c r="AF666" i="1"/>
  <c r="AP666" i="1" s="1"/>
  <c r="AS304" i="1"/>
  <c r="AT304" i="1" s="1"/>
  <c r="AU304" i="1" s="1"/>
  <c r="AV304" i="1" s="1"/>
  <c r="AW304" i="1" s="1"/>
  <c r="AA159" i="1"/>
  <c r="AK159" i="1" s="1"/>
  <c r="AG239" i="1"/>
  <c r="AQ239" i="1" s="1"/>
  <c r="AA251" i="1"/>
  <c r="AK251" i="1" s="1"/>
  <c r="AA72" i="1"/>
  <c r="AK72" i="1" s="1"/>
  <c r="AD106" i="1"/>
  <c r="AN106" i="1" s="1"/>
  <c r="AG157" i="1"/>
  <c r="AQ157" i="1" s="1"/>
  <c r="AG298" i="1"/>
  <c r="AQ298" i="1" s="1"/>
  <c r="BB298" i="1" s="1"/>
  <c r="AF330" i="1"/>
  <c r="AP330" i="1" s="1"/>
  <c r="AG450" i="1"/>
  <c r="AQ450" i="1" s="1"/>
  <c r="AA212" i="1"/>
  <c r="AK212" i="1" s="1"/>
  <c r="AE474" i="1"/>
  <c r="AO474" i="1" s="1"/>
  <c r="AA542" i="1"/>
  <c r="AK542" i="1" s="1"/>
  <c r="AA568" i="1"/>
  <c r="AK568" i="1" s="1"/>
  <c r="AD476" i="1"/>
  <c r="AN476" i="1" s="1"/>
  <c r="BB476" i="1" s="1"/>
  <c r="BC476" i="1" s="1"/>
  <c r="BD476" i="1" s="1"/>
  <c r="BE476" i="1" s="1"/>
  <c r="BF476" i="1" s="1"/>
  <c r="AA446" i="1"/>
  <c r="AK446" i="1" s="1"/>
  <c r="AB652" i="1"/>
  <c r="AL652" i="1" s="1"/>
  <c r="AB408" i="1"/>
  <c r="AL408" i="1" s="1"/>
  <c r="AE505" i="1"/>
  <c r="AO505" i="1" s="1"/>
  <c r="AF168" i="1"/>
  <c r="AP168" i="1" s="1"/>
  <c r="AA588" i="1"/>
  <c r="AK588" i="1" s="1"/>
  <c r="AD416" i="1"/>
  <c r="AN416" i="1" s="1"/>
  <c r="AB539" i="1"/>
  <c r="AL539" i="1" s="1"/>
  <c r="AD470" i="1"/>
  <c r="AN470" i="1" s="1"/>
  <c r="BB470" i="1" s="1"/>
  <c r="AA607" i="1"/>
  <c r="AK607" i="1" s="1"/>
  <c r="AF88" i="1"/>
  <c r="AP88" i="1" s="1"/>
  <c r="AF200" i="1"/>
  <c r="AP200" i="1" s="1"/>
  <c r="AG291" i="1"/>
  <c r="AQ291" i="1" s="1"/>
  <c r="AG360" i="1"/>
  <c r="AQ360" i="1" s="1"/>
  <c r="BB360" i="1" s="1"/>
  <c r="AB401" i="1"/>
  <c r="AL401" i="1" s="1"/>
  <c r="AB580" i="1"/>
  <c r="AL580" i="1" s="1"/>
  <c r="AU497" i="1"/>
  <c r="AV497" i="1" s="1"/>
  <c r="AW497" i="1" s="1"/>
  <c r="AS290" i="1"/>
  <c r="AT290" i="1" s="1"/>
  <c r="AU290" i="1" s="1"/>
  <c r="AV290" i="1" s="1"/>
  <c r="AW290" i="1" s="1"/>
  <c r="AD506" i="1"/>
  <c r="AN506" i="1" s="1"/>
  <c r="AD661" i="1"/>
  <c r="AN661" i="1" s="1"/>
  <c r="BB661" i="1" s="1"/>
  <c r="BC661" i="1" s="1"/>
  <c r="BD661" i="1" s="1"/>
  <c r="AD580" i="1"/>
  <c r="AN580" i="1" s="1"/>
  <c r="BB580" i="1" s="1"/>
  <c r="BC580" i="1" s="1"/>
  <c r="BD580" i="1" s="1"/>
  <c r="AA555" i="1"/>
  <c r="AK555" i="1" s="1"/>
  <c r="AD263" i="1"/>
  <c r="AN263" i="1" s="1"/>
  <c r="BB263" i="1" s="1"/>
  <c r="BC263" i="1" s="1"/>
  <c r="AD443" i="1"/>
  <c r="AN443" i="1" s="1"/>
  <c r="AD346" i="1"/>
  <c r="AN346" i="1" s="1"/>
  <c r="AB156" i="1"/>
  <c r="AL156" i="1" s="1"/>
  <c r="AD307" i="1"/>
  <c r="AN307" i="1" s="1"/>
  <c r="BB307" i="1" s="1"/>
  <c r="BC307" i="1" s="1"/>
  <c r="AD355" i="1"/>
  <c r="AN355" i="1" s="1"/>
  <c r="AG588" i="1"/>
  <c r="AQ588" i="1" s="1"/>
  <c r="AE597" i="1"/>
  <c r="AO597" i="1" s="1"/>
  <c r="AB67" i="1"/>
  <c r="AL67" i="1" s="1"/>
  <c r="AL108" i="1"/>
  <c r="AF238" i="1"/>
  <c r="AP238" i="1" s="1"/>
  <c r="AG570" i="1"/>
  <c r="AQ570" i="1" s="1"/>
  <c r="AE377" i="1"/>
  <c r="AO377" i="1" s="1"/>
  <c r="AF490" i="1"/>
  <c r="AP490" i="1" s="1"/>
  <c r="AF461" i="1"/>
  <c r="AP461" i="1" s="1"/>
  <c r="AB126" i="1"/>
  <c r="AL126" i="1" s="1"/>
  <c r="AE246" i="1"/>
  <c r="AO246" i="1" s="1"/>
  <c r="AD291" i="1"/>
  <c r="AN291" i="1" s="1"/>
  <c r="AG383" i="1"/>
  <c r="AQ383" i="1" s="1"/>
  <c r="AE400" i="1"/>
  <c r="AO400" i="1" s="1"/>
  <c r="AB142" i="1"/>
  <c r="AL142" i="1" s="1"/>
  <c r="AB184" i="1"/>
  <c r="AL184" i="1" s="1"/>
  <c r="AE494" i="1"/>
  <c r="AO494" i="1" s="1"/>
  <c r="AB537" i="1"/>
  <c r="AL537" i="1" s="1"/>
  <c r="AE610" i="1"/>
  <c r="AO610" i="1" s="1"/>
  <c r="AD150" i="1"/>
  <c r="AN150" i="1" s="1"/>
  <c r="AF460" i="1"/>
  <c r="AP460" i="1" s="1"/>
  <c r="AA581" i="1"/>
  <c r="AK581" i="1" s="1"/>
  <c r="AD563" i="1"/>
  <c r="AN563" i="1" s="1"/>
  <c r="AA487" i="1"/>
  <c r="AK487" i="1" s="1"/>
  <c r="AD329" i="1"/>
  <c r="AN329" i="1" s="1"/>
  <c r="AD405" i="1"/>
  <c r="AN405" i="1" s="1"/>
  <c r="BB405" i="1" s="1"/>
  <c r="BC405" i="1" s="1"/>
  <c r="AF169" i="1"/>
  <c r="AP169" i="1" s="1"/>
  <c r="AD392" i="1"/>
  <c r="AN392" i="1" s="1"/>
  <c r="AA598" i="1"/>
  <c r="AK598" i="1" s="1"/>
  <c r="AF449" i="1"/>
  <c r="AP449" i="1" s="1"/>
  <c r="AD211" i="1"/>
  <c r="AN211" i="1" s="1"/>
  <c r="AD282" i="1"/>
  <c r="AN282" i="1" s="1"/>
  <c r="BB282" i="1" s="1"/>
  <c r="BC282" i="1" s="1"/>
  <c r="AG507" i="1"/>
  <c r="AQ507" i="1" s="1"/>
  <c r="AF576" i="1"/>
  <c r="AP576" i="1" s="1"/>
  <c r="AB529" i="1"/>
  <c r="AL529" i="1" s="1"/>
  <c r="AG636" i="1"/>
  <c r="AQ636" i="1" s="1"/>
  <c r="BB636" i="1" s="1"/>
  <c r="BC636" i="1" s="1"/>
  <c r="BD636" i="1" s="1"/>
  <c r="BE636" i="1" s="1"/>
  <c r="BF636" i="1" s="1"/>
  <c r="AB627" i="1"/>
  <c r="AL627" i="1" s="1"/>
  <c r="AS512" i="1"/>
  <c r="AT512" i="1" s="1"/>
  <c r="AU512" i="1" s="1"/>
  <c r="AV512" i="1" s="1"/>
  <c r="AW512" i="1" s="1"/>
  <c r="AB519" i="1"/>
  <c r="AL519" i="1" s="1"/>
  <c r="AD351" i="1"/>
  <c r="AN351" i="1" s="1"/>
  <c r="AG607" i="1"/>
  <c r="AQ607" i="1" s="1"/>
  <c r="BB607" i="1" s="1"/>
  <c r="BC607" i="1" s="1"/>
  <c r="AA350" i="1"/>
  <c r="AK350" i="1" s="1"/>
  <c r="AG315" i="1"/>
  <c r="AQ315" i="1" s="1"/>
  <c r="AG376" i="1"/>
  <c r="AQ376" i="1" s="1"/>
  <c r="AA627" i="1"/>
  <c r="AK627" i="1" s="1"/>
  <c r="AG617" i="1"/>
  <c r="AQ617" i="1" s="1"/>
  <c r="BB617" i="1" s="1"/>
  <c r="BC617" i="1" s="1"/>
  <c r="AD504" i="1"/>
  <c r="AN504" i="1" s="1"/>
  <c r="AB199" i="1"/>
  <c r="AL199" i="1" s="1"/>
  <c r="AE492" i="1"/>
  <c r="AO492" i="1" s="1"/>
  <c r="AE584" i="1"/>
  <c r="AO584" i="1" s="1"/>
  <c r="AF506" i="1"/>
  <c r="AP506" i="1" s="1"/>
  <c r="AB480" i="1"/>
  <c r="AL480" i="1" s="1"/>
  <c r="AF271" i="1"/>
  <c r="AP271" i="1" s="1"/>
  <c r="AE183" i="1"/>
  <c r="AO183" i="1" s="1"/>
  <c r="AD179" i="1"/>
  <c r="AN179" i="1" s="1"/>
  <c r="AD543" i="1"/>
  <c r="AN543" i="1" s="1"/>
  <c r="BB543" i="1" s="1"/>
  <c r="BC543" i="1" s="1"/>
  <c r="AG344" i="1"/>
  <c r="AQ344" i="1" s="1"/>
  <c r="AF622" i="1"/>
  <c r="AP622" i="1" s="1"/>
  <c r="AS435" i="1"/>
  <c r="AX435" i="1" s="1"/>
  <c r="AD456" i="1"/>
  <c r="AN456" i="1" s="1"/>
  <c r="BB456" i="1" s="1"/>
  <c r="BC456" i="1" s="1"/>
  <c r="AD501" i="1"/>
  <c r="AN501" i="1" s="1"/>
  <c r="AK595" i="1"/>
  <c r="AB339" i="1"/>
  <c r="AL339" i="1" s="1"/>
  <c r="AE476" i="1"/>
  <c r="AO476" i="1" s="1"/>
  <c r="AS600" i="1"/>
  <c r="AB543" i="1"/>
  <c r="AL543" i="1" s="1"/>
  <c r="AV141" i="1"/>
  <c r="AW141" i="1" s="1"/>
  <c r="AS653" i="1"/>
  <c r="AG519" i="1"/>
  <c r="AQ519" i="1" s="1"/>
  <c r="AK260" i="1"/>
  <c r="AD534" i="1"/>
  <c r="AN534" i="1" s="1"/>
  <c r="AG172" i="1"/>
  <c r="AQ172" i="1" s="1"/>
  <c r="BB172" i="1" s="1"/>
  <c r="BC172" i="1" s="1"/>
  <c r="AE72" i="1"/>
  <c r="AO72" i="1" s="1"/>
  <c r="AF104" i="1"/>
  <c r="AP104" i="1" s="1"/>
  <c r="AA388" i="1"/>
  <c r="AK388" i="1" s="1"/>
  <c r="AA549" i="1"/>
  <c r="AK549" i="1" s="1"/>
  <c r="AD344" i="1"/>
  <c r="AN344" i="1" s="1"/>
  <c r="AF543" i="1"/>
  <c r="AP543" i="1" s="1"/>
  <c r="AB344" i="1"/>
  <c r="AL344" i="1" s="1"/>
  <c r="AD374" i="1"/>
  <c r="AN374" i="1" s="1"/>
  <c r="BB374" i="1" s="1"/>
  <c r="BC374" i="1" s="1"/>
  <c r="AG198" i="1"/>
  <c r="AQ198" i="1" s="1"/>
  <c r="AF152" i="1"/>
  <c r="AP152" i="1" s="1"/>
  <c r="AA118" i="1"/>
  <c r="AK118" i="1" s="1"/>
  <c r="AV133" i="1"/>
  <c r="AW133" i="1" s="1"/>
  <c r="AB340" i="1"/>
  <c r="AL340" i="1" s="1"/>
  <c r="AB509" i="1"/>
  <c r="AL509" i="1" s="1"/>
  <c r="AA344" i="1"/>
  <c r="AK344" i="1" s="1"/>
  <c r="AB386" i="1"/>
  <c r="AL386" i="1" s="1"/>
  <c r="AA622" i="1"/>
  <c r="AK622" i="1" s="1"/>
  <c r="AF489" i="1"/>
  <c r="AP489" i="1" s="1"/>
  <c r="AD172" i="1"/>
  <c r="AN172" i="1" s="1"/>
  <c r="AU466" i="1"/>
  <c r="AV466" i="1" s="1"/>
  <c r="AW466" i="1" s="1"/>
  <c r="AA647" i="1"/>
  <c r="AK647" i="1" s="1"/>
  <c r="AS575" i="1"/>
  <c r="AT575" i="1" s="1"/>
  <c r="AU575" i="1" s="1"/>
  <c r="AV575" i="1" s="1"/>
  <c r="AW575" i="1" s="1"/>
  <c r="AU504" i="1"/>
  <c r="AV504" i="1" s="1"/>
  <c r="AW504" i="1" s="1"/>
  <c r="AF510" i="1"/>
  <c r="AP510" i="1" s="1"/>
  <c r="AF603" i="1"/>
  <c r="AP603" i="1" s="1"/>
  <c r="AB495" i="1"/>
  <c r="AL495" i="1" s="1"/>
  <c r="AG200" i="1"/>
  <c r="AQ200" i="1" s="1"/>
  <c r="AS236" i="1"/>
  <c r="AT236" i="1" s="1"/>
  <c r="AU236" i="1" s="1"/>
  <c r="AV236" i="1" s="1"/>
  <c r="AW236" i="1" s="1"/>
  <c r="AS241" i="1"/>
  <c r="AX241" i="1" s="1"/>
  <c r="AU302" i="1"/>
  <c r="AV302" i="1" s="1"/>
  <c r="AW302" i="1" s="1"/>
  <c r="AD196" i="1"/>
  <c r="AN196" i="1" s="1"/>
  <c r="BB196" i="1" s="1"/>
  <c r="BC196" i="1" s="1"/>
  <c r="AG278" i="1"/>
  <c r="AQ278" i="1" s="1"/>
  <c r="BB278" i="1" s="1"/>
  <c r="BC278" i="1" s="1"/>
  <c r="AD623" i="1"/>
  <c r="AN623" i="1" s="1"/>
  <c r="BB623" i="1" s="1"/>
  <c r="BC623" i="1" s="1"/>
  <c r="BD623" i="1" s="1"/>
  <c r="BE623" i="1" s="1"/>
  <c r="BF623" i="1" s="1"/>
  <c r="AB493" i="1"/>
  <c r="AL493" i="1" s="1"/>
  <c r="AS515" i="1"/>
  <c r="AT515" i="1" s="1"/>
  <c r="AU515" i="1" s="1"/>
  <c r="AV515" i="1" s="1"/>
  <c r="AW515" i="1" s="1"/>
  <c r="AA461" i="1"/>
  <c r="AK461" i="1" s="1"/>
  <c r="AE93" i="1"/>
  <c r="AO93" i="1" s="1"/>
  <c r="AA128" i="1"/>
  <c r="AK128" i="1" s="1"/>
  <c r="AA123" i="1"/>
  <c r="AK123" i="1" s="1"/>
  <c r="AA247" i="1"/>
  <c r="AK247" i="1" s="1"/>
  <c r="AE442" i="1"/>
  <c r="AO442" i="1" s="1"/>
  <c r="AF479" i="1"/>
  <c r="AP479" i="1" s="1"/>
  <c r="AA112" i="1"/>
  <c r="AK112" i="1" s="1"/>
  <c r="AB350" i="1"/>
  <c r="AL350" i="1" s="1"/>
  <c r="AD275" i="1"/>
  <c r="AN275" i="1" s="1"/>
  <c r="AD84" i="1"/>
  <c r="AN84" i="1" s="1"/>
  <c r="AF565" i="1"/>
  <c r="AP565" i="1" s="1"/>
  <c r="AE415" i="1"/>
  <c r="AO415" i="1" s="1"/>
  <c r="AU426" i="1"/>
  <c r="AV426" i="1" s="1"/>
  <c r="AW426" i="1" s="1"/>
  <c r="AF70" i="1"/>
  <c r="AP70" i="1" s="1"/>
  <c r="AB160" i="1"/>
  <c r="AL160" i="1" s="1"/>
  <c r="AX267" i="1"/>
  <c r="AG547" i="1"/>
  <c r="AQ547" i="1" s="1"/>
  <c r="BB547" i="1" s="1"/>
  <c r="AE165" i="1"/>
  <c r="AO165" i="1" s="1"/>
  <c r="AE659" i="1"/>
  <c r="AO659" i="1" s="1"/>
  <c r="AB650" i="1"/>
  <c r="AL650" i="1" s="1"/>
  <c r="AD232" i="1"/>
  <c r="AN232" i="1" s="1"/>
  <c r="AE402" i="1"/>
  <c r="AO402" i="1" s="1"/>
  <c r="AG526" i="1"/>
  <c r="AQ526" i="1" s="1"/>
  <c r="AK313" i="1"/>
  <c r="AG349" i="1"/>
  <c r="AQ349" i="1" s="1"/>
  <c r="BB349" i="1" s="1"/>
  <c r="BC349" i="1" s="1"/>
  <c r="AF243" i="1"/>
  <c r="AP243" i="1" s="1"/>
  <c r="AE603" i="1"/>
  <c r="AO603" i="1" s="1"/>
  <c r="AU571" i="1"/>
  <c r="AV571" i="1" s="1"/>
  <c r="AW571" i="1" s="1"/>
  <c r="AD555" i="1"/>
  <c r="AN555" i="1" s="1"/>
  <c r="BB555" i="1" s="1"/>
  <c r="BC555" i="1" s="1"/>
  <c r="AG137" i="1"/>
  <c r="AQ137" i="1" s="1"/>
  <c r="AB443" i="1"/>
  <c r="AL443" i="1" s="1"/>
  <c r="AD210" i="1"/>
  <c r="AN210" i="1" s="1"/>
  <c r="AL470" i="1"/>
  <c r="AA337" i="1"/>
  <c r="AK337" i="1" s="1"/>
  <c r="AD477" i="1"/>
  <c r="AN477" i="1" s="1"/>
  <c r="BB477" i="1" s="1"/>
  <c r="BG477" i="1" s="1"/>
  <c r="AG350" i="1"/>
  <c r="AQ350" i="1" s="1"/>
  <c r="AE535" i="1"/>
  <c r="AO535" i="1" s="1"/>
  <c r="AE469" i="1"/>
  <c r="AO469" i="1" s="1"/>
  <c r="AA70" i="1"/>
  <c r="AK70" i="1" s="1"/>
  <c r="AG161" i="1"/>
  <c r="AQ161" i="1" s="1"/>
  <c r="BB161" i="1" s="1"/>
  <c r="AA138" i="1"/>
  <c r="AK138" i="1" s="1"/>
  <c r="AE98" i="1"/>
  <c r="AO98" i="1" s="1"/>
  <c r="AD415" i="1"/>
  <c r="AN415" i="1" s="1"/>
  <c r="AD337" i="1"/>
  <c r="AN337" i="1" s="1"/>
  <c r="BB337" i="1" s="1"/>
  <c r="BC337" i="1" s="1"/>
  <c r="BD337" i="1" s="1"/>
  <c r="AG346" i="1"/>
  <c r="AQ346" i="1" s="1"/>
  <c r="AB165" i="1"/>
  <c r="AL165" i="1" s="1"/>
  <c r="AE636" i="1"/>
  <c r="AO636" i="1" s="1"/>
  <c r="AE424" i="1"/>
  <c r="AO424" i="1" s="1"/>
  <c r="AA490" i="1"/>
  <c r="AK490" i="1" s="1"/>
  <c r="AE495" i="1"/>
  <c r="AO495" i="1" s="1"/>
  <c r="AB391" i="1"/>
  <c r="AL391" i="1" s="1"/>
  <c r="AA404" i="1"/>
  <c r="AK404" i="1" s="1"/>
  <c r="AF205" i="1"/>
  <c r="AP205" i="1" s="1"/>
  <c r="AA245" i="1"/>
  <c r="AK245" i="1" s="1"/>
  <c r="AF303" i="1"/>
  <c r="AP303" i="1" s="1"/>
  <c r="AA576" i="1"/>
  <c r="AK576" i="1" s="1"/>
  <c r="AF245" i="1"/>
  <c r="AP245" i="1" s="1"/>
  <c r="AG84" i="1"/>
  <c r="AQ84" i="1" s="1"/>
  <c r="AG238" i="1"/>
  <c r="AQ238" i="1" s="1"/>
  <c r="BB238" i="1" s="1"/>
  <c r="BC238" i="1" s="1"/>
  <c r="AS173" i="1"/>
  <c r="AL567" i="1"/>
  <c r="AB170" i="1"/>
  <c r="AL170" i="1" s="1"/>
  <c r="AD441" i="1"/>
  <c r="AN441" i="1" s="1"/>
  <c r="AS310" i="1"/>
  <c r="AA243" i="1"/>
  <c r="AK243" i="1" s="1"/>
  <c r="AS632" i="1"/>
  <c r="AX632" i="1" s="1"/>
  <c r="AE314" i="1"/>
  <c r="AO314" i="1" s="1"/>
  <c r="AG381" i="1"/>
  <c r="AQ381" i="1" s="1"/>
  <c r="AD450" i="1"/>
  <c r="AN450" i="1" s="1"/>
  <c r="AA454" i="1"/>
  <c r="AK454" i="1" s="1"/>
  <c r="AF561" i="1"/>
  <c r="AP561" i="1" s="1"/>
  <c r="AG314" i="1"/>
  <c r="AQ314" i="1" s="1"/>
  <c r="BB314" i="1" s="1"/>
  <c r="BC314" i="1" s="1"/>
  <c r="AE561" i="1"/>
  <c r="AO561" i="1" s="1"/>
  <c r="AB201" i="1"/>
  <c r="AL201" i="1" s="1"/>
  <c r="AA561" i="1"/>
  <c r="AK561" i="1" s="1"/>
  <c r="AS306" i="1"/>
  <c r="AS423" i="1"/>
  <c r="AT423" i="1" s="1"/>
  <c r="AU423" i="1" s="1"/>
  <c r="AV423" i="1" s="1"/>
  <c r="AW423" i="1" s="1"/>
  <c r="AG558" i="1"/>
  <c r="AQ558" i="1" s="1"/>
  <c r="AG319" i="1"/>
  <c r="AQ319" i="1" s="1"/>
  <c r="AE629" i="1"/>
  <c r="AO629" i="1" s="1"/>
  <c r="AD190" i="1"/>
  <c r="AN190" i="1" s="1"/>
  <c r="AD146" i="1"/>
  <c r="AN146" i="1" s="1"/>
  <c r="BB146" i="1" s="1"/>
  <c r="BC146" i="1" s="1"/>
  <c r="BD146" i="1" s="1"/>
  <c r="BE146" i="1" s="1"/>
  <c r="BF146" i="1" s="1"/>
  <c r="AD598" i="1"/>
  <c r="AN598" i="1" s="1"/>
  <c r="BB598" i="1" s="1"/>
  <c r="BC598" i="1" s="1"/>
  <c r="BD598" i="1" s="1"/>
  <c r="AF586" i="1"/>
  <c r="AP586" i="1" s="1"/>
  <c r="AD650" i="1"/>
  <c r="AN650" i="1" s="1"/>
  <c r="AF598" i="1"/>
  <c r="AP598" i="1" s="1"/>
  <c r="AD576" i="1"/>
  <c r="AN576" i="1" s="1"/>
  <c r="BB576" i="1" s="1"/>
  <c r="BC576" i="1" s="1"/>
  <c r="AB441" i="1"/>
  <c r="AL441" i="1" s="1"/>
  <c r="AA529" i="1"/>
  <c r="AK529" i="1" s="1"/>
  <c r="AF425" i="1"/>
  <c r="AP425" i="1" s="1"/>
  <c r="AA514" i="1"/>
  <c r="AK514" i="1" s="1"/>
  <c r="AB526" i="1"/>
  <c r="AL526" i="1" s="1"/>
  <c r="AF436" i="1"/>
  <c r="AP436" i="1" s="1"/>
  <c r="AX380" i="1"/>
  <c r="AD587" i="1"/>
  <c r="AN587" i="1" s="1"/>
  <c r="AD245" i="1"/>
  <c r="AN245" i="1" s="1"/>
  <c r="BB245" i="1" s="1"/>
  <c r="BC245" i="1" s="1"/>
  <c r="BD245" i="1" s="1"/>
  <c r="BE245" i="1" s="1"/>
  <c r="BF245" i="1" s="1"/>
  <c r="AA246" i="1"/>
  <c r="AK246" i="1" s="1"/>
  <c r="AD192" i="1"/>
  <c r="AN192" i="1" s="1"/>
  <c r="AD270" i="1"/>
  <c r="AN270" i="1" s="1"/>
  <c r="AG244" i="1"/>
  <c r="AQ244" i="1" s="1"/>
  <c r="AE282" i="1"/>
  <c r="AO282" i="1" s="1"/>
  <c r="AA510" i="1"/>
  <c r="AK510" i="1" s="1"/>
  <c r="AD240" i="1"/>
  <c r="AN240" i="1" s="1"/>
  <c r="AD626" i="1"/>
  <c r="AN626" i="1" s="1"/>
  <c r="BB626" i="1" s="1"/>
  <c r="AD303" i="1"/>
  <c r="AN303" i="1" s="1"/>
  <c r="BB303" i="1" s="1"/>
  <c r="AG436" i="1"/>
  <c r="AQ436" i="1" s="1"/>
  <c r="AG333" i="1"/>
  <c r="AQ333" i="1" s="1"/>
  <c r="AB522" i="1"/>
  <c r="AL522" i="1" s="1"/>
  <c r="AF663" i="1"/>
  <c r="AP663" i="1" s="1"/>
  <c r="AE658" i="1"/>
  <c r="AO658" i="1" s="1"/>
  <c r="AA526" i="1"/>
  <c r="AK526" i="1" s="1"/>
  <c r="AB245" i="1"/>
  <c r="AL245" i="1" s="1"/>
  <c r="AD436" i="1"/>
  <c r="AN436" i="1" s="1"/>
  <c r="AD297" i="1"/>
  <c r="AN297" i="1" s="1"/>
  <c r="AD615" i="1"/>
  <c r="AN615" i="1" s="1"/>
  <c r="AK250" i="1"/>
  <c r="AE416" i="1"/>
  <c r="AO416" i="1" s="1"/>
  <c r="AF273" i="1"/>
  <c r="AP273" i="1" s="1"/>
  <c r="AD333" i="1"/>
  <c r="AN333" i="1" s="1"/>
  <c r="AA327" i="1"/>
  <c r="AK327" i="1" s="1"/>
  <c r="AA294" i="1"/>
  <c r="AK294" i="1" s="1"/>
  <c r="AF465" i="1"/>
  <c r="AP465" i="1" s="1"/>
  <c r="AF504" i="1"/>
  <c r="AP504" i="1" s="1"/>
  <c r="AD420" i="1"/>
  <c r="AN420" i="1" s="1"/>
  <c r="BB420" i="1" s="1"/>
  <c r="BC420" i="1" s="1"/>
  <c r="AK445" i="1"/>
  <c r="AF401" i="1"/>
  <c r="AP401" i="1" s="1"/>
  <c r="AD348" i="1"/>
  <c r="AN348" i="1" s="1"/>
  <c r="AE376" i="1"/>
  <c r="AO376" i="1" s="1"/>
  <c r="AF544" i="1"/>
  <c r="AP544" i="1" s="1"/>
  <c r="AF612" i="1"/>
  <c r="AP612" i="1" s="1"/>
  <c r="AA437" i="1"/>
  <c r="AK437" i="1" s="1"/>
  <c r="AD300" i="1"/>
  <c r="AN300" i="1" s="1"/>
  <c r="AF450" i="1"/>
  <c r="AP450" i="1" s="1"/>
  <c r="AE556" i="1"/>
  <c r="AO556" i="1" s="1"/>
  <c r="AA194" i="1"/>
  <c r="AK194" i="1" s="1"/>
  <c r="AA244" i="1"/>
  <c r="AK244" i="1" s="1"/>
  <c r="AD654" i="1"/>
  <c r="AN654" i="1" s="1"/>
  <c r="BB654" i="1" s="1"/>
  <c r="BC654" i="1" s="1"/>
  <c r="AF400" i="1"/>
  <c r="AP400" i="1" s="1"/>
  <c r="AA321" i="1"/>
  <c r="AK321" i="1" s="1"/>
  <c r="AA249" i="1"/>
  <c r="AK249" i="1" s="1"/>
  <c r="AA143" i="1"/>
  <c r="AK143" i="1" s="1"/>
  <c r="AA342" i="1"/>
  <c r="AK342" i="1" s="1"/>
  <c r="AB383" i="1"/>
  <c r="AL383" i="1" s="1"/>
  <c r="AD294" i="1"/>
  <c r="AN294" i="1" s="1"/>
  <c r="AD462" i="1"/>
  <c r="AN462" i="1" s="1"/>
  <c r="BB462" i="1" s="1"/>
  <c r="BC462" i="1" s="1"/>
  <c r="BD462" i="1" s="1"/>
  <c r="AG568" i="1"/>
  <c r="AQ568" i="1" s="1"/>
  <c r="AD319" i="1"/>
  <c r="AN319" i="1" s="1"/>
  <c r="AB568" i="1"/>
  <c r="AL568" i="1" s="1"/>
  <c r="AD214" i="1"/>
  <c r="AN214" i="1" s="1"/>
  <c r="BB214" i="1" s="1"/>
  <c r="BC214" i="1" s="1"/>
  <c r="AB465" i="1"/>
  <c r="AL465" i="1" s="1"/>
  <c r="AF336" i="1"/>
  <c r="AP336" i="1" s="1"/>
  <c r="AG216" i="1"/>
  <c r="AQ216" i="1" s="1"/>
  <c r="AB576" i="1"/>
  <c r="AL576" i="1" s="1"/>
  <c r="AG308" i="1"/>
  <c r="AQ308" i="1" s="1"/>
  <c r="BB308" i="1" s="1"/>
  <c r="BC308" i="1" s="1"/>
  <c r="BD308" i="1" s="1"/>
  <c r="BE308" i="1" s="1"/>
  <c r="BF308" i="1" s="1"/>
  <c r="AA434" i="1"/>
  <c r="AK434" i="1" s="1"/>
  <c r="AG119" i="1"/>
  <c r="AQ119" i="1" s="1"/>
  <c r="AD556" i="1"/>
  <c r="AN556" i="1" s="1"/>
  <c r="AF560" i="1"/>
  <c r="AP560" i="1" s="1"/>
  <c r="AX341" i="1"/>
  <c r="AE214" i="1"/>
  <c r="AO214" i="1" s="1"/>
  <c r="AE465" i="1"/>
  <c r="AO465" i="1" s="1"/>
  <c r="AG336" i="1"/>
  <c r="AQ336" i="1" s="1"/>
  <c r="AD369" i="1"/>
  <c r="AN369" i="1" s="1"/>
  <c r="AE450" i="1"/>
  <c r="AO450" i="1" s="1"/>
  <c r="AS385" i="1"/>
  <c r="AT385" i="1" s="1"/>
  <c r="AU385" i="1" s="1"/>
  <c r="AV385" i="1" s="1"/>
  <c r="AW385" i="1" s="1"/>
  <c r="AG292" i="1"/>
  <c r="AQ292" i="1" s="1"/>
  <c r="AE143" i="1"/>
  <c r="AO143" i="1" s="1"/>
  <c r="AE433" i="1"/>
  <c r="AO433" i="1" s="1"/>
  <c r="AF348" i="1"/>
  <c r="AP348" i="1" s="1"/>
  <c r="AF629" i="1"/>
  <c r="AP629" i="1" s="1"/>
  <c r="AA298" i="1"/>
  <c r="AK298" i="1" s="1"/>
  <c r="AE102" i="1"/>
  <c r="AO102" i="1" s="1"/>
  <c r="AG297" i="1"/>
  <c r="AQ297" i="1" s="1"/>
  <c r="AD218" i="1"/>
  <c r="AN218" i="1" s="1"/>
  <c r="AG493" i="1"/>
  <c r="AQ493" i="1" s="1"/>
  <c r="BB493" i="1" s="1"/>
  <c r="BC493" i="1" s="1"/>
  <c r="AG190" i="1"/>
  <c r="AQ190" i="1" s="1"/>
  <c r="BB190" i="1" s="1"/>
  <c r="BC190" i="1" s="1"/>
  <c r="AG149" i="1"/>
  <c r="AQ149" i="1" s="1"/>
  <c r="AD123" i="1"/>
  <c r="AN123" i="1" s="1"/>
  <c r="AD126" i="1"/>
  <c r="AN126" i="1" s="1"/>
  <c r="BB126" i="1" s="1"/>
  <c r="BC126" i="1" s="1"/>
  <c r="BD126" i="1" s="1"/>
  <c r="BE126" i="1" s="1"/>
  <c r="BF126" i="1" s="1"/>
  <c r="AG534" i="1"/>
  <c r="AQ534" i="1" s="1"/>
  <c r="AD439" i="1"/>
  <c r="AN439" i="1" s="1"/>
  <c r="BB439" i="1" s="1"/>
  <c r="AA273" i="1"/>
  <c r="AK273" i="1" s="1"/>
  <c r="AA242" i="1"/>
  <c r="AK242" i="1" s="1"/>
  <c r="AG249" i="1"/>
  <c r="AQ249" i="1" s="1"/>
  <c r="BB249" i="1" s="1"/>
  <c r="BC249" i="1" s="1"/>
  <c r="BD249" i="1" s="1"/>
  <c r="BE249" i="1" s="1"/>
  <c r="BF249" i="1" s="1"/>
  <c r="AB200" i="1"/>
  <c r="AL200" i="1" s="1"/>
  <c r="AF215" i="1"/>
  <c r="AP215" i="1" s="1"/>
  <c r="AS648" i="1"/>
  <c r="AD152" i="1"/>
  <c r="AN152" i="1" s="1"/>
  <c r="BB152" i="1" s="1"/>
  <c r="BC152" i="1" s="1"/>
  <c r="AD361" i="1"/>
  <c r="AN361" i="1" s="1"/>
  <c r="BB361" i="1" s="1"/>
  <c r="BC361" i="1" s="1"/>
  <c r="AA69" i="1"/>
  <c r="AK69" i="1" s="1"/>
  <c r="AA76" i="1"/>
  <c r="AK76" i="1" s="1"/>
  <c r="AB168" i="1"/>
  <c r="AL168" i="1" s="1"/>
  <c r="AA190" i="1"/>
  <c r="AK190" i="1" s="1"/>
  <c r="AB137" i="1"/>
  <c r="AL137" i="1" s="1"/>
  <c r="AB154" i="1"/>
  <c r="AL154" i="1" s="1"/>
  <c r="AA156" i="1"/>
  <c r="AK156" i="1" s="1"/>
  <c r="AB268" i="1"/>
  <c r="AL268" i="1" s="1"/>
  <c r="AB135" i="1"/>
  <c r="AL135" i="1" s="1"/>
  <c r="AF224" i="1"/>
  <c r="AP224" i="1" s="1"/>
  <c r="AB125" i="1"/>
  <c r="AL125" i="1" s="1"/>
  <c r="AA556" i="1"/>
  <c r="AK556" i="1" s="1"/>
  <c r="AD117" i="1"/>
  <c r="AN117" i="1" s="1"/>
  <c r="AA117" i="1"/>
  <c r="AK117" i="1" s="1"/>
  <c r="AG69" i="1"/>
  <c r="AQ69" i="1" s="1"/>
  <c r="AG382" i="1"/>
  <c r="AQ382" i="1" s="1"/>
  <c r="BB382" i="1" s="1"/>
  <c r="BC382" i="1" s="1"/>
  <c r="AD624" i="1"/>
  <c r="AN624" i="1" s="1"/>
  <c r="AB98" i="1"/>
  <c r="AL98" i="1" s="1"/>
  <c r="AG117" i="1"/>
  <c r="AQ117" i="1" s="1"/>
  <c r="AB150" i="1"/>
  <c r="AL150" i="1" s="1"/>
  <c r="AU445" i="1"/>
  <c r="AV445" i="1" s="1"/>
  <c r="AW445" i="1" s="1"/>
  <c r="AD73" i="1"/>
  <c r="AN73" i="1" s="1"/>
  <c r="AE150" i="1"/>
  <c r="AO150" i="1" s="1"/>
  <c r="AE382" i="1"/>
  <c r="AO382" i="1" s="1"/>
  <c r="AD144" i="1"/>
  <c r="AN144" i="1" s="1"/>
  <c r="AD92" i="1"/>
  <c r="AN92" i="1" s="1"/>
  <c r="BB92" i="1" s="1"/>
  <c r="BC92" i="1" s="1"/>
  <c r="AE192" i="1"/>
  <c r="AO192" i="1" s="1"/>
  <c r="AB192" i="1"/>
  <c r="AL192" i="1" s="1"/>
  <c r="AD107" i="1"/>
  <c r="AN107" i="1" s="1"/>
  <c r="BB107" i="1" s="1"/>
  <c r="BC107" i="1" s="1"/>
  <c r="BD107" i="1" s="1"/>
  <c r="BE107" i="1" s="1"/>
  <c r="BF107" i="1" s="1"/>
  <c r="AG192" i="1"/>
  <c r="AQ192" i="1" s="1"/>
  <c r="AA124" i="1"/>
  <c r="AK124" i="1" s="1"/>
  <c r="AF312" i="1"/>
  <c r="AP312" i="1" s="1"/>
  <c r="AB118" i="1"/>
  <c r="AL118" i="1" s="1"/>
  <c r="AF81" i="1"/>
  <c r="AP81" i="1" s="1"/>
  <c r="AF154" i="1"/>
  <c r="AP154" i="1" s="1"/>
  <c r="AA135" i="1"/>
  <c r="AK135" i="1" s="1"/>
  <c r="AD132" i="1"/>
  <c r="AN132" i="1" s="1"/>
  <c r="AA211" i="1"/>
  <c r="AK211" i="1" s="1"/>
  <c r="AB301" i="1"/>
  <c r="AL301" i="1" s="1"/>
  <c r="AB374" i="1"/>
  <c r="AL374" i="1" s="1"/>
  <c r="AB312" i="1"/>
  <c r="AL312" i="1" s="1"/>
  <c r="AB294" i="1"/>
  <c r="AL294" i="1" s="1"/>
  <c r="AS142" i="1"/>
  <c r="AT142" i="1" s="1"/>
  <c r="AU142" i="1" s="1"/>
  <c r="AV142" i="1" s="1"/>
  <c r="AW142" i="1" s="1"/>
  <c r="AA462" i="1"/>
  <c r="AK462" i="1" s="1"/>
  <c r="AS635" i="1"/>
  <c r="AT635" i="1" s="1"/>
  <c r="AU635" i="1" s="1"/>
  <c r="AV635" i="1" s="1"/>
  <c r="AW635" i="1" s="1"/>
  <c r="AS525" i="1"/>
  <c r="AS432" i="1"/>
  <c r="AD199" i="1"/>
  <c r="AN199" i="1" s="1"/>
  <c r="AF211" i="1"/>
  <c r="AP211" i="1" s="1"/>
  <c r="AD435" i="1"/>
  <c r="AN435" i="1" s="1"/>
  <c r="AF593" i="1"/>
  <c r="AP593" i="1" s="1"/>
  <c r="AA267" i="1"/>
  <c r="AK267" i="1" s="1"/>
  <c r="AF232" i="1"/>
  <c r="AP232" i="1" s="1"/>
  <c r="AG75" i="1"/>
  <c r="AQ75" i="1" s="1"/>
  <c r="AG188" i="1"/>
  <c r="AQ188" i="1" s="1"/>
  <c r="BB188" i="1" s="1"/>
  <c r="AS200" i="1"/>
  <c r="AD221" i="1"/>
  <c r="AN221" i="1" s="1"/>
  <c r="AS156" i="1"/>
  <c r="AT156" i="1" s="1"/>
  <c r="AU156" i="1" s="1"/>
  <c r="AV156" i="1" s="1"/>
  <c r="AW156" i="1" s="1"/>
  <c r="AA136" i="1"/>
  <c r="AK136" i="1" s="1"/>
  <c r="AD136" i="1"/>
  <c r="AN136" i="1" s="1"/>
  <c r="AG136" i="1"/>
  <c r="AQ136" i="1" s="1"/>
  <c r="AB632" i="1"/>
  <c r="AL632" i="1" s="1"/>
  <c r="AE248" i="1"/>
  <c r="AO248" i="1" s="1"/>
  <c r="AG248" i="1"/>
  <c r="AQ248" i="1" s="1"/>
  <c r="AS357" i="1"/>
  <c r="AT357" i="1" s="1"/>
  <c r="AU357" i="1" s="1"/>
  <c r="AV357" i="1" s="1"/>
  <c r="AW357" i="1" s="1"/>
  <c r="AS191" i="1"/>
  <c r="AB612" i="1"/>
  <c r="AL612" i="1" s="1"/>
  <c r="AG641" i="1"/>
  <c r="AQ641" i="1" s="1"/>
  <c r="BB641" i="1" s="1"/>
  <c r="BC641" i="1" s="1"/>
  <c r="BD641" i="1" s="1"/>
  <c r="BE641" i="1" s="1"/>
  <c r="BF641" i="1" s="1"/>
  <c r="AF346" i="1"/>
  <c r="AP346" i="1" s="1"/>
  <c r="AB430" i="1"/>
  <c r="AL430" i="1" s="1"/>
  <c r="AF607" i="1"/>
  <c r="AP607" i="1" s="1"/>
  <c r="AK191" i="1"/>
  <c r="AF661" i="1"/>
  <c r="AP661" i="1" s="1"/>
  <c r="AG620" i="1"/>
  <c r="AQ620" i="1" s="1"/>
  <c r="AG551" i="1"/>
  <c r="AQ551" i="1" s="1"/>
  <c r="AK498" i="1"/>
  <c r="AG233" i="1"/>
  <c r="AQ233" i="1" s="1"/>
  <c r="BB233" i="1" s="1"/>
  <c r="BC233" i="1" s="1"/>
  <c r="BD233" i="1" s="1"/>
  <c r="AA168" i="1"/>
  <c r="AK168" i="1" s="1"/>
  <c r="AB324" i="1"/>
  <c r="AL324" i="1" s="1"/>
  <c r="AG339" i="1"/>
  <c r="AQ339" i="1" s="1"/>
  <c r="AA466" i="1"/>
  <c r="AK466" i="1" s="1"/>
  <c r="AU514" i="1"/>
  <c r="AV514" i="1" s="1"/>
  <c r="AW514" i="1" s="1"/>
  <c r="AA239" i="1"/>
  <c r="AK239" i="1" s="1"/>
  <c r="AA587" i="1"/>
  <c r="AK587" i="1" s="1"/>
  <c r="AD542" i="1"/>
  <c r="AN542" i="1" s="1"/>
  <c r="AF446" i="1"/>
  <c r="AP446" i="1" s="1"/>
  <c r="AD649" i="1"/>
  <c r="AN649" i="1" s="1"/>
  <c r="AB404" i="1"/>
  <c r="AL404" i="1" s="1"/>
  <c r="AD540" i="1"/>
  <c r="AN540" i="1" s="1"/>
  <c r="BB540" i="1" s="1"/>
  <c r="BC540" i="1" s="1"/>
  <c r="BD540" i="1" s="1"/>
  <c r="BE540" i="1" s="1"/>
  <c r="BF540" i="1" s="1"/>
  <c r="AA88" i="1"/>
  <c r="AK88" i="1" s="1"/>
  <c r="AB138" i="1"/>
  <c r="AL138" i="1" s="1"/>
  <c r="AF620" i="1"/>
  <c r="AP620" i="1" s="1"/>
  <c r="AG514" i="1"/>
  <c r="AQ514" i="1" s="1"/>
  <c r="AG663" i="1"/>
  <c r="AQ663" i="1" s="1"/>
  <c r="AG597" i="1"/>
  <c r="AQ597" i="1" s="1"/>
  <c r="BB597" i="1" s="1"/>
  <c r="BC597" i="1" s="1"/>
  <c r="AA400" i="1"/>
  <c r="AK400" i="1" s="1"/>
  <c r="AK373" i="1"/>
  <c r="AG581" i="1"/>
  <c r="AQ581" i="1" s="1"/>
  <c r="BB581" i="1" s="1"/>
  <c r="AA329" i="1"/>
  <c r="AK329" i="1" s="1"/>
  <c r="AG329" i="1"/>
  <c r="AQ329" i="1" s="1"/>
  <c r="AE487" i="1"/>
  <c r="AO487" i="1" s="1"/>
  <c r="AK405" i="1"/>
  <c r="AS317" i="1"/>
  <c r="AT317" i="1" s="1"/>
  <c r="AU317" i="1" s="1"/>
  <c r="AV317" i="1" s="1"/>
  <c r="AW317" i="1" s="1"/>
  <c r="AG601" i="1"/>
  <c r="AQ601" i="1" s="1"/>
  <c r="AG261" i="1"/>
  <c r="AQ261" i="1" s="1"/>
  <c r="BB261" i="1" s="1"/>
  <c r="BC261" i="1" s="1"/>
  <c r="AF627" i="1"/>
  <c r="AP627" i="1" s="1"/>
  <c r="AD610" i="1"/>
  <c r="AN610" i="1" s="1"/>
  <c r="AF584" i="1"/>
  <c r="AP584" i="1" s="1"/>
  <c r="AD466" i="1"/>
  <c r="AN466" i="1" s="1"/>
  <c r="AG386" i="1"/>
  <c r="AQ386" i="1" s="1"/>
  <c r="BB386" i="1" s="1"/>
  <c r="BC386" i="1" s="1"/>
  <c r="AG415" i="1"/>
  <c r="AQ415" i="1" s="1"/>
  <c r="AE519" i="1"/>
  <c r="AO519" i="1" s="1"/>
  <c r="AD209" i="1"/>
  <c r="AN209" i="1" s="1"/>
  <c r="BB209" i="1" s="1"/>
  <c r="BC209" i="1" s="1"/>
  <c r="BD209" i="1" s="1"/>
  <c r="AG143" i="1"/>
  <c r="AQ143" i="1" s="1"/>
  <c r="AB454" i="1"/>
  <c r="AL454" i="1" s="1"/>
  <c r="AD128" i="1"/>
  <c r="AN128" i="1" s="1"/>
  <c r="AF112" i="1"/>
  <c r="AP112" i="1" s="1"/>
  <c r="AE371" i="1"/>
  <c r="AO371" i="1" s="1"/>
  <c r="AL171" i="1"/>
  <c r="AD121" i="1"/>
  <c r="AN121" i="1" s="1"/>
  <c r="AG390" i="1"/>
  <c r="AQ390" i="1" s="1"/>
  <c r="BB390" i="1" s="1"/>
  <c r="BC390" i="1" s="1"/>
  <c r="AU254" i="1"/>
  <c r="AV254" i="1" s="1"/>
  <c r="AW254" i="1" s="1"/>
  <c r="AB456" i="1"/>
  <c r="AL456" i="1" s="1"/>
  <c r="AG586" i="1"/>
  <c r="AQ586" i="1" s="1"/>
  <c r="BB586" i="1" s="1"/>
  <c r="BC586" i="1" s="1"/>
  <c r="AA407" i="1"/>
  <c r="AK407" i="1" s="1"/>
  <c r="AA558" i="1"/>
  <c r="AK558" i="1" s="1"/>
  <c r="AG138" i="1"/>
  <c r="AQ138" i="1" s="1"/>
  <c r="BB138" i="1" s="1"/>
  <c r="BC138" i="1" s="1"/>
  <c r="AK333" i="1"/>
  <c r="AG160" i="1"/>
  <c r="AQ160" i="1" s="1"/>
  <c r="BB160" i="1" s="1"/>
  <c r="AE420" i="1"/>
  <c r="AO420" i="1" s="1"/>
  <c r="AD490" i="1"/>
  <c r="AN490" i="1" s="1"/>
  <c r="BB490" i="1" s="1"/>
  <c r="AG391" i="1"/>
  <c r="AQ391" i="1" s="1"/>
  <c r="BB391" i="1" s="1"/>
  <c r="BC391" i="1" s="1"/>
  <c r="AK105" i="1"/>
  <c r="AA238" i="1"/>
  <c r="AK238" i="1" s="1"/>
  <c r="AA215" i="1"/>
  <c r="AK215" i="1" s="1"/>
  <c r="AL246" i="1"/>
  <c r="AE456" i="1"/>
  <c r="AO456" i="1" s="1"/>
  <c r="AX245" i="1"/>
  <c r="AA591" i="1"/>
  <c r="AK591" i="1" s="1"/>
  <c r="AG262" i="1"/>
  <c r="AQ262" i="1" s="1"/>
  <c r="AF587" i="1"/>
  <c r="AP587" i="1" s="1"/>
  <c r="AA456" i="1"/>
  <c r="AK456" i="1" s="1"/>
  <c r="AA586" i="1"/>
  <c r="AK586" i="1" s="1"/>
  <c r="AD246" i="1"/>
  <c r="AN246" i="1" s="1"/>
  <c r="BB246" i="1" s="1"/>
  <c r="BC246" i="1" s="1"/>
  <c r="BD246" i="1" s="1"/>
  <c r="AG270" i="1"/>
  <c r="AQ270" i="1" s="1"/>
  <c r="AB514" i="1"/>
  <c r="AL514" i="1" s="1"/>
  <c r="AB560" i="1"/>
  <c r="AL560" i="1" s="1"/>
  <c r="AF658" i="1"/>
  <c r="AP658" i="1" s="1"/>
  <c r="AB586" i="1"/>
  <c r="AL586" i="1" s="1"/>
  <c r="AG489" i="1"/>
  <c r="AQ489" i="1" s="1"/>
  <c r="AF459" i="1"/>
  <c r="AP459" i="1" s="1"/>
  <c r="AG321" i="1"/>
  <c r="AQ321" i="1" s="1"/>
  <c r="AF442" i="1"/>
  <c r="AP442" i="1" s="1"/>
  <c r="AF462" i="1"/>
  <c r="AP462" i="1" s="1"/>
  <c r="AA319" i="1"/>
  <c r="AK319" i="1" s="1"/>
  <c r="AS541" i="1"/>
  <c r="AX541" i="1" s="1"/>
  <c r="AA442" i="1"/>
  <c r="AK442" i="1" s="1"/>
  <c r="AD154" i="1"/>
  <c r="AN154" i="1" s="1"/>
  <c r="AK450" i="1"/>
  <c r="AD125" i="1"/>
  <c r="AN125" i="1" s="1"/>
  <c r="AA539" i="1"/>
  <c r="AK539" i="1" s="1"/>
  <c r="AD376" i="1"/>
  <c r="AN376" i="1" s="1"/>
  <c r="AS129" i="1"/>
  <c r="AT129" i="1" s="1"/>
  <c r="AU129" i="1" s="1"/>
  <c r="AV129" i="1" s="1"/>
  <c r="AW129" i="1" s="1"/>
  <c r="AB215" i="1"/>
  <c r="AL215" i="1" s="1"/>
  <c r="AV165" i="1"/>
  <c r="AW165" i="1" s="1"/>
  <c r="AA519" i="1"/>
  <c r="AK519" i="1" s="1"/>
  <c r="AG624" i="1"/>
  <c r="AQ624" i="1" s="1"/>
  <c r="AL282" i="1"/>
  <c r="AD206" i="1"/>
  <c r="AN206" i="1" s="1"/>
  <c r="AL611" i="1"/>
  <c r="AD76" i="1"/>
  <c r="AN76" i="1" s="1"/>
  <c r="AG125" i="1"/>
  <c r="AQ125" i="1" s="1"/>
  <c r="AF143" i="1"/>
  <c r="AP143" i="1" s="1"/>
  <c r="AX270" i="1"/>
  <c r="AK170" i="1"/>
  <c r="AS276" i="1"/>
  <c r="AX276" i="1" s="1"/>
  <c r="AF135" i="1"/>
  <c r="AP135" i="1" s="1"/>
  <c r="AB88" i="1"/>
  <c r="AL88" i="1" s="1"/>
  <c r="AG81" i="1"/>
  <c r="AQ81" i="1" s="1"/>
  <c r="AU349" i="1"/>
  <c r="AV349" i="1" s="1"/>
  <c r="AW349" i="1" s="1"/>
  <c r="AG154" i="1"/>
  <c r="AQ154" i="1" s="1"/>
  <c r="AE135" i="1"/>
  <c r="AO135" i="1" s="1"/>
  <c r="AS408" i="1"/>
  <c r="AB254" i="1"/>
  <c r="AL254" i="1" s="1"/>
  <c r="AS442" i="1"/>
  <c r="AA160" i="1"/>
  <c r="AK160" i="1" s="1"/>
  <c r="AS164" i="1"/>
  <c r="AE145" i="1"/>
  <c r="AO145" i="1" s="1"/>
  <c r="AF145" i="1"/>
  <c r="AP145" i="1" s="1"/>
  <c r="AF151" i="1"/>
  <c r="AP151" i="1" s="1"/>
  <c r="AS260" i="1"/>
  <c r="AT260" i="1" s="1"/>
  <c r="AU260" i="1" s="1"/>
  <c r="AV260" i="1" s="1"/>
  <c r="AW260" i="1" s="1"/>
  <c r="AA476" i="1"/>
  <c r="AK476" i="1" s="1"/>
  <c r="AF492" i="1"/>
  <c r="AP492" i="1" s="1"/>
  <c r="AD549" i="1"/>
  <c r="AN549" i="1" s="1"/>
  <c r="BB549" i="1" s="1"/>
  <c r="BC549" i="1" s="1"/>
  <c r="BD549" i="1" s="1"/>
  <c r="BE549" i="1" s="1"/>
  <c r="BF549" i="1" s="1"/>
  <c r="AF125" i="1"/>
  <c r="AP125" i="1" s="1"/>
  <c r="AG628" i="1"/>
  <c r="AQ628" i="1" s="1"/>
  <c r="AA67" i="1"/>
  <c r="AK67" i="1" s="1"/>
  <c r="AS296" i="1"/>
  <c r="AT296" i="1" s="1"/>
  <c r="AU296" i="1" s="1"/>
  <c r="AV296" i="1" s="1"/>
  <c r="AW296" i="1" s="1"/>
  <c r="AB628" i="1"/>
  <c r="AL628" i="1" s="1"/>
  <c r="AF194" i="1"/>
  <c r="AP194" i="1" s="1"/>
  <c r="AF430" i="1"/>
  <c r="AP430" i="1" s="1"/>
  <c r="AD233" i="1"/>
  <c r="AN233" i="1" s="1"/>
  <c r="AA624" i="1"/>
  <c r="AK624" i="1" s="1"/>
  <c r="AB157" i="1"/>
  <c r="AL157" i="1" s="1"/>
  <c r="AA121" i="1"/>
  <c r="AK121" i="1" s="1"/>
  <c r="AA483" i="1"/>
  <c r="AK483" i="1" s="1"/>
  <c r="AF441" i="1"/>
  <c r="AP441" i="1" s="1"/>
  <c r="AA367" i="1"/>
  <c r="AK367" i="1" s="1"/>
  <c r="AF472" i="1"/>
  <c r="AP472" i="1" s="1"/>
  <c r="AA601" i="1"/>
  <c r="AK601" i="1" s="1"/>
  <c r="AD312" i="1"/>
  <c r="AN312" i="1" s="1"/>
  <c r="BB312" i="1" s="1"/>
  <c r="BC312" i="1" s="1"/>
  <c r="AB589" i="1"/>
  <c r="AL589" i="1" s="1"/>
  <c r="AF424" i="1"/>
  <c r="AP424" i="1" s="1"/>
  <c r="AB251" i="1"/>
  <c r="AL251" i="1" s="1"/>
  <c r="AB328" i="1"/>
  <c r="AL328" i="1" s="1"/>
  <c r="AE335" i="1"/>
  <c r="AO335" i="1" s="1"/>
  <c r="AG351" i="1"/>
  <c r="AQ351" i="1" s="1"/>
  <c r="AB446" i="1"/>
  <c r="AL446" i="1" s="1"/>
  <c r="AA472" i="1"/>
  <c r="AK472" i="1" s="1"/>
  <c r="AB621" i="1"/>
  <c r="AL621" i="1" s="1"/>
  <c r="AB459" i="1"/>
  <c r="AL459" i="1" s="1"/>
  <c r="AG529" i="1"/>
  <c r="AQ529" i="1" s="1"/>
  <c r="AG509" i="1"/>
  <c r="AQ509" i="1" s="1"/>
  <c r="AG610" i="1"/>
  <c r="AQ610" i="1" s="1"/>
  <c r="AD367" i="1"/>
  <c r="AN367" i="1" s="1"/>
  <c r="AD601" i="1"/>
  <c r="AN601" i="1" s="1"/>
  <c r="AD194" i="1"/>
  <c r="AN194" i="1" s="1"/>
  <c r="BB194" i="1" s="1"/>
  <c r="BC194" i="1" s="1"/>
  <c r="AF359" i="1"/>
  <c r="AP359" i="1" s="1"/>
  <c r="AF529" i="1"/>
  <c r="AP529" i="1" s="1"/>
  <c r="AG647" i="1"/>
  <c r="AQ647" i="1" s="1"/>
  <c r="AG615" i="1"/>
  <c r="AQ615" i="1" s="1"/>
  <c r="AD622" i="1"/>
  <c r="AN622" i="1" s="1"/>
  <c r="BB622" i="1" s="1"/>
  <c r="BC622" i="1" s="1"/>
  <c r="AG642" i="1"/>
  <c r="AQ642" i="1" s="1"/>
  <c r="BB642" i="1" s="1"/>
  <c r="BC642" i="1" s="1"/>
  <c r="AG474" i="1"/>
  <c r="AQ474" i="1" s="1"/>
  <c r="AA77" i="1"/>
  <c r="AK77" i="1" s="1"/>
  <c r="AA201" i="1"/>
  <c r="AK201" i="1" s="1"/>
  <c r="AU383" i="1"/>
  <c r="AV383" i="1" s="1"/>
  <c r="AW383" i="1" s="1"/>
  <c r="AG206" i="1"/>
  <c r="AQ206" i="1" s="1"/>
  <c r="AA324" i="1"/>
  <c r="AK324" i="1" s="1"/>
  <c r="AF347" i="1"/>
  <c r="AP347" i="1" s="1"/>
  <c r="E9" i="1"/>
  <c r="DR2" i="1" s="1"/>
  <c r="E16" i="1"/>
  <c r="DY2" i="1" s="1"/>
  <c r="AA358" i="1"/>
  <c r="AK358" i="1" s="1"/>
  <c r="AD643" i="1"/>
  <c r="AN643" i="1" s="1"/>
  <c r="BB643" i="1" s="1"/>
  <c r="BC643" i="1" s="1"/>
  <c r="BD643" i="1" s="1"/>
  <c r="AG520" i="1"/>
  <c r="AQ520" i="1" s="1"/>
  <c r="AB239" i="1"/>
  <c r="AL239" i="1" s="1"/>
  <c r="AD336" i="1"/>
  <c r="AN336" i="1" s="1"/>
  <c r="AG416" i="1"/>
  <c r="AQ416" i="1" s="1"/>
  <c r="BB416" i="1" s="1"/>
  <c r="BC416" i="1" s="1"/>
  <c r="AV230" i="1"/>
  <c r="AW230" i="1" s="1"/>
  <c r="AB212" i="1"/>
  <c r="AL212" i="1" s="1"/>
  <c r="AE212" i="1"/>
  <c r="AO212" i="1" s="1"/>
  <c r="AD407" i="1"/>
  <c r="AN407" i="1" s="1"/>
  <c r="AA652" i="1"/>
  <c r="AK652" i="1" s="1"/>
  <c r="AA162" i="1"/>
  <c r="AK162" i="1" s="1"/>
  <c r="BG162" i="1" s="1"/>
  <c r="AB291" i="1"/>
  <c r="AL291" i="1" s="1"/>
  <c r="AF526" i="1"/>
  <c r="AP526" i="1" s="1"/>
  <c r="AG560" i="1"/>
  <c r="AQ560" i="1" s="1"/>
  <c r="AF161" i="1"/>
  <c r="AP161" i="1" s="1"/>
  <c r="AB161" i="1"/>
  <c r="AL161" i="1" s="1"/>
  <c r="AB314" i="1"/>
  <c r="AL314" i="1" s="1"/>
  <c r="AF248" i="1"/>
  <c r="AP248" i="1" s="1"/>
  <c r="AB213" i="1"/>
  <c r="AL213" i="1" s="1"/>
  <c r="AE271" i="1"/>
  <c r="AO271" i="1" s="1"/>
  <c r="AS481" i="1"/>
  <c r="AX481" i="1" s="1"/>
  <c r="AD433" i="1"/>
  <c r="AN433" i="1" s="1"/>
  <c r="AD327" i="1"/>
  <c r="AN327" i="1" s="1"/>
  <c r="BB327" i="1" s="1"/>
  <c r="BC327" i="1" s="1"/>
  <c r="BD327" i="1" s="1"/>
  <c r="AF547" i="1"/>
  <c r="AP547" i="1" s="1"/>
  <c r="AE583" i="1"/>
  <c r="AO583" i="1" s="1"/>
  <c r="AG222" i="1"/>
  <c r="AQ222" i="1" s="1"/>
  <c r="AD380" i="1"/>
  <c r="AN380" i="1" s="1"/>
  <c r="AG461" i="1"/>
  <c r="AQ461" i="1" s="1"/>
  <c r="BB461" i="1" s="1"/>
  <c r="BC461" i="1" s="1"/>
  <c r="BD461" i="1" s="1"/>
  <c r="AA90" i="1"/>
  <c r="AK90" i="1" s="1"/>
  <c r="AA271" i="1"/>
  <c r="AK271" i="1" s="1"/>
  <c r="AE443" i="1"/>
  <c r="AO443" i="1" s="1"/>
  <c r="AF329" i="1"/>
  <c r="AP329" i="1" s="1"/>
  <c r="AG369" i="1"/>
  <c r="AQ369" i="1" s="1"/>
  <c r="AB247" i="1"/>
  <c r="AL247" i="1" s="1"/>
  <c r="AB152" i="1"/>
  <c r="AL152" i="1" s="1"/>
  <c r="AG128" i="1"/>
  <c r="AQ128" i="1" s="1"/>
  <c r="AF216" i="1"/>
  <c r="AP216" i="1" s="1"/>
  <c r="AG401" i="1"/>
  <c r="AQ401" i="1" s="1"/>
  <c r="AF199" i="1"/>
  <c r="AP199" i="1" s="1"/>
  <c r="AD473" i="1"/>
  <c r="AN473" i="1" s="1"/>
  <c r="BB473" i="1" s="1"/>
  <c r="AA440" i="1"/>
  <c r="AK440" i="1" s="1"/>
  <c r="AD359" i="1"/>
  <c r="AN359" i="1" s="1"/>
  <c r="AA390" i="1"/>
  <c r="AK390" i="1" s="1"/>
  <c r="AF514" i="1"/>
  <c r="AP514" i="1" s="1"/>
  <c r="AD191" i="1"/>
  <c r="AN191" i="1" s="1"/>
  <c r="AF453" i="1"/>
  <c r="AP453" i="1" s="1"/>
  <c r="AB402" i="1"/>
  <c r="AL402" i="1" s="1"/>
  <c r="AA543" i="1"/>
  <c r="AK543" i="1" s="1"/>
  <c r="AG614" i="1"/>
  <c r="AQ614" i="1" s="1"/>
  <c r="AB273" i="1"/>
  <c r="AL273" i="1" s="1"/>
  <c r="AK508" i="1"/>
  <c r="BG508" i="1" s="1"/>
  <c r="AG340" i="1"/>
  <c r="AQ340" i="1" s="1"/>
  <c r="BB340" i="1" s="1"/>
  <c r="AF340" i="1"/>
  <c r="AP340" i="1" s="1"/>
  <c r="AF509" i="1"/>
  <c r="AP509" i="1" s="1"/>
  <c r="AA104" i="1"/>
  <c r="AK104" i="1" s="1"/>
  <c r="AA551" i="1"/>
  <c r="AK551" i="1" s="1"/>
  <c r="AA582" i="1"/>
  <c r="AK582" i="1" s="1"/>
  <c r="AA303" i="1"/>
  <c r="AK303" i="1" s="1"/>
  <c r="AG506" i="1"/>
  <c r="AQ506" i="1" s="1"/>
  <c r="AG205" i="1"/>
  <c r="AQ205" i="1" s="1"/>
  <c r="AB104" i="1"/>
  <c r="AL104" i="1" s="1"/>
  <c r="AE90" i="1"/>
  <c r="AO90" i="1" s="1"/>
  <c r="AD401" i="1"/>
  <c r="AN401" i="1" s="1"/>
  <c r="BB401" i="1" s="1"/>
  <c r="AG227" i="1"/>
  <c r="AQ227" i="1" s="1"/>
  <c r="AG142" i="1"/>
  <c r="AQ142" i="1" s="1"/>
  <c r="AD224" i="1"/>
  <c r="AN224" i="1" s="1"/>
  <c r="AS289" i="1"/>
  <c r="AX289" i="1" s="1"/>
  <c r="AA297" i="1"/>
  <c r="AK297" i="1" s="1"/>
  <c r="AD323" i="1"/>
  <c r="AN323" i="1" s="1"/>
  <c r="AB442" i="1"/>
  <c r="AL442" i="1" s="1"/>
  <c r="AB261" i="1"/>
  <c r="AL261" i="1" s="1"/>
  <c r="AG294" i="1"/>
  <c r="AQ294" i="1" s="1"/>
  <c r="AF170" i="1"/>
  <c r="AP170" i="1" s="1"/>
  <c r="AD243" i="1"/>
  <c r="AN243" i="1" s="1"/>
  <c r="AS406" i="1"/>
  <c r="AT406" i="1" s="1"/>
  <c r="AU406" i="1" s="1"/>
  <c r="AV406" i="1" s="1"/>
  <c r="AW406" i="1" s="1"/>
  <c r="AB494" i="1"/>
  <c r="AL494" i="1" s="1"/>
  <c r="AD663" i="1"/>
  <c r="AN663" i="1" s="1"/>
  <c r="AA506" i="1"/>
  <c r="AK506" i="1" s="1"/>
  <c r="AD165" i="1"/>
  <c r="AN165" i="1" s="1"/>
  <c r="BB165" i="1" s="1"/>
  <c r="BC165" i="1" s="1"/>
  <c r="BD165" i="1" s="1"/>
  <c r="BE165" i="1" s="1"/>
  <c r="BF165" i="1" s="1"/>
  <c r="AF128" i="1"/>
  <c r="AP128" i="1" s="1"/>
  <c r="AF213" i="1"/>
  <c r="AP213" i="1" s="1"/>
  <c r="AD479" i="1"/>
  <c r="AN479" i="1" s="1"/>
  <c r="BB479" i="1" s="1"/>
  <c r="BC479" i="1" s="1"/>
  <c r="AG274" i="1"/>
  <c r="AQ274" i="1" s="1"/>
  <c r="BB274" i="1" s="1"/>
  <c r="BC274" i="1" s="1"/>
  <c r="AF84" i="1"/>
  <c r="AP84" i="1" s="1"/>
  <c r="AG371" i="1"/>
  <c r="AQ371" i="1" s="1"/>
  <c r="AK567" i="1"/>
  <c r="AE520" i="1"/>
  <c r="AO520" i="1" s="1"/>
  <c r="AG225" i="1"/>
  <c r="AQ225" i="1" s="1"/>
  <c r="BB225" i="1" s="1"/>
  <c r="AD100" i="1"/>
  <c r="AN100" i="1" s="1"/>
  <c r="AU477" i="1"/>
  <c r="AV477" i="1" s="1"/>
  <c r="AW477" i="1" s="1"/>
  <c r="AF524" i="1"/>
  <c r="AP524" i="1" s="1"/>
  <c r="AE650" i="1"/>
  <c r="AO650" i="1" s="1"/>
  <c r="AU232" i="1"/>
  <c r="AV232" i="1" s="1"/>
  <c r="AW232" i="1" s="1"/>
  <c r="AF407" i="1"/>
  <c r="AP407" i="1" s="1"/>
  <c r="AF337" i="1"/>
  <c r="AP337" i="1" s="1"/>
  <c r="AG243" i="1"/>
  <c r="AQ243" i="1" s="1"/>
  <c r="AF404" i="1"/>
  <c r="AP404" i="1" s="1"/>
  <c r="AD229" i="1"/>
  <c r="AN229" i="1" s="1"/>
  <c r="AG407" i="1"/>
  <c r="AQ407" i="1" s="1"/>
  <c r="AE70" i="1"/>
  <c r="AO70" i="1" s="1"/>
  <c r="AG443" i="1"/>
  <c r="AQ443" i="1" s="1"/>
  <c r="AX74" i="1"/>
  <c r="AU121" i="1"/>
  <c r="AV121" i="1" s="1"/>
  <c r="AW121" i="1" s="1"/>
  <c r="AG121" i="1"/>
  <c r="AQ121" i="1" s="1"/>
  <c r="AA165" i="1"/>
  <c r="AK165" i="1" s="1"/>
  <c r="AD404" i="1"/>
  <c r="AN404" i="1" s="1"/>
  <c r="AB211" i="1"/>
  <c r="AL211" i="1" s="1"/>
  <c r="AB510" i="1"/>
  <c r="AL510" i="1" s="1"/>
  <c r="AD222" i="1"/>
  <c r="AN222" i="1" s="1"/>
  <c r="AL147" i="1"/>
  <c r="AA216" i="1"/>
  <c r="AK216" i="1" s="1"/>
  <c r="AF335" i="1"/>
  <c r="AP335" i="1" s="1"/>
  <c r="AB270" i="1"/>
  <c r="AL270" i="1" s="1"/>
  <c r="AD658" i="1"/>
  <c r="AN658" i="1" s="1"/>
  <c r="BB658" i="1" s="1"/>
  <c r="BC658" i="1" s="1"/>
  <c r="AG437" i="1"/>
  <c r="AQ437" i="1" s="1"/>
  <c r="AD314" i="1"/>
  <c r="AN314" i="1" s="1"/>
  <c r="AF222" i="1"/>
  <c r="AP222" i="1" s="1"/>
  <c r="AG425" i="1"/>
  <c r="AQ425" i="1" s="1"/>
  <c r="BB425" i="1" s="1"/>
  <c r="BC425" i="1" s="1"/>
  <c r="AG466" i="1"/>
  <c r="AQ466" i="1" s="1"/>
  <c r="AB479" i="1"/>
  <c r="AL479" i="1" s="1"/>
  <c r="AD381" i="1"/>
  <c r="AN381" i="1" s="1"/>
  <c r="AG240" i="1"/>
  <c r="AQ240" i="1" s="1"/>
  <c r="AF507" i="1"/>
  <c r="AP507" i="1" s="1"/>
  <c r="AX73" i="1"/>
  <c r="AD142" i="1"/>
  <c r="AN142" i="1" s="1"/>
  <c r="AL498" i="1"/>
  <c r="AA361" i="1"/>
  <c r="AK361" i="1" s="1"/>
  <c r="AK523" i="1"/>
  <c r="AF367" i="1"/>
  <c r="AP367" i="1" s="1"/>
  <c r="AF240" i="1"/>
  <c r="AP240" i="1" s="1"/>
  <c r="AS176" i="1"/>
  <c r="AT176" i="1" s="1"/>
  <c r="AU176" i="1" s="1"/>
  <c r="AV176" i="1" s="1"/>
  <c r="AW176" i="1" s="1"/>
  <c r="AB274" i="1"/>
  <c r="AL274" i="1" s="1"/>
  <c r="AL591" i="1"/>
  <c r="AU536" i="1"/>
  <c r="AV536" i="1" s="1"/>
  <c r="AW536" i="1" s="1"/>
  <c r="AA95" i="1"/>
  <c r="AK95" i="1" s="1"/>
  <c r="AF297" i="1"/>
  <c r="AP297" i="1" s="1"/>
  <c r="AD215" i="1"/>
  <c r="AN215" i="1" s="1"/>
  <c r="AF206" i="1"/>
  <c r="AP206" i="1" s="1"/>
  <c r="AD647" i="1"/>
  <c r="AN647" i="1" s="1"/>
  <c r="AA240" i="1"/>
  <c r="AK240" i="1" s="1"/>
  <c r="AE626" i="1"/>
  <c r="AO626" i="1" s="1"/>
  <c r="AD591" i="1"/>
  <c r="AN591" i="1" s="1"/>
  <c r="BB591" i="1" s="1"/>
  <c r="AD609" i="1"/>
  <c r="AN609" i="1" s="1"/>
  <c r="BB609" i="1" s="1"/>
  <c r="AE522" i="1"/>
  <c r="AO522" i="1" s="1"/>
  <c r="AE663" i="1"/>
  <c r="AO663" i="1" s="1"/>
  <c r="AE390" i="1"/>
  <c r="AO390" i="1" s="1"/>
  <c r="AG587" i="1"/>
  <c r="AQ587" i="1" s="1"/>
  <c r="AE274" i="1"/>
  <c r="AO274" i="1" s="1"/>
  <c r="AA609" i="1"/>
  <c r="AK609" i="1" s="1"/>
  <c r="AK463" i="1"/>
  <c r="AF371" i="1"/>
  <c r="AP371" i="1" s="1"/>
  <c r="AB473" i="1"/>
  <c r="AL473" i="1" s="1"/>
  <c r="AB194" i="1"/>
  <c r="AL194" i="1" s="1"/>
  <c r="AD472" i="1"/>
  <c r="AN472" i="1" s="1"/>
  <c r="BB472" i="1" s="1"/>
  <c r="BC472" i="1" s="1"/>
  <c r="BD472" i="1" s="1"/>
  <c r="AD371" i="1"/>
  <c r="AN371" i="1" s="1"/>
  <c r="AD213" i="1"/>
  <c r="AN213" i="1" s="1"/>
  <c r="BB213" i="1" s="1"/>
  <c r="BC213" i="1" s="1"/>
  <c r="AK499" i="1"/>
  <c r="AD539" i="1"/>
  <c r="AN539" i="1" s="1"/>
  <c r="BB539" i="1" s="1"/>
  <c r="BC539" i="1" s="1"/>
  <c r="AA261" i="1"/>
  <c r="AK261" i="1" s="1"/>
  <c r="AD205" i="1"/>
  <c r="AN205" i="1" s="1"/>
  <c r="AF185" i="1"/>
  <c r="AP185" i="1" s="1"/>
  <c r="AS418" i="1"/>
  <c r="AB453" i="1"/>
  <c r="AL453" i="1" s="1"/>
  <c r="AF568" i="1"/>
  <c r="AP568" i="1" s="1"/>
  <c r="AG254" i="1"/>
  <c r="AQ254" i="1" s="1"/>
  <c r="BB254" i="1" s="1"/>
  <c r="BC254" i="1" s="1"/>
  <c r="AS326" i="1"/>
  <c r="AT326" i="1" s="1"/>
  <c r="AU326" i="1" s="1"/>
  <c r="AV326" i="1" s="1"/>
  <c r="AW326" i="1" s="1"/>
  <c r="AU280" i="1"/>
  <c r="AV280" i="1" s="1"/>
  <c r="AW280" i="1" s="1"/>
  <c r="AF381" i="1"/>
  <c r="AP381" i="1" s="1"/>
  <c r="AG582" i="1"/>
  <c r="AQ582" i="1" s="1"/>
  <c r="AB214" i="1"/>
  <c r="AL214" i="1" s="1"/>
  <c r="AD568" i="1"/>
  <c r="AN568" i="1" s="1"/>
  <c r="AA254" i="1"/>
  <c r="AK254" i="1" s="1"/>
  <c r="AB217" i="1"/>
  <c r="AL217" i="1" s="1"/>
  <c r="AA473" i="1"/>
  <c r="AK473" i="1" s="1"/>
  <c r="AG566" i="1"/>
  <c r="AQ566" i="1" s="1"/>
  <c r="AG504" i="1"/>
  <c r="AQ504" i="1" s="1"/>
  <c r="AD216" i="1"/>
  <c r="AN216" i="1" s="1"/>
  <c r="AA336" i="1"/>
  <c r="AK336" i="1" s="1"/>
  <c r="AE381" i="1"/>
  <c r="AO381" i="1" s="1"/>
  <c r="AA566" i="1"/>
  <c r="AK566" i="1" s="1"/>
  <c r="AA401" i="1"/>
  <c r="AK401" i="1" s="1"/>
  <c r="AF160" i="1"/>
  <c r="AP160" i="1" s="1"/>
  <c r="AA534" i="1"/>
  <c r="AK534" i="1" s="1"/>
  <c r="AE84" i="1"/>
  <c r="AO84" i="1" s="1"/>
  <c r="AF369" i="1"/>
  <c r="AP369" i="1" s="1"/>
  <c r="AF214" i="1"/>
  <c r="AP214" i="1" s="1"/>
  <c r="AG168" i="1"/>
  <c r="AQ168" i="1" s="1"/>
  <c r="AB507" i="1"/>
  <c r="AL507" i="1" s="1"/>
  <c r="AX371" i="1"/>
  <c r="AF159" i="1"/>
  <c r="AP159" i="1" s="1"/>
  <c r="AD91" i="1"/>
  <c r="AN91" i="1" s="1"/>
  <c r="AF76" i="1"/>
  <c r="AP76" i="1" s="1"/>
  <c r="AK96" i="1"/>
  <c r="AF124" i="1"/>
  <c r="AP124" i="1" s="1"/>
  <c r="AF162" i="1"/>
  <c r="AP162" i="1" s="1"/>
  <c r="AF262" i="1"/>
  <c r="AP262" i="1" s="1"/>
  <c r="AB425" i="1"/>
  <c r="AL425" i="1" s="1"/>
  <c r="AA152" i="1"/>
  <c r="AK152" i="1" s="1"/>
  <c r="BG152" i="1" s="1"/>
  <c r="AG68" i="1"/>
  <c r="AQ68" i="1" s="1"/>
  <c r="AD244" i="1"/>
  <c r="AN244" i="1" s="1"/>
  <c r="AB624" i="1"/>
  <c r="AL624" i="1" s="1"/>
  <c r="AG76" i="1"/>
  <c r="AQ76" i="1" s="1"/>
  <c r="AD159" i="1"/>
  <c r="AN159" i="1" s="1"/>
  <c r="AF150" i="1"/>
  <c r="AP150" i="1" s="1"/>
  <c r="AF624" i="1"/>
  <c r="AP624" i="1" s="1"/>
  <c r="AA115" i="1"/>
  <c r="AK115" i="1" s="1"/>
  <c r="AE92" i="1"/>
  <c r="AO92" i="1" s="1"/>
  <c r="AE76" i="1"/>
  <c r="AO76" i="1" s="1"/>
  <c r="AG130" i="1"/>
  <c r="AQ130" i="1" s="1"/>
  <c r="BB130" i="1" s="1"/>
  <c r="BC130" i="1" s="1"/>
  <c r="BD130" i="1" s="1"/>
  <c r="BE130" i="1" s="1"/>
  <c r="BF130" i="1" s="1"/>
  <c r="AD168" i="1"/>
  <c r="AN168" i="1" s="1"/>
  <c r="AD88" i="1"/>
  <c r="AN88" i="1" s="1"/>
  <c r="AG90" i="1"/>
  <c r="AQ90" i="1" s="1"/>
  <c r="AA374" i="1"/>
  <c r="AK374" i="1" s="1"/>
  <c r="AD112" i="1"/>
  <c r="AN112" i="1" s="1"/>
  <c r="AB205" i="1"/>
  <c r="AL205" i="1" s="1"/>
  <c r="AB224" i="1"/>
  <c r="AL224" i="1" s="1"/>
  <c r="AG232" i="1"/>
  <c r="AQ232" i="1" s="1"/>
  <c r="AG112" i="1"/>
  <c r="AQ112" i="1" s="1"/>
  <c r="AB117" i="1"/>
  <c r="AL117" i="1" s="1"/>
  <c r="AD81" i="1"/>
  <c r="AN81" i="1" s="1"/>
  <c r="AA224" i="1"/>
  <c r="AK224" i="1" s="1"/>
  <c r="AB69" i="1"/>
  <c r="AL69" i="1" s="1"/>
  <c r="AU313" i="1"/>
  <c r="AV313" i="1" s="1"/>
  <c r="AW313" i="1" s="1"/>
  <c r="AG453" i="1"/>
  <c r="AQ453" i="1" s="1"/>
  <c r="AS187" i="1"/>
  <c r="AS169" i="1"/>
  <c r="AT169" i="1" s="1"/>
  <c r="AU169" i="1" s="1"/>
  <c r="AV169" i="1" s="1"/>
  <c r="AW169" i="1" s="1"/>
  <c r="AS249" i="1"/>
  <c r="AG275" i="1"/>
  <c r="AQ275" i="1" s="1"/>
  <c r="AF261" i="1"/>
  <c r="AP261" i="1" s="1"/>
  <c r="AS538" i="1"/>
  <c r="AA415" i="1"/>
  <c r="AK415" i="1" s="1"/>
  <c r="AS244" i="1"/>
  <c r="AA92" i="1"/>
  <c r="AK92" i="1" s="1"/>
  <c r="AF254" i="1"/>
  <c r="AP254" i="1" s="1"/>
  <c r="AS285" i="1"/>
  <c r="AA301" i="1"/>
  <c r="AK301" i="1" s="1"/>
  <c r="AD110" i="1"/>
  <c r="AN110" i="1" s="1"/>
  <c r="BB110" i="1" s="1"/>
  <c r="BC110" i="1" s="1"/>
  <c r="AA237" i="1"/>
  <c r="AK237" i="1" s="1"/>
  <c r="AB180" i="1"/>
  <c r="AL180" i="1" s="1"/>
  <c r="AA133" i="1"/>
  <c r="AK133" i="1" s="1"/>
  <c r="AS136" i="1"/>
  <c r="AF563" i="1"/>
  <c r="AP563" i="1" s="1"/>
  <c r="AD620" i="1"/>
  <c r="AN620" i="1" s="1"/>
  <c r="AD644" i="1"/>
  <c r="AN644" i="1" s="1"/>
  <c r="BB644" i="1" s="1"/>
  <c r="AX313" i="1"/>
  <c r="AX356" i="1"/>
  <c r="AT113" i="1"/>
  <c r="AU113" i="1" s="1"/>
  <c r="AV113" i="1" s="1"/>
  <c r="AW113" i="1" s="1"/>
  <c r="AX151" i="1"/>
  <c r="AX117" i="1"/>
  <c r="AT276" i="1"/>
  <c r="AU276" i="1" s="1"/>
  <c r="AV276" i="1" s="1"/>
  <c r="AW276" i="1" s="1"/>
  <c r="AT122" i="1"/>
  <c r="AU122" i="1" s="1"/>
  <c r="AV122" i="1" s="1"/>
  <c r="AW122" i="1" s="1"/>
  <c r="BB162" i="1"/>
  <c r="BC162" i="1" s="1"/>
  <c r="BD162" i="1" s="1"/>
  <c r="AX157" i="1"/>
  <c r="AT163" i="1"/>
  <c r="AU163" i="1" s="1"/>
  <c r="AV163" i="1" s="1"/>
  <c r="AW163" i="1" s="1"/>
  <c r="AX167" i="1"/>
  <c r="AX643" i="1"/>
  <c r="AX235" i="1"/>
  <c r="AX311" i="1"/>
  <c r="AT67" i="1"/>
  <c r="AU67" i="1" s="1"/>
  <c r="AV67" i="1" s="1"/>
  <c r="AW67" i="1" s="1"/>
  <c r="AX170" i="1"/>
  <c r="BB217" i="1"/>
  <c r="BC217" i="1" s="1"/>
  <c r="AX349" i="1"/>
  <c r="AX82" i="1"/>
  <c r="AX381" i="1"/>
  <c r="AT100" i="1"/>
  <c r="AU100" i="1" s="1"/>
  <c r="AV100" i="1" s="1"/>
  <c r="AW100" i="1" s="1"/>
  <c r="AX91" i="1"/>
  <c r="AX362" i="1"/>
  <c r="AX120" i="1"/>
  <c r="AX542" i="1"/>
  <c r="AT135" i="1"/>
  <c r="AU135" i="1" s="1"/>
  <c r="AV135" i="1" s="1"/>
  <c r="AW135" i="1" s="1"/>
  <c r="AX85" i="1"/>
  <c r="AX293" i="1"/>
  <c r="AT599" i="1"/>
  <c r="AU599" i="1" s="1"/>
  <c r="AV599" i="1" s="1"/>
  <c r="AW599" i="1" s="1"/>
  <c r="AX105" i="1"/>
  <c r="AX616" i="1"/>
  <c r="AX193" i="1"/>
  <c r="AT115" i="1"/>
  <c r="AU115" i="1" s="1"/>
  <c r="AV115" i="1" s="1"/>
  <c r="AW115" i="1" s="1"/>
  <c r="AX112" i="1"/>
  <c r="AX190" i="1"/>
  <c r="AT340" i="1"/>
  <c r="AU340" i="1" s="1"/>
  <c r="AV340" i="1" s="1"/>
  <c r="AW340" i="1" s="1"/>
  <c r="BB223" i="1"/>
  <c r="AT371" i="1"/>
  <c r="AU371" i="1" s="1"/>
  <c r="AV371" i="1" s="1"/>
  <c r="AW371" i="1" s="1"/>
  <c r="BB123" i="1"/>
  <c r="BG123" i="1" s="1"/>
  <c r="AX384" i="1"/>
  <c r="AT447" i="1"/>
  <c r="AU447" i="1" s="1"/>
  <c r="AV447" i="1" s="1"/>
  <c r="AW447" i="1" s="1"/>
  <c r="AX231" i="1"/>
  <c r="AT210" i="1"/>
  <c r="AU210" i="1" s="1"/>
  <c r="AV210" i="1" s="1"/>
  <c r="AW210" i="1" s="1"/>
  <c r="AX222" i="1"/>
  <c r="AX445" i="1"/>
  <c r="AX125" i="1"/>
  <c r="AT118" i="1"/>
  <c r="AU118" i="1" s="1"/>
  <c r="AV118" i="1" s="1"/>
  <c r="AW118" i="1" s="1"/>
  <c r="AX131" i="1"/>
  <c r="AX123" i="1"/>
  <c r="AX218" i="1"/>
  <c r="AX627" i="1"/>
  <c r="AX258" i="1"/>
  <c r="AX98" i="1"/>
  <c r="AX652" i="1"/>
  <c r="BB145" i="1"/>
  <c r="BC145" i="1" s="1"/>
  <c r="BD145" i="1" s="1"/>
  <c r="AX165" i="1"/>
  <c r="AX444" i="1"/>
  <c r="AX397" i="1"/>
  <c r="BB406" i="1"/>
  <c r="BC406" i="1" s="1"/>
  <c r="BD406" i="1" s="1"/>
  <c r="AX387" i="1"/>
  <c r="BB372" i="1"/>
  <c r="BC372" i="1" s="1"/>
  <c r="BD372" i="1" s="1"/>
  <c r="BE372" i="1" s="1"/>
  <c r="BF372" i="1" s="1"/>
  <c r="AT350" i="1"/>
  <c r="AU350" i="1" s="1"/>
  <c r="AV350" i="1" s="1"/>
  <c r="AW350" i="1" s="1"/>
  <c r="AT325" i="1"/>
  <c r="AU325" i="1" s="1"/>
  <c r="AV325" i="1" s="1"/>
  <c r="AW325" i="1" s="1"/>
  <c r="AX271" i="1"/>
  <c r="BB634" i="1"/>
  <c r="BC634" i="1" s="1"/>
  <c r="BD634" i="1" s="1"/>
  <c r="BE634" i="1" s="1"/>
  <c r="BF634" i="1" s="1"/>
  <c r="BB205" i="1"/>
  <c r="BC205" i="1" s="1"/>
  <c r="AT509" i="1"/>
  <c r="AU509" i="1" s="1"/>
  <c r="AV509" i="1" s="1"/>
  <c r="AW509" i="1" s="1"/>
  <c r="AX548" i="1"/>
  <c r="AT583" i="1"/>
  <c r="AU583" i="1" s="1"/>
  <c r="AV583" i="1" s="1"/>
  <c r="AW583" i="1" s="1"/>
  <c r="AX201" i="1"/>
  <c r="AX628" i="1"/>
  <c r="AT234" i="1"/>
  <c r="AU234" i="1" s="1"/>
  <c r="AV234" i="1" s="1"/>
  <c r="AW234" i="1" s="1"/>
  <c r="AT434" i="1"/>
  <c r="AU434" i="1" s="1"/>
  <c r="AV434" i="1" s="1"/>
  <c r="AW434" i="1" s="1"/>
  <c r="AX620" i="1"/>
  <c r="AT462" i="1"/>
  <c r="AU462" i="1" s="1"/>
  <c r="AV462" i="1" s="1"/>
  <c r="AW462" i="1" s="1"/>
  <c r="AX318" i="1"/>
  <c r="AT292" i="1"/>
  <c r="AU292" i="1" s="1"/>
  <c r="AV292" i="1" s="1"/>
  <c r="AW292" i="1" s="1"/>
  <c r="AT250" i="1"/>
  <c r="AU250" i="1" s="1"/>
  <c r="AV250" i="1" s="1"/>
  <c r="AW250" i="1" s="1"/>
  <c r="AX255" i="1"/>
  <c r="AX111" i="1"/>
  <c r="BG310" i="1"/>
  <c r="BB650" i="1"/>
  <c r="BC650" i="1" s="1"/>
  <c r="AX402" i="1"/>
  <c r="AT259" i="1"/>
  <c r="AU259" i="1" s="1"/>
  <c r="AV259" i="1" s="1"/>
  <c r="AW259" i="1" s="1"/>
  <c r="AX589" i="1"/>
  <c r="AT335" i="1"/>
  <c r="AU335" i="1" s="1"/>
  <c r="AV335" i="1" s="1"/>
  <c r="AW335" i="1" s="1"/>
  <c r="AX233" i="1"/>
  <c r="AX511" i="1"/>
  <c r="AX545" i="1"/>
  <c r="BB544" i="1"/>
  <c r="BC544" i="1" s="1"/>
  <c r="AX368" i="1"/>
  <c r="AX320" i="1"/>
  <c r="AX484" i="1"/>
  <c r="AX517" i="1"/>
  <c r="AX354" i="1"/>
  <c r="BB449" i="1"/>
  <c r="BC449" i="1" s="1"/>
  <c r="BB253" i="1"/>
  <c r="BC253" i="1" s="1"/>
  <c r="BD253" i="1" s="1"/>
  <c r="AT601" i="1"/>
  <c r="AU601" i="1" s="1"/>
  <c r="AV601" i="1" s="1"/>
  <c r="AW601" i="1" s="1"/>
  <c r="AT291" i="1"/>
  <c r="AU291" i="1" s="1"/>
  <c r="AV291" i="1" s="1"/>
  <c r="AW291" i="1" s="1"/>
  <c r="AT137" i="1"/>
  <c r="AU137" i="1" s="1"/>
  <c r="AV137" i="1" s="1"/>
  <c r="AW137" i="1" s="1"/>
  <c r="AT331" i="1"/>
  <c r="AU331" i="1" s="1"/>
  <c r="AV331" i="1" s="1"/>
  <c r="AW331" i="1" s="1"/>
  <c r="AT487" i="1"/>
  <c r="AU487" i="1" s="1"/>
  <c r="AV487" i="1" s="1"/>
  <c r="AW487" i="1" s="1"/>
  <c r="AX460" i="1"/>
  <c r="AX654" i="1"/>
  <c r="AX637" i="1"/>
  <c r="AX519" i="1"/>
  <c r="AX152" i="1"/>
  <c r="BB454" i="1"/>
  <c r="BC454" i="1" s="1"/>
  <c r="BB235" i="1"/>
  <c r="BC235" i="1" s="1"/>
  <c r="AT341" i="1"/>
  <c r="AU341" i="1" s="1"/>
  <c r="AV341" i="1" s="1"/>
  <c r="AW341" i="1" s="1"/>
  <c r="AX666" i="1"/>
  <c r="AX246" i="1"/>
  <c r="BB491" i="1"/>
  <c r="BC491" i="1" s="1"/>
  <c r="AX228" i="1"/>
  <c r="AX208" i="1"/>
  <c r="BB380" i="1"/>
  <c r="BC380" i="1" s="1"/>
  <c r="AX373" i="1"/>
  <c r="AT443" i="1"/>
  <c r="AU443" i="1" s="1"/>
  <c r="AV443" i="1" s="1"/>
  <c r="AW443" i="1" s="1"/>
  <c r="AX224" i="1"/>
  <c r="AX569" i="1"/>
  <c r="BB170" i="1"/>
  <c r="AX505" i="1"/>
  <c r="AT195" i="1"/>
  <c r="AU195" i="1" s="1"/>
  <c r="AV195" i="1" s="1"/>
  <c r="AW195" i="1" s="1"/>
  <c r="AX308" i="1"/>
  <c r="AT603" i="1"/>
  <c r="AU603" i="1" s="1"/>
  <c r="AV603" i="1" s="1"/>
  <c r="AW603" i="1" s="1"/>
  <c r="AT455" i="1"/>
  <c r="AU455" i="1" s="1"/>
  <c r="AV455" i="1" s="1"/>
  <c r="AW455" i="1" s="1"/>
  <c r="AX229" i="1"/>
  <c r="AX396" i="1"/>
  <c r="AX572" i="1"/>
  <c r="AT657" i="1"/>
  <c r="AU657" i="1" s="1"/>
  <c r="AV657" i="1" s="1"/>
  <c r="AW657" i="1" s="1"/>
  <c r="BB442" i="1"/>
  <c r="BC442" i="1" s="1"/>
  <c r="AX608" i="1"/>
  <c r="BB389" i="1"/>
  <c r="BC389" i="1" s="1"/>
  <c r="BB557" i="1"/>
  <c r="BC557" i="1" s="1"/>
  <c r="BD557" i="1" s="1"/>
  <c r="BE557" i="1" s="1"/>
  <c r="BF557" i="1" s="1"/>
  <c r="BB566" i="1"/>
  <c r="BC566" i="1" s="1"/>
  <c r="AX333" i="1"/>
  <c r="AX565" i="1"/>
  <c r="AT146" i="1"/>
  <c r="AU146" i="1" s="1"/>
  <c r="AV146" i="1" s="1"/>
  <c r="AW146" i="1" s="1"/>
  <c r="AX427" i="1"/>
  <c r="AX595" i="1"/>
  <c r="AX560" i="1"/>
  <c r="BB499" i="1"/>
  <c r="BC499" i="1" s="1"/>
  <c r="BD499" i="1" s="1"/>
  <c r="BE499" i="1" s="1"/>
  <c r="BF499" i="1" s="1"/>
  <c r="AX287" i="1"/>
  <c r="AX528" i="1"/>
  <c r="AX532" i="1"/>
  <c r="AX139" i="1"/>
  <c r="AT299" i="1"/>
  <c r="AU299" i="1" s="1"/>
  <c r="AV299" i="1" s="1"/>
  <c r="AW299" i="1" s="1"/>
  <c r="AX395" i="1"/>
  <c r="BB279" i="1"/>
  <c r="BG279" i="1" s="1"/>
  <c r="AT604" i="1"/>
  <c r="AU604" i="1" s="1"/>
  <c r="AV604" i="1" s="1"/>
  <c r="AW604" i="1" s="1"/>
  <c r="BB510" i="1"/>
  <c r="BC510" i="1" s="1"/>
  <c r="AX571" i="1"/>
  <c r="AX429" i="1"/>
  <c r="AT596" i="1"/>
  <c r="AU596" i="1" s="1"/>
  <c r="AV596" i="1" s="1"/>
  <c r="AW596" i="1" s="1"/>
  <c r="AX280" i="1"/>
  <c r="BB430" i="1"/>
  <c r="BC430" i="1" s="1"/>
  <c r="AT283" i="1"/>
  <c r="AU283" i="1" s="1"/>
  <c r="AV283" i="1" s="1"/>
  <c r="AW283" i="1" s="1"/>
  <c r="BB98" i="1"/>
  <c r="BC98" i="1" s="1"/>
  <c r="BB501" i="1"/>
  <c r="BC501" i="1" s="1"/>
  <c r="BD501" i="1" s="1"/>
  <c r="AT510" i="1"/>
  <c r="AU510" i="1" s="1"/>
  <c r="AV510" i="1" s="1"/>
  <c r="AW510" i="1" s="1"/>
  <c r="AT400" i="1"/>
  <c r="AU400" i="1" s="1"/>
  <c r="AV400" i="1" s="1"/>
  <c r="AW400" i="1" s="1"/>
  <c r="AT204" i="1"/>
  <c r="AU204" i="1" s="1"/>
  <c r="AV204" i="1" s="1"/>
  <c r="AW204" i="1" s="1"/>
  <c r="AX204" i="1"/>
  <c r="AX403" i="1"/>
  <c r="AT87" i="1"/>
  <c r="AU87" i="1" s="1"/>
  <c r="AV87" i="1" s="1"/>
  <c r="AW87" i="1" s="1"/>
  <c r="BB251" i="1"/>
  <c r="BC251" i="1" s="1"/>
  <c r="BB528" i="1"/>
  <c r="BC528" i="1" s="1"/>
  <c r="AT128" i="1"/>
  <c r="AU128" i="1" s="1"/>
  <c r="AV128" i="1" s="1"/>
  <c r="AW128" i="1" s="1"/>
  <c r="AX253" i="1"/>
  <c r="AX550" i="1"/>
  <c r="AX386" i="1"/>
  <c r="AX372" i="1"/>
  <c r="BB95" i="1"/>
  <c r="BC95" i="1" s="1"/>
  <c r="BB498" i="1"/>
  <c r="BC498" i="1" s="1"/>
  <c r="BB203" i="1"/>
  <c r="BB629" i="1"/>
  <c r="BG629" i="1" s="1"/>
  <c r="AX477" i="1"/>
  <c r="AT110" i="1"/>
  <c r="AU110" i="1" s="1"/>
  <c r="AV110" i="1" s="1"/>
  <c r="AW110" i="1" s="1"/>
  <c r="BB315" i="1"/>
  <c r="BC315" i="1" s="1"/>
  <c r="AT74" i="1"/>
  <c r="AU74" i="1" s="1"/>
  <c r="AV74" i="1" s="1"/>
  <c r="AW74" i="1" s="1"/>
  <c r="AT411" i="1"/>
  <c r="AU411" i="1" s="1"/>
  <c r="AV411" i="1" s="1"/>
  <c r="AW411" i="1" s="1"/>
  <c r="AT245" i="1"/>
  <c r="AU245" i="1" s="1"/>
  <c r="AV245" i="1" s="1"/>
  <c r="AW245" i="1" s="1"/>
  <c r="AX441" i="1"/>
  <c r="AT264" i="1"/>
  <c r="AU264" i="1" s="1"/>
  <c r="AV264" i="1" s="1"/>
  <c r="AW264" i="1" s="1"/>
  <c r="AX294" i="1"/>
  <c r="AX305" i="1"/>
  <c r="AX533" i="1"/>
  <c r="AX392" i="1"/>
  <c r="AT392" i="1"/>
  <c r="AU392" i="1" s="1"/>
  <c r="AV392" i="1" s="1"/>
  <c r="AW392" i="1" s="1"/>
  <c r="AT288" i="1"/>
  <c r="AU288" i="1" s="1"/>
  <c r="AV288" i="1" s="1"/>
  <c r="AW288" i="1" s="1"/>
  <c r="AX288" i="1"/>
  <c r="AX466" i="1"/>
  <c r="BG632" i="1"/>
  <c r="AX588" i="1"/>
  <c r="AX302" i="1"/>
  <c r="AX655" i="1"/>
  <c r="BB74" i="1"/>
  <c r="BC74" i="1" s="1"/>
  <c r="AT202" i="1"/>
  <c r="AU202" i="1" s="1"/>
  <c r="AV202" i="1" s="1"/>
  <c r="AW202" i="1" s="1"/>
  <c r="AX464" i="1"/>
  <c r="BB603" i="1"/>
  <c r="BC603" i="1" s="1"/>
  <c r="AT380" i="1"/>
  <c r="AU380" i="1" s="1"/>
  <c r="AV380" i="1" s="1"/>
  <c r="AW380" i="1" s="1"/>
  <c r="AX215" i="1"/>
  <c r="BB524" i="1"/>
  <c r="BC524" i="1" s="1"/>
  <c r="BD524" i="1" s="1"/>
  <c r="AX461" i="1"/>
  <c r="AT194" i="1"/>
  <c r="AU194" i="1" s="1"/>
  <c r="AV194" i="1" s="1"/>
  <c r="AW194" i="1" s="1"/>
  <c r="BB440" i="1"/>
  <c r="AT257" i="1"/>
  <c r="AU257" i="1" s="1"/>
  <c r="AV257" i="1" s="1"/>
  <c r="AW257" i="1" s="1"/>
  <c r="BB532" i="1"/>
  <c r="BC532" i="1" s="1"/>
  <c r="BD532" i="1" s="1"/>
  <c r="BE532" i="1" s="1"/>
  <c r="BF532" i="1" s="1"/>
  <c r="AX342" i="1"/>
  <c r="BB437" i="1"/>
  <c r="BC437" i="1" s="1"/>
  <c r="AX647" i="1"/>
  <c r="AX328" i="1"/>
  <c r="AT328" i="1"/>
  <c r="AU328" i="1" s="1"/>
  <c r="AV328" i="1" s="1"/>
  <c r="AW328" i="1" s="1"/>
  <c r="BB611" i="1"/>
  <c r="BC611" i="1" s="1"/>
  <c r="AT316" i="1"/>
  <c r="AU316" i="1" s="1"/>
  <c r="AV316" i="1" s="1"/>
  <c r="AW316" i="1" s="1"/>
  <c r="BB561" i="1"/>
  <c r="BC561" i="1" s="1"/>
  <c r="AX490" i="1"/>
  <c r="AX232" i="1"/>
  <c r="AX536" i="1"/>
  <c r="BB184" i="1"/>
  <c r="BC184" i="1" s="1"/>
  <c r="AT240" i="1"/>
  <c r="AU240" i="1" s="1"/>
  <c r="AV240" i="1" s="1"/>
  <c r="AW240" i="1" s="1"/>
  <c r="AX240" i="1"/>
  <c r="AT405" i="1"/>
  <c r="AU405" i="1" s="1"/>
  <c r="AV405" i="1" s="1"/>
  <c r="AW405" i="1" s="1"/>
  <c r="BB595" i="1"/>
  <c r="BB530" i="1"/>
  <c r="BC530" i="1" s="1"/>
  <c r="BD530" i="1" s="1"/>
  <c r="BE530" i="1" s="1"/>
  <c r="BF530" i="1" s="1"/>
  <c r="AT295" i="1"/>
  <c r="AU295" i="1" s="1"/>
  <c r="AV295" i="1" s="1"/>
  <c r="AW295" i="1" s="1"/>
  <c r="AT579" i="1"/>
  <c r="AU579" i="1" s="1"/>
  <c r="AV579" i="1" s="1"/>
  <c r="AW579" i="1" s="1"/>
  <c r="AX254" i="1"/>
  <c r="AX284" i="1"/>
  <c r="AT188" i="1"/>
  <c r="AU188" i="1" s="1"/>
  <c r="AV188" i="1" s="1"/>
  <c r="AW188" i="1" s="1"/>
  <c r="AX188" i="1"/>
  <c r="AT361" i="1"/>
  <c r="AU361" i="1" s="1"/>
  <c r="AV361" i="1" s="1"/>
  <c r="AW361" i="1" s="1"/>
  <c r="AX361" i="1"/>
  <c r="AX221" i="1"/>
  <c r="AT221" i="1"/>
  <c r="AU221" i="1" s="1"/>
  <c r="AV221" i="1" s="1"/>
  <c r="AW221" i="1" s="1"/>
  <c r="BB413" i="1"/>
  <c r="BC413" i="1" s="1"/>
  <c r="AX337" i="1"/>
  <c r="AX389" i="1"/>
  <c r="AX557" i="1"/>
  <c r="BB570" i="1"/>
  <c r="BC570" i="1" s="1"/>
  <c r="AX398" i="1"/>
  <c r="AX185" i="1"/>
  <c r="AX162" i="1"/>
  <c r="AT162" i="1"/>
  <c r="AU162" i="1" s="1"/>
  <c r="AV162" i="1" s="1"/>
  <c r="AW162" i="1" s="1"/>
  <c r="AX360" i="1"/>
  <c r="BB359" i="1"/>
  <c r="BC359" i="1" s="1"/>
  <c r="BD359" i="1" s="1"/>
  <c r="AX506" i="1"/>
  <c r="AX168" i="1"/>
  <c r="AX544" i="1"/>
  <c r="AX582" i="1"/>
  <c r="AX153" i="1"/>
  <c r="AX485" i="1"/>
  <c r="AT485" i="1"/>
  <c r="AU485" i="1" s="1"/>
  <c r="AV485" i="1" s="1"/>
  <c r="AW485" i="1" s="1"/>
  <c r="AX307" i="1"/>
  <c r="AT307" i="1"/>
  <c r="AU307" i="1" s="1"/>
  <c r="AV307" i="1" s="1"/>
  <c r="AW307" i="1" s="1"/>
  <c r="AT624" i="1"/>
  <c r="AU624" i="1" s="1"/>
  <c r="AV624" i="1" s="1"/>
  <c r="AW624" i="1" s="1"/>
  <c r="AX624" i="1"/>
  <c r="BB614" i="1"/>
  <c r="BC614" i="1" s="1"/>
  <c r="AX515" i="1"/>
  <c r="BB584" i="1"/>
  <c r="BC584" i="1" s="1"/>
  <c r="BB247" i="1"/>
  <c r="BC247" i="1" s="1"/>
  <c r="BD247" i="1" s="1"/>
  <c r="BB169" i="1"/>
  <c r="AX553" i="1"/>
  <c r="AX586" i="1"/>
  <c r="AT101" i="1"/>
  <c r="AU101" i="1" s="1"/>
  <c r="AV101" i="1" s="1"/>
  <c r="AW101" i="1" s="1"/>
  <c r="AX504" i="1"/>
  <c r="AT330" i="1"/>
  <c r="AU330" i="1" s="1"/>
  <c r="AV330" i="1" s="1"/>
  <c r="AW330" i="1" s="1"/>
  <c r="BB575" i="1"/>
  <c r="BC575" i="1" s="1"/>
  <c r="AT415" i="1"/>
  <c r="AU415" i="1" s="1"/>
  <c r="AV415" i="1" s="1"/>
  <c r="AW415" i="1" s="1"/>
  <c r="AX303" i="1"/>
  <c r="BB289" i="1"/>
  <c r="BC289" i="1" s="1"/>
  <c r="AX182" i="1"/>
  <c r="AT239" i="1"/>
  <c r="AU239" i="1" s="1"/>
  <c r="AV239" i="1" s="1"/>
  <c r="AW239" i="1" s="1"/>
  <c r="AT212" i="1"/>
  <c r="AU212" i="1" s="1"/>
  <c r="AV212" i="1" s="1"/>
  <c r="AW212" i="1" s="1"/>
  <c r="AX212" i="1"/>
  <c r="AT475" i="1"/>
  <c r="AU475" i="1" s="1"/>
  <c r="AV475" i="1" s="1"/>
  <c r="AW475" i="1" s="1"/>
  <c r="AX475" i="1"/>
  <c r="AT417" i="1"/>
  <c r="AU417" i="1" s="1"/>
  <c r="AV417" i="1" s="1"/>
  <c r="AW417" i="1" s="1"/>
  <c r="BB166" i="1"/>
  <c r="BC166" i="1" s="1"/>
  <c r="BD166" i="1" s="1"/>
  <c r="BE166" i="1" s="1"/>
  <c r="BF166" i="1" s="1"/>
  <c r="AX497" i="1"/>
  <c r="AX663" i="1"/>
  <c r="AX121" i="1"/>
  <c r="AX390" i="1"/>
  <c r="AX638" i="1"/>
  <c r="AT364" i="1"/>
  <c r="AU364" i="1" s="1"/>
  <c r="AV364" i="1" s="1"/>
  <c r="AW364" i="1" s="1"/>
  <c r="AX364" i="1"/>
  <c r="AX489" i="1"/>
  <c r="AT489" i="1"/>
  <c r="AU489" i="1" s="1"/>
  <c r="AV489" i="1" s="1"/>
  <c r="AW489" i="1" s="1"/>
  <c r="AT180" i="1"/>
  <c r="AU180" i="1" s="1"/>
  <c r="AV180" i="1" s="1"/>
  <c r="AW180" i="1" s="1"/>
  <c r="AX180" i="1"/>
  <c r="AT492" i="1"/>
  <c r="AU492" i="1" s="1"/>
  <c r="AV492" i="1" s="1"/>
  <c r="AW492" i="1" s="1"/>
  <c r="AT600" i="1"/>
  <c r="AU600" i="1" s="1"/>
  <c r="AV600" i="1" s="1"/>
  <c r="AW600" i="1" s="1"/>
  <c r="AX600" i="1"/>
  <c r="AT535" i="1"/>
  <c r="AU535" i="1" s="1"/>
  <c r="AV535" i="1" s="1"/>
  <c r="AW535" i="1" s="1"/>
  <c r="AX133" i="1"/>
  <c r="BG113" i="1"/>
  <c r="BB627" i="1"/>
  <c r="BC627" i="1" s="1"/>
  <c r="AX513" i="1"/>
  <c r="AX189" i="1"/>
  <c r="AT189" i="1"/>
  <c r="AU189" i="1" s="1"/>
  <c r="AV189" i="1" s="1"/>
  <c r="AW189" i="1" s="1"/>
  <c r="AT76" i="1"/>
  <c r="AU76" i="1" s="1"/>
  <c r="AV76" i="1" s="1"/>
  <c r="AW76" i="1" s="1"/>
  <c r="AX76" i="1"/>
  <c r="AX493" i="1"/>
  <c r="AX479" i="1"/>
  <c r="AT479" i="1"/>
  <c r="AU479" i="1" s="1"/>
  <c r="AV479" i="1" s="1"/>
  <c r="AW479" i="1" s="1"/>
  <c r="AT546" i="1"/>
  <c r="AU546" i="1" s="1"/>
  <c r="AV546" i="1" s="1"/>
  <c r="AW546" i="1" s="1"/>
  <c r="AX546" i="1"/>
  <c r="AX263" i="1"/>
  <c r="AT263" i="1"/>
  <c r="AU263" i="1" s="1"/>
  <c r="AV263" i="1" s="1"/>
  <c r="AW263" i="1" s="1"/>
  <c r="AT500" i="1"/>
  <c r="AU500" i="1" s="1"/>
  <c r="AV500" i="1" s="1"/>
  <c r="AW500" i="1" s="1"/>
  <c r="AX500" i="1"/>
  <c r="AX609" i="1"/>
  <c r="AT609" i="1"/>
  <c r="AU609" i="1" s="1"/>
  <c r="AV609" i="1" s="1"/>
  <c r="AW609" i="1" s="1"/>
  <c r="AX178" i="1"/>
  <c r="AT178" i="1"/>
  <c r="AU178" i="1" s="1"/>
  <c r="AV178" i="1" s="1"/>
  <c r="AW178" i="1" s="1"/>
  <c r="AX370" i="1"/>
  <c r="AX353" i="1"/>
  <c r="AX378" i="1"/>
  <c r="AX564" i="1"/>
  <c r="BB72" i="1"/>
  <c r="BC72" i="1" s="1"/>
  <c r="AT449" i="1"/>
  <c r="AU449" i="1" s="1"/>
  <c r="AV449" i="1" s="1"/>
  <c r="AW449" i="1" s="1"/>
  <c r="AX449" i="1"/>
  <c r="AT458" i="1"/>
  <c r="AU458" i="1" s="1"/>
  <c r="AV458" i="1" s="1"/>
  <c r="AW458" i="1" s="1"/>
  <c r="AX458" i="1"/>
  <c r="AT266" i="1"/>
  <c r="AU266" i="1" s="1"/>
  <c r="AV266" i="1" s="1"/>
  <c r="AW266" i="1" s="1"/>
  <c r="AX266" i="1"/>
  <c r="AX214" i="1"/>
  <c r="BG89" i="1"/>
  <c r="BB239" i="1"/>
  <c r="BB519" i="1"/>
  <c r="AX578" i="1"/>
  <c r="AX265" i="1"/>
  <c r="AT664" i="1"/>
  <c r="AU664" i="1" s="1"/>
  <c r="AV664" i="1" s="1"/>
  <c r="AW664" i="1" s="1"/>
  <c r="AX664" i="1"/>
  <c r="AX345" i="1"/>
  <c r="AT345" i="1"/>
  <c r="AU345" i="1" s="1"/>
  <c r="AV345" i="1" s="1"/>
  <c r="AW345" i="1" s="1"/>
  <c r="AX348" i="1"/>
  <c r="AT348" i="1"/>
  <c r="AU348" i="1" s="1"/>
  <c r="AV348" i="1" s="1"/>
  <c r="AW348" i="1" s="1"/>
  <c r="AX150" i="1"/>
  <c r="AT95" i="1"/>
  <c r="AU95" i="1" s="1"/>
  <c r="AV95" i="1" s="1"/>
  <c r="AW95" i="1" s="1"/>
  <c r="AX95" i="1"/>
  <c r="AX226" i="1"/>
  <c r="AX92" i="1"/>
  <c r="AT92" i="1"/>
  <c r="AU92" i="1" s="1"/>
  <c r="AV92" i="1" s="1"/>
  <c r="AW92" i="1" s="1"/>
  <c r="AT478" i="1"/>
  <c r="AU478" i="1" s="1"/>
  <c r="AV478" i="1" s="1"/>
  <c r="AW478" i="1" s="1"/>
  <c r="AX478" i="1"/>
  <c r="AT70" i="1"/>
  <c r="AU70" i="1" s="1"/>
  <c r="AV70" i="1" s="1"/>
  <c r="AW70" i="1" s="1"/>
  <c r="AX70" i="1"/>
  <c r="BB330" i="1"/>
  <c r="BC330" i="1" s="1"/>
  <c r="AT539" i="1"/>
  <c r="AU539" i="1" s="1"/>
  <c r="AV539" i="1" s="1"/>
  <c r="AW539" i="1" s="1"/>
  <c r="AX321" i="1"/>
  <c r="BB368" i="1"/>
  <c r="BC368" i="1" s="1"/>
  <c r="BD368" i="1" s="1"/>
  <c r="BB652" i="1"/>
  <c r="BB505" i="1"/>
  <c r="BC505" i="1" s="1"/>
  <c r="BD505" i="1" s="1"/>
  <c r="BE505" i="1" s="1"/>
  <c r="BF505" i="1" s="1"/>
  <c r="AX645" i="1"/>
  <c r="AT329" i="1"/>
  <c r="AU329" i="1" s="1"/>
  <c r="AV329" i="1" s="1"/>
  <c r="AW329" i="1" s="1"/>
  <c r="AX329" i="1"/>
  <c r="AT359" i="1"/>
  <c r="AU359" i="1" s="1"/>
  <c r="AV359" i="1" s="1"/>
  <c r="AW359" i="1" s="1"/>
  <c r="AX359" i="1"/>
  <c r="AX498" i="1"/>
  <c r="AT498" i="1"/>
  <c r="AU498" i="1" s="1"/>
  <c r="AV498" i="1" s="1"/>
  <c r="AW498" i="1" s="1"/>
  <c r="AT376" i="1"/>
  <c r="AU376" i="1" s="1"/>
  <c r="AV376" i="1" s="1"/>
  <c r="AW376" i="1" s="1"/>
  <c r="AX376" i="1"/>
  <c r="AT592" i="1"/>
  <c r="AU592" i="1" s="1"/>
  <c r="AV592" i="1" s="1"/>
  <c r="AW592" i="1" s="1"/>
  <c r="AX592" i="1"/>
  <c r="AX660" i="1"/>
  <c r="AX383" i="1"/>
  <c r="AX476" i="1"/>
  <c r="AX471" i="1"/>
  <c r="AX127" i="1"/>
  <c r="AT127" i="1"/>
  <c r="AU127" i="1" s="1"/>
  <c r="AV127" i="1" s="1"/>
  <c r="AW127" i="1" s="1"/>
  <c r="AT377" i="1"/>
  <c r="AU377" i="1" s="1"/>
  <c r="AV377" i="1" s="1"/>
  <c r="AW377" i="1" s="1"/>
  <c r="AX377" i="1"/>
  <c r="AX613" i="1"/>
  <c r="AT613" i="1"/>
  <c r="AU613" i="1" s="1"/>
  <c r="AV613" i="1" s="1"/>
  <c r="AW613" i="1" s="1"/>
  <c r="AT438" i="1"/>
  <c r="AU438" i="1" s="1"/>
  <c r="AV438" i="1" s="1"/>
  <c r="AW438" i="1" s="1"/>
  <c r="AX640" i="1"/>
  <c r="AT640" i="1"/>
  <c r="AU640" i="1" s="1"/>
  <c r="AV640" i="1" s="1"/>
  <c r="AW640" i="1" s="1"/>
  <c r="AX298" i="1"/>
  <c r="AT298" i="1"/>
  <c r="AU298" i="1" s="1"/>
  <c r="AV298" i="1" s="1"/>
  <c r="AW298" i="1" s="1"/>
  <c r="AX593" i="1"/>
  <c r="AX407" i="1"/>
  <c r="AT407" i="1"/>
  <c r="AU407" i="1" s="1"/>
  <c r="AV407" i="1" s="1"/>
  <c r="AW407" i="1" s="1"/>
  <c r="AT363" i="1"/>
  <c r="AU363" i="1" s="1"/>
  <c r="AV363" i="1" s="1"/>
  <c r="AW363" i="1" s="1"/>
  <c r="AX363" i="1"/>
  <c r="AX516" i="1"/>
  <c r="AT516" i="1"/>
  <c r="AU516" i="1" s="1"/>
  <c r="AV516" i="1" s="1"/>
  <c r="AW516" i="1" s="1"/>
  <c r="AX166" i="1"/>
  <c r="AX206" i="1"/>
  <c r="AT206" i="1"/>
  <c r="AU206" i="1" s="1"/>
  <c r="AV206" i="1" s="1"/>
  <c r="AW206" i="1" s="1"/>
  <c r="AT452" i="1"/>
  <c r="AU452" i="1" s="1"/>
  <c r="AV452" i="1" s="1"/>
  <c r="AW452" i="1" s="1"/>
  <c r="AX452" i="1"/>
  <c r="AX665" i="1"/>
  <c r="AX457" i="1"/>
  <c r="AX491" i="1"/>
  <c r="AT491" i="1"/>
  <c r="AU491" i="1" s="1"/>
  <c r="AV491" i="1" s="1"/>
  <c r="AW491" i="1" s="1"/>
  <c r="AX634" i="1"/>
  <c r="BB77" i="1"/>
  <c r="BC77" i="1" s="1"/>
  <c r="BB324" i="1"/>
  <c r="AX336" i="1"/>
  <c r="AX420" i="1"/>
  <c r="AX181" i="1"/>
  <c r="AT594" i="1"/>
  <c r="AU594" i="1" s="1"/>
  <c r="AV594" i="1" s="1"/>
  <c r="AW594" i="1" s="1"/>
  <c r="AX594" i="1"/>
  <c r="AX351" i="1"/>
  <c r="AT351" i="1"/>
  <c r="AU351" i="1" s="1"/>
  <c r="AV351" i="1" s="1"/>
  <c r="AW351" i="1" s="1"/>
  <c r="AT339" i="1"/>
  <c r="AU339" i="1" s="1"/>
  <c r="AV339" i="1" s="1"/>
  <c r="AW339" i="1" s="1"/>
  <c r="AX339" i="1"/>
  <c r="AT607" i="1"/>
  <c r="AU607" i="1" s="1"/>
  <c r="AV607" i="1" s="1"/>
  <c r="AW607" i="1" s="1"/>
  <c r="AX607" i="1"/>
  <c r="AT507" i="1"/>
  <c r="AU507" i="1" s="1"/>
  <c r="AV507" i="1" s="1"/>
  <c r="AW507" i="1" s="1"/>
  <c r="AX507" i="1"/>
  <c r="AX573" i="1"/>
  <c r="AT573" i="1"/>
  <c r="AU573" i="1" s="1"/>
  <c r="AV573" i="1" s="1"/>
  <c r="AW573" i="1" s="1"/>
  <c r="AT562" i="1"/>
  <c r="AU562" i="1" s="1"/>
  <c r="AV562" i="1" s="1"/>
  <c r="AW562" i="1" s="1"/>
  <c r="AX562" i="1"/>
  <c r="AT518" i="1"/>
  <c r="AU518" i="1" s="1"/>
  <c r="AV518" i="1" s="1"/>
  <c r="AW518" i="1" s="1"/>
  <c r="AX518" i="1"/>
  <c r="AT615" i="1"/>
  <c r="AU615" i="1" s="1"/>
  <c r="AV615" i="1" s="1"/>
  <c r="AW615" i="1" s="1"/>
  <c r="AX186" i="1"/>
  <c r="AT186" i="1"/>
  <c r="AU186" i="1" s="1"/>
  <c r="AV186" i="1" s="1"/>
  <c r="AW186" i="1" s="1"/>
  <c r="BB496" i="1"/>
  <c r="AX514" i="1"/>
  <c r="AX203" i="1"/>
  <c r="AX230" i="1"/>
  <c r="AX410" i="1"/>
  <c r="AT252" i="1"/>
  <c r="AU252" i="1" s="1"/>
  <c r="AV252" i="1" s="1"/>
  <c r="AW252" i="1" s="1"/>
  <c r="AX252" i="1"/>
  <c r="AX102" i="1"/>
  <c r="AX527" i="1"/>
  <c r="AT527" i="1"/>
  <c r="AU527" i="1" s="1"/>
  <c r="AV527" i="1" s="1"/>
  <c r="AW527" i="1" s="1"/>
  <c r="AT559" i="1"/>
  <c r="AU559" i="1" s="1"/>
  <c r="AV559" i="1" s="1"/>
  <c r="AW559" i="1" s="1"/>
  <c r="AX559" i="1"/>
  <c r="AT103" i="1"/>
  <c r="AU103" i="1" s="1"/>
  <c r="AV103" i="1" s="1"/>
  <c r="AW103" i="1" s="1"/>
  <c r="AX103" i="1"/>
  <c r="BB377" i="1"/>
  <c r="BC377" i="1" s="1"/>
  <c r="AT300" i="1" l="1"/>
  <c r="AU300" i="1" s="1"/>
  <c r="AV300" i="1" s="1"/>
  <c r="AW300" i="1" s="1"/>
  <c r="AX236" i="1"/>
  <c r="AX326" i="1"/>
  <c r="AX97" i="1"/>
  <c r="AT144" i="1"/>
  <c r="AU144" i="1" s="1"/>
  <c r="AV144" i="1" s="1"/>
  <c r="AW144" i="1" s="1"/>
  <c r="BB240" i="1"/>
  <c r="BC240" i="1" s="1"/>
  <c r="BD240" i="1" s="1"/>
  <c r="BB512" i="1"/>
  <c r="BC512" i="1" s="1"/>
  <c r="BD512" i="1" s="1"/>
  <c r="BE512" i="1" s="1"/>
  <c r="BF512" i="1" s="1"/>
  <c r="AX523" i="1"/>
  <c r="AX296" i="1"/>
  <c r="AX623" i="1"/>
  <c r="AT577" i="1"/>
  <c r="AU577" i="1" s="1"/>
  <c r="AV577" i="1" s="1"/>
  <c r="AW577" i="1" s="1"/>
  <c r="AX501" i="1"/>
  <c r="AX409" i="1"/>
  <c r="AT439" i="1"/>
  <c r="AU439" i="1" s="1"/>
  <c r="AV439" i="1" s="1"/>
  <c r="AW439" i="1" s="1"/>
  <c r="AX453" i="1"/>
  <c r="BG107" i="1"/>
  <c r="BD98" i="1"/>
  <c r="BE98" i="1" s="1"/>
  <c r="BF98" i="1" s="1"/>
  <c r="AX543" i="1"/>
  <c r="AX282" i="1"/>
  <c r="AT437" i="1"/>
  <c r="AU437" i="1" s="1"/>
  <c r="AV437" i="1" s="1"/>
  <c r="AW437" i="1" s="1"/>
  <c r="BB91" i="1"/>
  <c r="BC91" i="1" s="1"/>
  <c r="BD91" i="1" s="1"/>
  <c r="BE91" i="1" s="1"/>
  <c r="BF91" i="1" s="1"/>
  <c r="BD213" i="1"/>
  <c r="BE461" i="1"/>
  <c r="BF461" i="1" s="1"/>
  <c r="BD312" i="1"/>
  <c r="BE312" i="1" s="1"/>
  <c r="BF312" i="1" s="1"/>
  <c r="BD555" i="1"/>
  <c r="BE555" i="1" s="1"/>
  <c r="BF555" i="1" s="1"/>
  <c r="BB631" i="1"/>
  <c r="BC631" i="1" s="1"/>
  <c r="BB478" i="1"/>
  <c r="BC478" i="1" s="1"/>
  <c r="BD478" i="1" s="1"/>
  <c r="BB182" i="1"/>
  <c r="BC182" i="1" s="1"/>
  <c r="BB189" i="1"/>
  <c r="BC189" i="1" s="1"/>
  <c r="BD189" i="1" s="1"/>
  <c r="BE189" i="1" s="1"/>
  <c r="BF189" i="1" s="1"/>
  <c r="BB500" i="1"/>
  <c r="BC500" i="1" s="1"/>
  <c r="BD500" i="1" s="1"/>
  <c r="BB260" i="1"/>
  <c r="BC260" i="1" s="1"/>
  <c r="BD260" i="1" s="1"/>
  <c r="BE260" i="1" s="1"/>
  <c r="BF260" i="1" s="1"/>
  <c r="BB144" i="1"/>
  <c r="BC144" i="1" s="1"/>
  <c r="BD144" i="1" s="1"/>
  <c r="BE144" i="1" s="1"/>
  <c r="BF144" i="1" s="1"/>
  <c r="BB553" i="1"/>
  <c r="BC553" i="1" s="1"/>
  <c r="BB651" i="1"/>
  <c r="BC651" i="1" s="1"/>
  <c r="BB234" i="1"/>
  <c r="BC234" i="1" s="1"/>
  <c r="BD234" i="1" s="1"/>
  <c r="BE234" i="1" s="1"/>
  <c r="BF234" i="1" s="1"/>
  <c r="BB343" i="1"/>
  <c r="BC343" i="1" s="1"/>
  <c r="BB375" i="1"/>
  <c r="BC375" i="1" s="1"/>
  <c r="BB198" i="1"/>
  <c r="BB522" i="1"/>
  <c r="BC522" i="1" s="1"/>
  <c r="BD522" i="1" s="1"/>
  <c r="BE522" i="1" s="1"/>
  <c r="BF522" i="1" s="1"/>
  <c r="BB398" i="1"/>
  <c r="BC398" i="1" s="1"/>
  <c r="BD398" i="1" s="1"/>
  <c r="BE398" i="1" s="1"/>
  <c r="BF398" i="1" s="1"/>
  <c r="BD281" i="1"/>
  <c r="BE281" i="1" s="1"/>
  <c r="BF281" i="1" s="1"/>
  <c r="BB585" i="1"/>
  <c r="BC585" i="1" s="1"/>
  <c r="BD585" i="1" s="1"/>
  <c r="BE585" i="1" s="1"/>
  <c r="BF585" i="1" s="1"/>
  <c r="BD237" i="1"/>
  <c r="BE237" i="1" s="1"/>
  <c r="BF237" i="1" s="1"/>
  <c r="AX242" i="1"/>
  <c r="AX552" i="1"/>
  <c r="AX108" i="1"/>
  <c r="AX309" i="1"/>
  <c r="BB270" i="1"/>
  <c r="BC270" i="1" s="1"/>
  <c r="BD270" i="1" s="1"/>
  <c r="BE270" i="1" s="1"/>
  <c r="BF270" i="1" s="1"/>
  <c r="BB284" i="1"/>
  <c r="BC284" i="1" s="1"/>
  <c r="BB99" i="1"/>
  <c r="BC99" i="1" s="1"/>
  <c r="BD99" i="1" s="1"/>
  <c r="BG135" i="1"/>
  <c r="AT581" i="1"/>
  <c r="AU581" i="1" s="1"/>
  <c r="AV581" i="1" s="1"/>
  <c r="AW581" i="1" s="1"/>
  <c r="AT450" i="1"/>
  <c r="AU450" i="1" s="1"/>
  <c r="AV450" i="1" s="1"/>
  <c r="AW450" i="1" s="1"/>
  <c r="AX315" i="1"/>
  <c r="AX469" i="1"/>
  <c r="AX566" i="1"/>
  <c r="BD413" i="1"/>
  <c r="BE413" i="1" s="1"/>
  <c r="BF413" i="1" s="1"/>
  <c r="AT580" i="1"/>
  <c r="AU580" i="1" s="1"/>
  <c r="AV580" i="1" s="1"/>
  <c r="AW580" i="1" s="1"/>
  <c r="AX261" i="1"/>
  <c r="AX109" i="1"/>
  <c r="BD217" i="1"/>
  <c r="BE217" i="1" s="1"/>
  <c r="BF217" i="1" s="1"/>
  <c r="AX99" i="1"/>
  <c r="BD416" i="1"/>
  <c r="BE416" i="1" s="1"/>
  <c r="BF416" i="1" s="1"/>
  <c r="BD622" i="1"/>
  <c r="BE622" i="1" s="1"/>
  <c r="BF622" i="1" s="1"/>
  <c r="BB628" i="1"/>
  <c r="BD586" i="1"/>
  <c r="BB329" i="1"/>
  <c r="BC329" i="1" s="1"/>
  <c r="BD329" i="1" s="1"/>
  <c r="BE329" i="1" s="1"/>
  <c r="BF329" i="1" s="1"/>
  <c r="BD361" i="1"/>
  <c r="BE361" i="1" s="1"/>
  <c r="BF361" i="1" s="1"/>
  <c r="BG439" i="1"/>
  <c r="BB149" i="1"/>
  <c r="BC149" i="1" s="1"/>
  <c r="BD149" i="1" s="1"/>
  <c r="BE149" i="1" s="1"/>
  <c r="BF149" i="1" s="1"/>
  <c r="BB297" i="1"/>
  <c r="BC297" i="1" s="1"/>
  <c r="BD297" i="1" s="1"/>
  <c r="BE297" i="1" s="1"/>
  <c r="BF297" i="1" s="1"/>
  <c r="BD214" i="1"/>
  <c r="BE214" i="1" s="1"/>
  <c r="BF214" i="1" s="1"/>
  <c r="BB186" i="1"/>
  <c r="BB559" i="1"/>
  <c r="BC559" i="1" s="1"/>
  <c r="BB71" i="1"/>
  <c r="BC71" i="1" s="1"/>
  <c r="AT621" i="1"/>
  <c r="AU621" i="1" s="1"/>
  <c r="AV621" i="1" s="1"/>
  <c r="AW621" i="1" s="1"/>
  <c r="AX621" i="1"/>
  <c r="AX561" i="1"/>
  <c r="AT561" i="1"/>
  <c r="AU561" i="1" s="1"/>
  <c r="AV561" i="1" s="1"/>
  <c r="AW561" i="1" s="1"/>
  <c r="AT352" i="1"/>
  <c r="AU352" i="1" s="1"/>
  <c r="AV352" i="1" s="1"/>
  <c r="AW352" i="1" s="1"/>
  <c r="AX274" i="1"/>
  <c r="AT274" i="1"/>
  <c r="AU274" i="1" s="1"/>
  <c r="AV274" i="1" s="1"/>
  <c r="AW274" i="1" s="1"/>
  <c r="AX636" i="1"/>
  <c r="AT636" i="1"/>
  <c r="AU636" i="1" s="1"/>
  <c r="AV636" i="1" s="1"/>
  <c r="AW636" i="1" s="1"/>
  <c r="AT174" i="1"/>
  <c r="AU174" i="1" s="1"/>
  <c r="AV174" i="1" s="1"/>
  <c r="AW174" i="1" s="1"/>
  <c r="AX174" i="1"/>
  <c r="AX319" i="1"/>
  <c r="AX90" i="1"/>
  <c r="AT107" i="1"/>
  <c r="AU107" i="1" s="1"/>
  <c r="AV107" i="1" s="1"/>
  <c r="AW107" i="1" s="1"/>
  <c r="AX107" i="1"/>
  <c r="AT211" i="1"/>
  <c r="AU211" i="1" s="1"/>
  <c r="AV211" i="1" s="1"/>
  <c r="AW211" i="1" s="1"/>
  <c r="AX211" i="1"/>
  <c r="AT216" i="1"/>
  <c r="AU216" i="1" s="1"/>
  <c r="AV216" i="1" s="1"/>
  <c r="AW216" i="1" s="1"/>
  <c r="AX216" i="1"/>
  <c r="AT149" i="1"/>
  <c r="AU149" i="1" s="1"/>
  <c r="AV149" i="1" s="1"/>
  <c r="AW149" i="1" s="1"/>
  <c r="AX149" i="1"/>
  <c r="AX143" i="1"/>
  <c r="AT143" i="1"/>
  <c r="AU143" i="1" s="1"/>
  <c r="AV143" i="1" s="1"/>
  <c r="AW143" i="1" s="1"/>
  <c r="AT238" i="1"/>
  <c r="AU238" i="1" s="1"/>
  <c r="AV238" i="1" s="1"/>
  <c r="AW238" i="1" s="1"/>
  <c r="AX238" i="1"/>
  <c r="BB241" i="1"/>
  <c r="BC241" i="1" s="1"/>
  <c r="BD310" i="1"/>
  <c r="BE310" i="1" s="1"/>
  <c r="BF310" i="1" s="1"/>
  <c r="AT547" i="1"/>
  <c r="AU547" i="1" s="1"/>
  <c r="AV547" i="1" s="1"/>
  <c r="AW547" i="1" s="1"/>
  <c r="AX547" i="1"/>
  <c r="BD118" i="1"/>
  <c r="AX421" i="1"/>
  <c r="AT421" i="1"/>
  <c r="AU421" i="1" s="1"/>
  <c r="AV421" i="1" s="1"/>
  <c r="AW421" i="1" s="1"/>
  <c r="AT424" i="1"/>
  <c r="AU424" i="1" s="1"/>
  <c r="AV424" i="1" s="1"/>
  <c r="AW424" i="1" s="1"/>
  <c r="AX424" i="1"/>
  <c r="AT661" i="1"/>
  <c r="AU661" i="1" s="1"/>
  <c r="AV661" i="1" s="1"/>
  <c r="AW661" i="1" s="1"/>
  <c r="AX661" i="1"/>
  <c r="AX272" i="1"/>
  <c r="AT272" i="1"/>
  <c r="AU272" i="1" s="1"/>
  <c r="AV272" i="1" s="1"/>
  <c r="AW272" i="1" s="1"/>
  <c r="AT207" i="1"/>
  <c r="AU207" i="1" s="1"/>
  <c r="AV207" i="1" s="1"/>
  <c r="AW207" i="1" s="1"/>
  <c r="AX207" i="1"/>
  <c r="BB345" i="1"/>
  <c r="BC345" i="1" s="1"/>
  <c r="BD345" i="1" s="1"/>
  <c r="BE345" i="1" s="1"/>
  <c r="BF345" i="1" s="1"/>
  <c r="BB613" i="1"/>
  <c r="BC613" i="1" s="1"/>
  <c r="BD613" i="1" s="1"/>
  <c r="BE613" i="1" s="1"/>
  <c r="BF613" i="1" s="1"/>
  <c r="AT419" i="1"/>
  <c r="AU419" i="1" s="1"/>
  <c r="AV419" i="1" s="1"/>
  <c r="AW419" i="1" s="1"/>
  <c r="AX419" i="1"/>
  <c r="BB513" i="1"/>
  <c r="BC513" i="1" s="1"/>
  <c r="BD513" i="1" s="1"/>
  <c r="BE513" i="1" s="1"/>
  <c r="BF513" i="1" s="1"/>
  <c r="BB215" i="1"/>
  <c r="BC215" i="1" s="1"/>
  <c r="BD215" i="1" s="1"/>
  <c r="BE215" i="1" s="1"/>
  <c r="BF215" i="1" s="1"/>
  <c r="AT629" i="1"/>
  <c r="AU629" i="1" s="1"/>
  <c r="AV629" i="1" s="1"/>
  <c r="AW629" i="1" s="1"/>
  <c r="AX629" i="1"/>
  <c r="AT610" i="1"/>
  <c r="AU610" i="1" s="1"/>
  <c r="AV610" i="1" s="1"/>
  <c r="AW610" i="1" s="1"/>
  <c r="BB128" i="1"/>
  <c r="BG128" i="1" s="1"/>
  <c r="BB551" i="1"/>
  <c r="BC551" i="1" s="1"/>
  <c r="BD551" i="1" s="1"/>
  <c r="BE551" i="1" s="1"/>
  <c r="BF551" i="1" s="1"/>
  <c r="AT217" i="1"/>
  <c r="AU217" i="1" s="1"/>
  <c r="AV217" i="1" s="1"/>
  <c r="AW217" i="1" s="1"/>
  <c r="AX217" i="1"/>
  <c r="AT322" i="1"/>
  <c r="AU322" i="1" s="1"/>
  <c r="AV322" i="1" s="1"/>
  <c r="AW322" i="1" s="1"/>
  <c r="AX322" i="1"/>
  <c r="BB619" i="1"/>
  <c r="BC619" i="1" s="1"/>
  <c r="BD619" i="1" s="1"/>
  <c r="BE619" i="1" s="1"/>
  <c r="BF619" i="1" s="1"/>
  <c r="AT78" i="1"/>
  <c r="AU78" i="1" s="1"/>
  <c r="AV78" i="1" s="1"/>
  <c r="AW78" i="1" s="1"/>
  <c r="AX78" i="1"/>
  <c r="AT451" i="1"/>
  <c r="AU451" i="1" s="1"/>
  <c r="AV451" i="1" s="1"/>
  <c r="AW451" i="1" s="1"/>
  <c r="AX451" i="1"/>
  <c r="BE359" i="1"/>
  <c r="BF359" i="1" s="1"/>
  <c r="BE524" i="1"/>
  <c r="BF524" i="1" s="1"/>
  <c r="BD528" i="1"/>
  <c r="BE528" i="1" s="1"/>
  <c r="BF528" i="1" s="1"/>
  <c r="AT520" i="1"/>
  <c r="AU520" i="1" s="1"/>
  <c r="AV520" i="1" s="1"/>
  <c r="AW520" i="1" s="1"/>
  <c r="AT531" i="1"/>
  <c r="AU531" i="1" s="1"/>
  <c r="AV531" i="1" s="1"/>
  <c r="AW531" i="1" s="1"/>
  <c r="BD328" i="1"/>
  <c r="BE328" i="1" s="1"/>
  <c r="BF328" i="1" s="1"/>
  <c r="AX459" i="1"/>
  <c r="BB453" i="1"/>
  <c r="BC453" i="1" s="1"/>
  <c r="BD453" i="1" s="1"/>
  <c r="BE453" i="1" s="1"/>
  <c r="BF453" i="1" s="1"/>
  <c r="AT418" i="1"/>
  <c r="AU418" i="1" s="1"/>
  <c r="AV418" i="1" s="1"/>
  <c r="AW418" i="1" s="1"/>
  <c r="AX418" i="1"/>
  <c r="BB336" i="1"/>
  <c r="BE598" i="1"/>
  <c r="BF598" i="1" s="1"/>
  <c r="BB392" i="1"/>
  <c r="BC392" i="1" s="1"/>
  <c r="BD392" i="1" s="1"/>
  <c r="BE392" i="1" s="1"/>
  <c r="BF392" i="1" s="1"/>
  <c r="BB201" i="1"/>
  <c r="BC201" i="1" s="1"/>
  <c r="BD201" i="1" s="1"/>
  <c r="BE201" i="1" s="1"/>
  <c r="BF201" i="1" s="1"/>
  <c r="BD135" i="1"/>
  <c r="BE135" i="1" s="1"/>
  <c r="BF135" i="1" s="1"/>
  <c r="BB423" i="1"/>
  <c r="BC423" i="1" s="1"/>
  <c r="BD423" i="1" s="1"/>
  <c r="BE423" i="1" s="1"/>
  <c r="BF423" i="1" s="1"/>
  <c r="AT220" i="1"/>
  <c r="AU220" i="1" s="1"/>
  <c r="AV220" i="1" s="1"/>
  <c r="AW220" i="1" s="1"/>
  <c r="AX220" i="1"/>
  <c r="BD252" i="1"/>
  <c r="AT158" i="1"/>
  <c r="AU158" i="1" s="1"/>
  <c r="AV158" i="1" s="1"/>
  <c r="AW158" i="1" s="1"/>
  <c r="AX158" i="1"/>
  <c r="BB212" i="1"/>
  <c r="BC212" i="1" s="1"/>
  <c r="BD212" i="1" s="1"/>
  <c r="BE212" i="1" s="1"/>
  <c r="BF212" i="1" s="1"/>
  <c r="BD589" i="1"/>
  <c r="BE589" i="1" s="1"/>
  <c r="BF589" i="1" s="1"/>
  <c r="BD271" i="1"/>
  <c r="BE271" i="1" s="1"/>
  <c r="BF271" i="1" s="1"/>
  <c r="AT332" i="1"/>
  <c r="AU332" i="1" s="1"/>
  <c r="AV332" i="1" s="1"/>
  <c r="AW332" i="1" s="1"/>
  <c r="AX332" i="1"/>
  <c r="AX347" i="1"/>
  <c r="AT347" i="1"/>
  <c r="AU347" i="1" s="1"/>
  <c r="AV347" i="1" s="1"/>
  <c r="AW347" i="1" s="1"/>
  <c r="AX205" i="1"/>
  <c r="AT205" i="1"/>
  <c r="AU205" i="1" s="1"/>
  <c r="AV205" i="1" s="1"/>
  <c r="AW205" i="1" s="1"/>
  <c r="BB384" i="1"/>
  <c r="BC384" i="1" s="1"/>
  <c r="BD384" i="1" s="1"/>
  <c r="BE384" i="1" s="1"/>
  <c r="BF384" i="1" s="1"/>
  <c r="AT563" i="1"/>
  <c r="AU563" i="1" s="1"/>
  <c r="AV563" i="1" s="1"/>
  <c r="AW563" i="1" s="1"/>
  <c r="AX563" i="1"/>
  <c r="AT614" i="1"/>
  <c r="AU614" i="1" s="1"/>
  <c r="AV614" i="1" s="1"/>
  <c r="AW614" i="1" s="1"/>
  <c r="AX614" i="1"/>
  <c r="AT555" i="1"/>
  <c r="AU555" i="1" s="1"/>
  <c r="AV555" i="1" s="1"/>
  <c r="AW555" i="1" s="1"/>
  <c r="AX555" i="1"/>
  <c r="AT209" i="1"/>
  <c r="AU209" i="1" s="1"/>
  <c r="AV209" i="1" s="1"/>
  <c r="AW209" i="1" s="1"/>
  <c r="AX209" i="1"/>
  <c r="AX281" i="1"/>
  <c r="AT281" i="1"/>
  <c r="AU281" i="1" s="1"/>
  <c r="AV281" i="1" s="1"/>
  <c r="AW281" i="1" s="1"/>
  <c r="BE368" i="1"/>
  <c r="BF368" i="1" s="1"/>
  <c r="BD561" i="1"/>
  <c r="BE561" i="1" s="1"/>
  <c r="BF561" i="1" s="1"/>
  <c r="BD389" i="1"/>
  <c r="BE389" i="1" s="1"/>
  <c r="BF389" i="1" s="1"/>
  <c r="BD544" i="1"/>
  <c r="BE544" i="1" s="1"/>
  <c r="BF544" i="1" s="1"/>
  <c r="BE162" i="1"/>
  <c r="BF162" i="1" s="1"/>
  <c r="BB112" i="1"/>
  <c r="BC112" i="1" s="1"/>
  <c r="BD112" i="1" s="1"/>
  <c r="BE112" i="1" s="1"/>
  <c r="BF112" i="1" s="1"/>
  <c r="BD254" i="1"/>
  <c r="BB222" i="1"/>
  <c r="BC222" i="1" s="1"/>
  <c r="BD222" i="1" s="1"/>
  <c r="BE222" i="1" s="1"/>
  <c r="BF222" i="1" s="1"/>
  <c r="BB489" i="1"/>
  <c r="BC489" i="1" s="1"/>
  <c r="BD489" i="1" s="1"/>
  <c r="BE489" i="1" s="1"/>
  <c r="BF489" i="1" s="1"/>
  <c r="BD386" i="1"/>
  <c r="BE386" i="1" s="1"/>
  <c r="BF386" i="1" s="1"/>
  <c r="BD190" i="1"/>
  <c r="BE190" i="1" s="1"/>
  <c r="BF190" i="1" s="1"/>
  <c r="BB119" i="1"/>
  <c r="BC119" i="1" s="1"/>
  <c r="BD263" i="1"/>
  <c r="BE263" i="1" s="1"/>
  <c r="BF263" i="1" s="1"/>
  <c r="BB106" i="1"/>
  <c r="BC106" i="1" s="1"/>
  <c r="BD106" i="1" s="1"/>
  <c r="BE106" i="1" s="1"/>
  <c r="BF106" i="1" s="1"/>
  <c r="BB492" i="1"/>
  <c r="BC492" i="1" s="1"/>
  <c r="BD492" i="1" s="1"/>
  <c r="BB137" i="1"/>
  <c r="BC137" i="1" s="1"/>
  <c r="BD137" i="1" s="1"/>
  <c r="BE137" i="1" s="1"/>
  <c r="BF137" i="1" s="1"/>
  <c r="BD564" i="1"/>
  <c r="BE564" i="1" s="1"/>
  <c r="BF564" i="1" s="1"/>
  <c r="BB545" i="1"/>
  <c r="BC545" i="1" s="1"/>
  <c r="BD545" i="1" s="1"/>
  <c r="BE545" i="1" s="1"/>
  <c r="BF545" i="1" s="1"/>
  <c r="BB385" i="1"/>
  <c r="BC385" i="1" s="1"/>
  <c r="BD385" i="1" s="1"/>
  <c r="BE385" i="1" s="1"/>
  <c r="BF385" i="1" s="1"/>
  <c r="BB640" i="1"/>
  <c r="BC640" i="1" s="1"/>
  <c r="BB73" i="1"/>
  <c r="BC73" i="1" s="1"/>
  <c r="BD73" i="1" s="1"/>
  <c r="BB527" i="1"/>
  <c r="BC527" i="1" s="1"/>
  <c r="BD527" i="1" s="1"/>
  <c r="BE527" i="1" s="1"/>
  <c r="BF527" i="1" s="1"/>
  <c r="BB259" i="1"/>
  <c r="BC259" i="1" s="1"/>
  <c r="BD552" i="1"/>
  <c r="BE552" i="1" s="1"/>
  <c r="BF552" i="1" s="1"/>
  <c r="BD148" i="1"/>
  <c r="BB645" i="1"/>
  <c r="BC645" i="1" s="1"/>
  <c r="BD645" i="1" s="1"/>
  <c r="BE645" i="1" s="1"/>
  <c r="BF645" i="1" s="1"/>
  <c r="BB662" i="1"/>
  <c r="BC662" i="1" s="1"/>
  <c r="BB638" i="1"/>
  <c r="BC638" i="1" s="1"/>
  <c r="BD638" i="1" s="1"/>
  <c r="BE638" i="1" s="1"/>
  <c r="BF638" i="1" s="1"/>
  <c r="BB546" i="1"/>
  <c r="BC546" i="1" s="1"/>
  <c r="BD546" i="1" s="1"/>
  <c r="BE546" i="1" s="1"/>
  <c r="BF546" i="1" s="1"/>
  <c r="BB579" i="1"/>
  <c r="BC579" i="1" s="1"/>
  <c r="BD579" i="1" s="1"/>
  <c r="BE579" i="1" s="1"/>
  <c r="BF579" i="1" s="1"/>
  <c r="BB272" i="1"/>
  <c r="BC272" i="1" s="1"/>
  <c r="BD272" i="1" s="1"/>
  <c r="BE272" i="1" s="1"/>
  <c r="BF272" i="1" s="1"/>
  <c r="BB464" i="1"/>
  <c r="BC464" i="1" s="1"/>
  <c r="BD464" i="1" s="1"/>
  <c r="BE464" i="1" s="1"/>
  <c r="BF464" i="1" s="1"/>
  <c r="BB116" i="1"/>
  <c r="BG116" i="1" s="1"/>
  <c r="BB299" i="1"/>
  <c r="BG299" i="1" s="1"/>
  <c r="BD570" i="1"/>
  <c r="BE570" i="1" s="1"/>
  <c r="BF570" i="1" s="1"/>
  <c r="BE209" i="1"/>
  <c r="BF209" i="1" s="1"/>
  <c r="BD92" i="1"/>
  <c r="BE92" i="1" s="1"/>
  <c r="BF92" i="1" s="1"/>
  <c r="BB504" i="1"/>
  <c r="BG504" i="1" s="1"/>
  <c r="BB121" i="1"/>
  <c r="BC121" i="1" s="1"/>
  <c r="BD121" i="1" s="1"/>
  <c r="BE121" i="1" s="1"/>
  <c r="BF121" i="1" s="1"/>
  <c r="BB371" i="1"/>
  <c r="BC371" i="1" s="1"/>
  <c r="BB520" i="1"/>
  <c r="BG520" i="1" s="1"/>
  <c r="BD642" i="1"/>
  <c r="BE642" i="1" s="1"/>
  <c r="BF642" i="1" s="1"/>
  <c r="BB367" i="1"/>
  <c r="BC367" i="1" s="1"/>
  <c r="BD367" i="1" s="1"/>
  <c r="BE367" i="1" s="1"/>
  <c r="BF367" i="1" s="1"/>
  <c r="BB514" i="1"/>
  <c r="BC514" i="1" s="1"/>
  <c r="BD514" i="1" s="1"/>
  <c r="BE514" i="1" s="1"/>
  <c r="BF514" i="1" s="1"/>
  <c r="BB275" i="1"/>
  <c r="BC275" i="1" s="1"/>
  <c r="BD275" i="1" s="1"/>
  <c r="BE275" i="1" s="1"/>
  <c r="BF275" i="1" s="1"/>
  <c r="BD617" i="1"/>
  <c r="BE617" i="1" s="1"/>
  <c r="BF617" i="1" s="1"/>
  <c r="BB276" i="1"/>
  <c r="BC276" i="1" s="1"/>
  <c r="BD276" i="1" s="1"/>
  <c r="BE276" i="1" s="1"/>
  <c r="BF276" i="1" s="1"/>
  <c r="BB596" i="1"/>
  <c r="BG596" i="1" s="1"/>
  <c r="BB155" i="1"/>
  <c r="BC155" i="1" s="1"/>
  <c r="BD155" i="1" s="1"/>
  <c r="BE155" i="1" s="1"/>
  <c r="BF155" i="1" s="1"/>
  <c r="BB484" i="1"/>
  <c r="BC484" i="1" s="1"/>
  <c r="BD484" i="1" s="1"/>
  <c r="BE484" i="1" s="1"/>
  <c r="BF484" i="1" s="1"/>
  <c r="BD180" i="1"/>
  <c r="BE180" i="1" s="1"/>
  <c r="BF180" i="1" s="1"/>
  <c r="BB111" i="1"/>
  <c r="BC111" i="1" s="1"/>
  <c r="BD111" i="1" s="1"/>
  <c r="BE111" i="1" s="1"/>
  <c r="BF111" i="1" s="1"/>
  <c r="BB322" i="1"/>
  <c r="BC322" i="1" s="1"/>
  <c r="BD322" i="1" s="1"/>
  <c r="BE322" i="1" s="1"/>
  <c r="BF322" i="1" s="1"/>
  <c r="BB127" i="1"/>
  <c r="BG127" i="1" s="1"/>
  <c r="BB394" i="1"/>
  <c r="BC394" i="1" s="1"/>
  <c r="BD394" i="1" s="1"/>
  <c r="BE394" i="1" s="1"/>
  <c r="BF394" i="1" s="1"/>
  <c r="BE657" i="1"/>
  <c r="BF657" i="1" s="1"/>
  <c r="BD219" i="1"/>
  <c r="BE219" i="1" s="1"/>
  <c r="BF219" i="1" s="1"/>
  <c r="BB140" i="1"/>
  <c r="BC140" i="1" s="1"/>
  <c r="BD140" i="1" s="1"/>
  <c r="BE140" i="1" s="1"/>
  <c r="BF140" i="1" s="1"/>
  <c r="BB317" i="1"/>
  <c r="BC317" i="1" s="1"/>
  <c r="BD317" i="1" s="1"/>
  <c r="BE317" i="1" s="1"/>
  <c r="BF317" i="1" s="1"/>
  <c r="BB387" i="1"/>
  <c r="BC387" i="1" s="1"/>
  <c r="BB538" i="1"/>
  <c r="BC538" i="1" s="1"/>
  <c r="BD538" i="1" s="1"/>
  <c r="BE538" i="1" s="1"/>
  <c r="BF538" i="1" s="1"/>
  <c r="BG175" i="1"/>
  <c r="BB258" i="1"/>
  <c r="BC258" i="1" s="1"/>
  <c r="BD258" i="1" s="1"/>
  <c r="BE258" i="1" s="1"/>
  <c r="BF258" i="1" s="1"/>
  <c r="BB428" i="1"/>
  <c r="BG428" i="1" s="1"/>
  <c r="BB318" i="1"/>
  <c r="BC318" i="1" s="1"/>
  <c r="BB153" i="1"/>
  <c r="BC153" i="1" s="1"/>
  <c r="BD153" i="1" s="1"/>
  <c r="BE153" i="1" s="1"/>
  <c r="BF153" i="1" s="1"/>
  <c r="BB132" i="1"/>
  <c r="BC132" i="1" s="1"/>
  <c r="BD132" i="1" s="1"/>
  <c r="BE132" i="1" s="1"/>
  <c r="BF132" i="1" s="1"/>
  <c r="BB354" i="1"/>
  <c r="BG354" i="1" s="1"/>
  <c r="BB204" i="1"/>
  <c r="BC204" i="1" s="1"/>
  <c r="BD204" i="1" s="1"/>
  <c r="BE204" i="1" s="1"/>
  <c r="BF204" i="1" s="1"/>
  <c r="BB569" i="1"/>
  <c r="BC569" i="1" s="1"/>
  <c r="BD569" i="1" s="1"/>
  <c r="BE569" i="1" s="1"/>
  <c r="BF569" i="1" s="1"/>
  <c r="BB108" i="1"/>
  <c r="BC108" i="1" s="1"/>
  <c r="BD108" i="1" s="1"/>
  <c r="BE108" i="1" s="1"/>
  <c r="BF108" i="1" s="1"/>
  <c r="BB427" i="1"/>
  <c r="BC427" i="1" s="1"/>
  <c r="BD427" i="1" s="1"/>
  <c r="BE427" i="1" s="1"/>
  <c r="BF427" i="1" s="1"/>
  <c r="BD342" i="1"/>
  <c r="BE342" i="1" s="1"/>
  <c r="BF342" i="1" s="1"/>
  <c r="BB187" i="1"/>
  <c r="BC187" i="1" s="1"/>
  <c r="BD187" i="1" s="1"/>
  <c r="BE187" i="1" s="1"/>
  <c r="BF187" i="1" s="1"/>
  <c r="BB266" i="1"/>
  <c r="BG266" i="1" s="1"/>
  <c r="BB393" i="1"/>
  <c r="BC393" i="1" s="1"/>
  <c r="BD393" i="1" s="1"/>
  <c r="BE393" i="1" s="1"/>
  <c r="BF393" i="1" s="1"/>
  <c r="BB621" i="1"/>
  <c r="BC621" i="1" s="1"/>
  <c r="BD338" i="1"/>
  <c r="BE338" i="1" s="1"/>
  <c r="BF338" i="1" s="1"/>
  <c r="BB556" i="1"/>
  <c r="BC556" i="1" s="1"/>
  <c r="BD556" i="1" s="1"/>
  <c r="BE556" i="1" s="1"/>
  <c r="BF556" i="1" s="1"/>
  <c r="BB96" i="1"/>
  <c r="BC96" i="1" s="1"/>
  <c r="BD96" i="1" s="1"/>
  <c r="BE96" i="1" s="1"/>
  <c r="BF96" i="1" s="1"/>
  <c r="AT606" i="1"/>
  <c r="AU606" i="1" s="1"/>
  <c r="AV606" i="1" s="1"/>
  <c r="AW606" i="1" s="1"/>
  <c r="AX606" i="1"/>
  <c r="BD377" i="1"/>
  <c r="BE377" i="1" s="1"/>
  <c r="BF377" i="1" s="1"/>
  <c r="BB154" i="1"/>
  <c r="BC154" i="1" s="1"/>
  <c r="BD154" i="1" s="1"/>
  <c r="BE154" i="1" s="1"/>
  <c r="BF154" i="1" s="1"/>
  <c r="BB173" i="1"/>
  <c r="BC173" i="1" s="1"/>
  <c r="BD173" i="1" s="1"/>
  <c r="BE173" i="1" s="1"/>
  <c r="BF173" i="1" s="1"/>
  <c r="AT412" i="1"/>
  <c r="AU412" i="1" s="1"/>
  <c r="AV412" i="1" s="1"/>
  <c r="AW412" i="1" s="1"/>
  <c r="AX412" i="1"/>
  <c r="BD375" i="1"/>
  <c r="BE375" i="1" s="1"/>
  <c r="BF375" i="1" s="1"/>
  <c r="BD71" i="1"/>
  <c r="BE71" i="1" s="1"/>
  <c r="BF71" i="1" s="1"/>
  <c r="AX454" i="1"/>
  <c r="AX633" i="1"/>
  <c r="AX375" i="1"/>
  <c r="AX317" i="1"/>
  <c r="AT529" i="1"/>
  <c r="AU529" i="1" s="1"/>
  <c r="AV529" i="1" s="1"/>
  <c r="AW529" i="1" s="1"/>
  <c r="AT433" i="1"/>
  <c r="AU433" i="1" s="1"/>
  <c r="AV433" i="1" s="1"/>
  <c r="AW433" i="1" s="1"/>
  <c r="AX96" i="1"/>
  <c r="AX286" i="1"/>
  <c r="AX183" i="1"/>
  <c r="AX219" i="1"/>
  <c r="AX346" i="1"/>
  <c r="AX327" i="1"/>
  <c r="AX414" i="1"/>
  <c r="BD455" i="1"/>
  <c r="BE455" i="1" s="1"/>
  <c r="BF455" i="1" s="1"/>
  <c r="AX649" i="1"/>
  <c r="AX524" i="1"/>
  <c r="AT391" i="1"/>
  <c r="AU391" i="1" s="1"/>
  <c r="AV391" i="1" s="1"/>
  <c r="AW391" i="1" s="1"/>
  <c r="AX472" i="1"/>
  <c r="AX248" i="1"/>
  <c r="BD479" i="1"/>
  <c r="BE479" i="1" s="1"/>
  <c r="BF479" i="1" s="1"/>
  <c r="BG473" i="1"/>
  <c r="AX134" i="1"/>
  <c r="BE335" i="1"/>
  <c r="BF335" i="1" s="1"/>
  <c r="BB397" i="1"/>
  <c r="BC397" i="1" s="1"/>
  <c r="BD397" i="1" s="1"/>
  <c r="BE397" i="1" s="1"/>
  <c r="BF397" i="1" s="1"/>
  <c r="BB88" i="1"/>
  <c r="BC88" i="1" s="1"/>
  <c r="BD88" i="1" s="1"/>
  <c r="BE88" i="1" s="1"/>
  <c r="BF88" i="1" s="1"/>
  <c r="BB465" i="1"/>
  <c r="BC465" i="1" s="1"/>
  <c r="BD465" i="1" s="1"/>
  <c r="BE465" i="1" s="1"/>
  <c r="BF465" i="1" s="1"/>
  <c r="BD446" i="1"/>
  <c r="BE446" i="1" s="1"/>
  <c r="BF446" i="1" s="1"/>
  <c r="BB273" i="1"/>
  <c r="BC273" i="1" s="1"/>
  <c r="BD273" i="1" s="1"/>
  <c r="BE273" i="1" s="1"/>
  <c r="BF273" i="1" s="1"/>
  <c r="BD417" i="1"/>
  <c r="BE417" i="1" s="1"/>
  <c r="BF417" i="1" s="1"/>
  <c r="AT172" i="1"/>
  <c r="AU172" i="1" s="1"/>
  <c r="AV172" i="1" s="1"/>
  <c r="AW172" i="1" s="1"/>
  <c r="AX172" i="1"/>
  <c r="BD536" i="1"/>
  <c r="BE536" i="1" s="1"/>
  <c r="BF536" i="1" s="1"/>
  <c r="BE580" i="1"/>
  <c r="BF580" i="1" s="1"/>
  <c r="AT486" i="1"/>
  <c r="AU486" i="1" s="1"/>
  <c r="AV486" i="1" s="1"/>
  <c r="AW486" i="1" s="1"/>
  <c r="AT94" i="1"/>
  <c r="AU94" i="1" s="1"/>
  <c r="AV94" i="1" s="1"/>
  <c r="AW94" i="1" s="1"/>
  <c r="AX94" i="1"/>
  <c r="AT179" i="1"/>
  <c r="AU179" i="1" s="1"/>
  <c r="AV179" i="1" s="1"/>
  <c r="AW179" i="1" s="1"/>
  <c r="AX179" i="1"/>
  <c r="AT394" i="1"/>
  <c r="AU394" i="1" s="1"/>
  <c r="AV394" i="1" s="1"/>
  <c r="AW394" i="1" s="1"/>
  <c r="AT175" i="1"/>
  <c r="AU175" i="1" s="1"/>
  <c r="AV175" i="1" s="1"/>
  <c r="AW175" i="1" s="1"/>
  <c r="AX301" i="1"/>
  <c r="AT641" i="1"/>
  <c r="AU641" i="1" s="1"/>
  <c r="AV641" i="1" s="1"/>
  <c r="AW641" i="1" s="1"/>
  <c r="AX650" i="1"/>
  <c r="AT584" i="1"/>
  <c r="AU584" i="1" s="1"/>
  <c r="AV584" i="1" s="1"/>
  <c r="AW584" i="1" s="1"/>
  <c r="AT86" i="1"/>
  <c r="AU86" i="1" s="1"/>
  <c r="AV86" i="1" s="1"/>
  <c r="AW86" i="1" s="1"/>
  <c r="BD616" i="1"/>
  <c r="BE616" i="1" s="1"/>
  <c r="BF616" i="1" s="1"/>
  <c r="BD95" i="1"/>
  <c r="BE95" i="1" s="1"/>
  <c r="BF95" i="1" s="1"/>
  <c r="AX644" i="1"/>
  <c r="AX251" i="1"/>
  <c r="AX176" i="1"/>
  <c r="BG336" i="1"/>
  <c r="AX385" i="1"/>
  <c r="AX558" i="1"/>
  <c r="BD382" i="1"/>
  <c r="BE382" i="1" s="1"/>
  <c r="BF382" i="1" s="1"/>
  <c r="BB218" i="1"/>
  <c r="BC218" i="1" s="1"/>
  <c r="BD218" i="1" s="1"/>
  <c r="BE218" i="1" s="1"/>
  <c r="BF218" i="1" s="1"/>
  <c r="BB381" i="1"/>
  <c r="BC381" i="1" s="1"/>
  <c r="BD381" i="1" s="1"/>
  <c r="BE381" i="1" s="1"/>
  <c r="BF381" i="1" s="1"/>
  <c r="BD349" i="1"/>
  <c r="BE349" i="1" s="1"/>
  <c r="BF349" i="1" s="1"/>
  <c r="BD405" i="1"/>
  <c r="BE405" i="1" s="1"/>
  <c r="BF405" i="1" s="1"/>
  <c r="BD115" i="1"/>
  <c r="BE115" i="1" s="1"/>
  <c r="BF115" i="1" s="1"/>
  <c r="BD70" i="1"/>
  <c r="BE70" i="1" s="1"/>
  <c r="BF70" i="1" s="1"/>
  <c r="AX260" i="1"/>
  <c r="BB104" i="1"/>
  <c r="BC104" i="1" s="1"/>
  <c r="BD104" i="1" s="1"/>
  <c r="BE104" i="1" s="1"/>
  <c r="BF104" i="1" s="1"/>
  <c r="BB101" i="1"/>
  <c r="BC101" i="1" s="1"/>
  <c r="BD101" i="1" s="1"/>
  <c r="BB82" i="1"/>
  <c r="BC82" i="1" s="1"/>
  <c r="BD82" i="1" s="1"/>
  <c r="BE82" i="1" s="1"/>
  <c r="BF82" i="1" s="1"/>
  <c r="BD259" i="1"/>
  <c r="BE259" i="1" s="1"/>
  <c r="BF259" i="1" s="1"/>
  <c r="BB341" i="1"/>
  <c r="BG341" i="1" s="1"/>
  <c r="BB516" i="1"/>
  <c r="BC516" i="1" s="1"/>
  <c r="BD516" i="1" s="1"/>
  <c r="BE516" i="1" s="1"/>
  <c r="BF516" i="1" s="1"/>
  <c r="BD487" i="1"/>
  <c r="BE487" i="1" s="1"/>
  <c r="BF487" i="1" s="1"/>
  <c r="BD226" i="1"/>
  <c r="BE226" i="1" s="1"/>
  <c r="BF226" i="1" s="1"/>
  <c r="BD431" i="1"/>
  <c r="BE431" i="1" s="1"/>
  <c r="BF431" i="1" s="1"/>
  <c r="BD286" i="1"/>
  <c r="BE286" i="1" s="1"/>
  <c r="BF286" i="1" s="1"/>
  <c r="BB176" i="1"/>
  <c r="BC176" i="1" s="1"/>
  <c r="BD176" i="1" s="1"/>
  <c r="BE176" i="1" s="1"/>
  <c r="BF176" i="1" s="1"/>
  <c r="BB256" i="1"/>
  <c r="BC256" i="1" s="1"/>
  <c r="BD256" i="1" s="1"/>
  <c r="BE256" i="1" s="1"/>
  <c r="BF256" i="1" s="1"/>
  <c r="BD371" i="1"/>
  <c r="BE371" i="1" s="1"/>
  <c r="BF371" i="1" s="1"/>
  <c r="BB323" i="1"/>
  <c r="BC323" i="1" s="1"/>
  <c r="BB125" i="1"/>
  <c r="BC125" i="1" s="1"/>
  <c r="BD125" i="1" s="1"/>
  <c r="BE125" i="1" s="1"/>
  <c r="BF125" i="1" s="1"/>
  <c r="BB262" i="1"/>
  <c r="BC262" i="1" s="1"/>
  <c r="BD262" i="1" s="1"/>
  <c r="BE262" i="1" s="1"/>
  <c r="BF262" i="1" s="1"/>
  <c r="BG514" i="1"/>
  <c r="BB542" i="1"/>
  <c r="BC542" i="1" s="1"/>
  <c r="BD542" i="1" s="1"/>
  <c r="BE542" i="1" s="1"/>
  <c r="BF542" i="1" s="1"/>
  <c r="BD632" i="1"/>
  <c r="BE632" i="1" s="1"/>
  <c r="BF632" i="1" s="1"/>
  <c r="BD152" i="1"/>
  <c r="BD119" i="1"/>
  <c r="BE119" i="1" s="1"/>
  <c r="BF119" i="1" s="1"/>
  <c r="BD238" i="1"/>
  <c r="BE238" i="1" s="1"/>
  <c r="BF238" i="1" s="1"/>
  <c r="BB350" i="1"/>
  <c r="BC350" i="1" s="1"/>
  <c r="BD350" i="1" s="1"/>
  <c r="BE350" i="1" s="1"/>
  <c r="BF350" i="1" s="1"/>
  <c r="BD172" i="1"/>
  <c r="BE172" i="1" s="1"/>
  <c r="BF172" i="1" s="1"/>
  <c r="BB507" i="1"/>
  <c r="BC507" i="1" s="1"/>
  <c r="BD507" i="1" s="1"/>
  <c r="BE507" i="1" s="1"/>
  <c r="BF507" i="1" s="1"/>
  <c r="BB211" i="1"/>
  <c r="BC211" i="1" s="1"/>
  <c r="BD211" i="1" s="1"/>
  <c r="BE211" i="1" s="1"/>
  <c r="BF211" i="1" s="1"/>
  <c r="BD409" i="1"/>
  <c r="BE409" i="1" s="1"/>
  <c r="BF409" i="1" s="1"/>
  <c r="BB433" i="1"/>
  <c r="BC433" i="1" s="1"/>
  <c r="BB531" i="1"/>
  <c r="BC531" i="1" s="1"/>
  <c r="BD531" i="1" s="1"/>
  <c r="BE531" i="1" s="1"/>
  <c r="BF531" i="1" s="1"/>
  <c r="BB565" i="1"/>
  <c r="BC565" i="1" s="1"/>
  <c r="BD565" i="1" s="1"/>
  <c r="BE565" i="1" s="1"/>
  <c r="BF565" i="1" s="1"/>
  <c r="BB290" i="1"/>
  <c r="BC290" i="1" s="1"/>
  <c r="BD290" i="1" s="1"/>
  <c r="BE290" i="1" s="1"/>
  <c r="BF290" i="1" s="1"/>
  <c r="BB656" i="1"/>
  <c r="BC656" i="1" s="1"/>
  <c r="BD656" i="1" s="1"/>
  <c r="BE656" i="1" s="1"/>
  <c r="BF656" i="1" s="1"/>
  <c r="BB562" i="1"/>
  <c r="BC562" i="1" s="1"/>
  <c r="BD562" i="1" s="1"/>
  <c r="BE562" i="1" s="1"/>
  <c r="BF562" i="1" s="1"/>
  <c r="BB181" i="1"/>
  <c r="BC181" i="1" s="1"/>
  <c r="BD181" i="1" s="1"/>
  <c r="BE181" i="1" s="1"/>
  <c r="BF181" i="1" s="1"/>
  <c r="BG133" i="1"/>
  <c r="BD608" i="1"/>
  <c r="BE608" i="1" s="1"/>
  <c r="BF608" i="1" s="1"/>
  <c r="BD533" i="1"/>
  <c r="BE533" i="1" s="1"/>
  <c r="BF533" i="1" s="1"/>
  <c r="BB288" i="1"/>
  <c r="BC288" i="1" s="1"/>
  <c r="BD288" i="1" s="1"/>
  <c r="BE288" i="1" s="1"/>
  <c r="BF288" i="1" s="1"/>
  <c r="BB458" i="1"/>
  <c r="BC458" i="1" s="1"/>
  <c r="BD458" i="1" s="1"/>
  <c r="BE458" i="1" s="1"/>
  <c r="BF458" i="1" s="1"/>
  <c r="BB432" i="1"/>
  <c r="BG432" i="1" s="1"/>
  <c r="BG503" i="1"/>
  <c r="BB648" i="1"/>
  <c r="BG648" i="1" s="1"/>
  <c r="BD539" i="1"/>
  <c r="BE539" i="1" s="1"/>
  <c r="BF539" i="1" s="1"/>
  <c r="BE379" i="1"/>
  <c r="BF379" i="1" s="1"/>
  <c r="BB68" i="1"/>
  <c r="BC68" i="1" s="1"/>
  <c r="BD68" i="1" s="1"/>
  <c r="BE68" i="1" s="1"/>
  <c r="BF68" i="1" s="1"/>
  <c r="BB206" i="1"/>
  <c r="BC206" i="1" s="1"/>
  <c r="BD206" i="1" s="1"/>
  <c r="BE206" i="1" s="1"/>
  <c r="BF206" i="1" s="1"/>
  <c r="BB474" i="1"/>
  <c r="BC474" i="1" s="1"/>
  <c r="BD474" i="1" s="1"/>
  <c r="BE474" i="1" s="1"/>
  <c r="BF474" i="1" s="1"/>
  <c r="BB529" i="1"/>
  <c r="BC529" i="1" s="1"/>
  <c r="BD529" i="1" s="1"/>
  <c r="BG628" i="1"/>
  <c r="BG490" i="1"/>
  <c r="BD493" i="1"/>
  <c r="BB333" i="1"/>
  <c r="BC333" i="1" s="1"/>
  <c r="BD333" i="1" s="1"/>
  <c r="BE333" i="1" s="1"/>
  <c r="BF333" i="1" s="1"/>
  <c r="BG626" i="1"/>
  <c r="BG470" i="1"/>
  <c r="BB488" i="1"/>
  <c r="BC488" i="1" s="1"/>
  <c r="BD488" i="1" s="1"/>
  <c r="BE488" i="1" s="1"/>
  <c r="BF488" i="1" s="1"/>
  <c r="BD257" i="1"/>
  <c r="BE257" i="1" s="1"/>
  <c r="BF257" i="1" s="1"/>
  <c r="BB535" i="1"/>
  <c r="BG535" i="1" s="1"/>
  <c r="BD103" i="1"/>
  <c r="BE103" i="1" s="1"/>
  <c r="BF103" i="1" s="1"/>
  <c r="BE252" i="1"/>
  <c r="BF252" i="1" s="1"/>
  <c r="BB202" i="1"/>
  <c r="BC202" i="1" s="1"/>
  <c r="BD202" i="1" s="1"/>
  <c r="BE202" i="1" s="1"/>
  <c r="BF202" i="1" s="1"/>
  <c r="BB129" i="1"/>
  <c r="BG129" i="1" s="1"/>
  <c r="BD124" i="1"/>
  <c r="BE124" i="1" s="1"/>
  <c r="BF124" i="1" s="1"/>
  <c r="BB429" i="1"/>
  <c r="BC429" i="1" s="1"/>
  <c r="BD429" i="1" s="1"/>
  <c r="BE429" i="1" s="1"/>
  <c r="BF429" i="1" s="1"/>
  <c r="BD358" i="1"/>
  <c r="BE358" i="1" s="1"/>
  <c r="BF358" i="1" s="1"/>
  <c r="BB293" i="1"/>
  <c r="BG293" i="1" s="1"/>
  <c r="BB404" i="1"/>
  <c r="BC404" i="1" s="1"/>
  <c r="BD404" i="1" s="1"/>
  <c r="BE404" i="1" s="1"/>
  <c r="BF404" i="1" s="1"/>
  <c r="BB296" i="1"/>
  <c r="BB635" i="1"/>
  <c r="BC635" i="1" s="1"/>
  <c r="BD635" i="1" s="1"/>
  <c r="BE635" i="1" s="1"/>
  <c r="BF635" i="1" s="1"/>
  <c r="BB280" i="1"/>
  <c r="BC280" i="1" s="1"/>
  <c r="BD280" i="1" s="1"/>
  <c r="BE280" i="1" s="1"/>
  <c r="BF280" i="1" s="1"/>
  <c r="BD508" i="1"/>
  <c r="BE508" i="1" s="1"/>
  <c r="BF508" i="1" s="1"/>
  <c r="BB475" i="1"/>
  <c r="BC475" i="1" s="1"/>
  <c r="BD475" i="1" s="1"/>
  <c r="BE475" i="1" s="1"/>
  <c r="BF475" i="1" s="1"/>
  <c r="BB109" i="1"/>
  <c r="BC109" i="1" s="1"/>
  <c r="BD109" i="1" s="1"/>
  <c r="BE109" i="1" s="1"/>
  <c r="BF109" i="1" s="1"/>
  <c r="BB457" i="1"/>
  <c r="BC457" i="1" s="1"/>
  <c r="BD457" i="1" s="1"/>
  <c r="BE457" i="1" s="1"/>
  <c r="BF457" i="1" s="1"/>
  <c r="BD332" i="1"/>
  <c r="BE332" i="1" s="1"/>
  <c r="BF332" i="1" s="1"/>
  <c r="BB582" i="1"/>
  <c r="BC582" i="1" s="1"/>
  <c r="BD582" i="1" s="1"/>
  <c r="BE582" i="1" s="1"/>
  <c r="BF582" i="1" s="1"/>
  <c r="BB158" i="1"/>
  <c r="BC158" i="1" s="1"/>
  <c r="BD158" i="1" s="1"/>
  <c r="BE158" i="1" s="1"/>
  <c r="BF158" i="1" s="1"/>
  <c r="BB179" i="1"/>
  <c r="BC179" i="1" s="1"/>
  <c r="BD179" i="1" s="1"/>
  <c r="BE179" i="1" s="1"/>
  <c r="BF179" i="1" s="1"/>
  <c r="BB220" i="1"/>
  <c r="BC220" i="1" s="1"/>
  <c r="BD220" i="1" s="1"/>
  <c r="BE220" i="1" s="1"/>
  <c r="BF220" i="1" s="1"/>
  <c r="BD197" i="1"/>
  <c r="BE197" i="1" s="1"/>
  <c r="BF197" i="1" s="1"/>
  <c r="BB105" i="1"/>
  <c r="BC105" i="1" s="1"/>
  <c r="BD105" i="1" s="1"/>
  <c r="BE105" i="1" s="1"/>
  <c r="BF105" i="1" s="1"/>
  <c r="BB208" i="1"/>
  <c r="BC208" i="1" s="1"/>
  <c r="BD208" i="1" s="1"/>
  <c r="BE208" i="1" s="1"/>
  <c r="BF208" i="1" s="1"/>
  <c r="BD411" i="1"/>
  <c r="BE411" i="1" s="1"/>
  <c r="BF411" i="1" s="1"/>
  <c r="BB605" i="1"/>
  <c r="BG605" i="1" s="1"/>
  <c r="BB448" i="1"/>
  <c r="BC448" i="1" s="1"/>
  <c r="BD469" i="1"/>
  <c r="BE469" i="1" s="1"/>
  <c r="BF469" i="1" s="1"/>
  <c r="BB467" i="1"/>
  <c r="BC467" i="1" s="1"/>
  <c r="BD467" i="1" s="1"/>
  <c r="BB195" i="1"/>
  <c r="BC195" i="1" s="1"/>
  <c r="BD195" i="1" s="1"/>
  <c r="BE195" i="1" s="1"/>
  <c r="BF195" i="1" s="1"/>
  <c r="BB363" i="1"/>
  <c r="BG363" i="1" s="1"/>
  <c r="BD567" i="1"/>
  <c r="BE567" i="1" s="1"/>
  <c r="BF567" i="1" s="1"/>
  <c r="BG631" i="1"/>
  <c r="BB134" i="1"/>
  <c r="BC134" i="1" s="1"/>
  <c r="BD134" i="1" s="1"/>
  <c r="BE134" i="1" s="1"/>
  <c r="BF134" i="1" s="1"/>
  <c r="BB177" i="1"/>
  <c r="BC177" i="1" s="1"/>
  <c r="BD177" i="1" s="1"/>
  <c r="BE177" i="1" s="1"/>
  <c r="BF177" i="1" s="1"/>
  <c r="BB356" i="1"/>
  <c r="BC356" i="1" s="1"/>
  <c r="BD356" i="1" s="1"/>
  <c r="BE356" i="1" s="1"/>
  <c r="BF356" i="1" s="1"/>
  <c r="BB625" i="1"/>
  <c r="BC625" i="1" s="1"/>
  <c r="BD625" i="1" s="1"/>
  <c r="BE625" i="1" s="1"/>
  <c r="BF625" i="1" s="1"/>
  <c r="BB114" i="1"/>
  <c r="BC114" i="1" s="1"/>
  <c r="BD114" i="1" s="1"/>
  <c r="BB468" i="1"/>
  <c r="BC468" i="1" s="1"/>
  <c r="BD468" i="1" s="1"/>
  <c r="BE468" i="1" s="1"/>
  <c r="BF468" i="1" s="1"/>
  <c r="BD175" i="1"/>
  <c r="BE175" i="1" s="1"/>
  <c r="BF175" i="1" s="1"/>
  <c r="AX310" i="1"/>
  <c r="AT310" i="1"/>
  <c r="AU310" i="1" s="1"/>
  <c r="AV310" i="1" s="1"/>
  <c r="AW310" i="1" s="1"/>
  <c r="AT213" i="1"/>
  <c r="AU213" i="1" s="1"/>
  <c r="AV213" i="1" s="1"/>
  <c r="AW213" i="1" s="1"/>
  <c r="AX213" i="1"/>
  <c r="AT590" i="1"/>
  <c r="AU590" i="1" s="1"/>
  <c r="AV590" i="1" s="1"/>
  <c r="AW590" i="1" s="1"/>
  <c r="AX590" i="1"/>
  <c r="AT521" i="1"/>
  <c r="AU521" i="1" s="1"/>
  <c r="AV521" i="1" s="1"/>
  <c r="AW521" i="1" s="1"/>
  <c r="AX521" i="1"/>
  <c r="AT480" i="1"/>
  <c r="AU480" i="1" s="1"/>
  <c r="AV480" i="1" s="1"/>
  <c r="AW480" i="1" s="1"/>
  <c r="AX480" i="1"/>
  <c r="AT625" i="1"/>
  <c r="AU625" i="1" s="1"/>
  <c r="AV625" i="1" s="1"/>
  <c r="AW625" i="1" s="1"/>
  <c r="AX625" i="1"/>
  <c r="AT256" i="1"/>
  <c r="AU256" i="1" s="1"/>
  <c r="AV256" i="1" s="1"/>
  <c r="AW256" i="1" s="1"/>
  <c r="AX256" i="1"/>
  <c r="AT618" i="1"/>
  <c r="AU618" i="1" s="1"/>
  <c r="AV618" i="1" s="1"/>
  <c r="AW618" i="1" s="1"/>
  <c r="AX618" i="1"/>
  <c r="AT646" i="1"/>
  <c r="AU646" i="1" s="1"/>
  <c r="AV646" i="1" s="1"/>
  <c r="AW646" i="1" s="1"/>
  <c r="AX71" i="1"/>
  <c r="BG639" i="1"/>
  <c r="BG581" i="1"/>
  <c r="BD110" i="1"/>
  <c r="BE110" i="1" s="1"/>
  <c r="BF110" i="1" s="1"/>
  <c r="BB229" i="1"/>
  <c r="BC229" i="1" s="1"/>
  <c r="BD229" i="1" s="1"/>
  <c r="BE229" i="1" s="1"/>
  <c r="BF229" i="1" s="1"/>
  <c r="AT648" i="1"/>
  <c r="AU648" i="1" s="1"/>
  <c r="AV648" i="1" s="1"/>
  <c r="AW648" i="1" s="1"/>
  <c r="AX648" i="1"/>
  <c r="BD607" i="1"/>
  <c r="BE607" i="1" s="1"/>
  <c r="BF607" i="1" s="1"/>
  <c r="BD67" i="1"/>
  <c r="BE67" i="1" s="1"/>
  <c r="BF67" i="1" s="1"/>
  <c r="BD156" i="1"/>
  <c r="BE156" i="1" s="1"/>
  <c r="BF156" i="1" s="1"/>
  <c r="AT247" i="1"/>
  <c r="AU247" i="1" s="1"/>
  <c r="AV247" i="1" s="1"/>
  <c r="AW247" i="1" s="1"/>
  <c r="AX247" i="1"/>
  <c r="BB139" i="1"/>
  <c r="BC139" i="1" s="1"/>
  <c r="BD139" i="1" s="1"/>
  <c r="BE139" i="1" s="1"/>
  <c r="BF139" i="1" s="1"/>
  <c r="BE148" i="1"/>
  <c r="BF148" i="1" s="1"/>
  <c r="AX612" i="1"/>
  <c r="AT612" i="1"/>
  <c r="AU612" i="1" s="1"/>
  <c r="AV612" i="1" s="1"/>
  <c r="AW612" i="1" s="1"/>
  <c r="BB571" i="1"/>
  <c r="BC571" i="1" s="1"/>
  <c r="BD571" i="1" s="1"/>
  <c r="BE571" i="1" s="1"/>
  <c r="BF571" i="1" s="1"/>
  <c r="BB525" i="1"/>
  <c r="BE114" i="1"/>
  <c r="BF114" i="1" s="1"/>
  <c r="BD646" i="1"/>
  <c r="BE646" i="1" s="1"/>
  <c r="BF646" i="1" s="1"/>
  <c r="AT522" i="1"/>
  <c r="AU522" i="1" s="1"/>
  <c r="AV522" i="1" s="1"/>
  <c r="AW522" i="1" s="1"/>
  <c r="AX522" i="1"/>
  <c r="AX468" i="1"/>
  <c r="AT468" i="1"/>
  <c r="AU468" i="1" s="1"/>
  <c r="AV468" i="1" s="1"/>
  <c r="AW468" i="1" s="1"/>
  <c r="AX446" i="1"/>
  <c r="AX159" i="1"/>
  <c r="AX290" i="1"/>
  <c r="AX662" i="1"/>
  <c r="AT393" i="1"/>
  <c r="AU393" i="1" s="1"/>
  <c r="AV393" i="1" s="1"/>
  <c r="AW393" i="1" s="1"/>
  <c r="AT551" i="1"/>
  <c r="AU551" i="1" s="1"/>
  <c r="AV551" i="1" s="1"/>
  <c r="AW551" i="1" s="1"/>
  <c r="BD196" i="1"/>
  <c r="BE196" i="1" s="1"/>
  <c r="BF196" i="1" s="1"/>
  <c r="BD302" i="1"/>
  <c r="BE302" i="1" s="1"/>
  <c r="BF302" i="1" s="1"/>
  <c r="BG198" i="1"/>
  <c r="BE501" i="1"/>
  <c r="BF501" i="1" s="1"/>
  <c r="BD282" i="1"/>
  <c r="BE282" i="1" s="1"/>
  <c r="BF282" i="1" s="1"/>
  <c r="AX196" i="1"/>
  <c r="AX72" i="1"/>
  <c r="BD442" i="1"/>
  <c r="BE442" i="1" s="1"/>
  <c r="BF442" i="1" s="1"/>
  <c r="AX83" i="1"/>
  <c r="AT470" i="1"/>
  <c r="AU470" i="1" s="1"/>
  <c r="AV470" i="1" s="1"/>
  <c r="AW470" i="1" s="1"/>
  <c r="BE99" i="1"/>
  <c r="BF99" i="1" s="1"/>
  <c r="AT106" i="1"/>
  <c r="AU106" i="1" s="1"/>
  <c r="AV106" i="1" s="1"/>
  <c r="AW106" i="1" s="1"/>
  <c r="BE529" i="1"/>
  <c r="BF529" i="1" s="1"/>
  <c r="BB76" i="1"/>
  <c r="BC76" i="1" s="1"/>
  <c r="BD76" i="1" s="1"/>
  <c r="BE76" i="1" s="1"/>
  <c r="BF76" i="1" s="1"/>
  <c r="BD460" i="1"/>
  <c r="BE460" i="1" s="1"/>
  <c r="BF460" i="1" s="1"/>
  <c r="BB347" i="1"/>
  <c r="BC347" i="1" s="1"/>
  <c r="BD347" i="1" s="1"/>
  <c r="BE347" i="1" s="1"/>
  <c r="BF347" i="1" s="1"/>
  <c r="AT526" i="1"/>
  <c r="AU526" i="1" s="1"/>
  <c r="AV526" i="1" s="1"/>
  <c r="AW526" i="1" s="1"/>
  <c r="AX526" i="1"/>
  <c r="AT598" i="1"/>
  <c r="AU598" i="1" s="1"/>
  <c r="AV598" i="1" s="1"/>
  <c r="AW598" i="1" s="1"/>
  <c r="AX598" i="1"/>
  <c r="BD523" i="1"/>
  <c r="BE523" i="1" s="1"/>
  <c r="BF523" i="1" s="1"/>
  <c r="AT631" i="1"/>
  <c r="AU631" i="1" s="1"/>
  <c r="AV631" i="1" s="1"/>
  <c r="AW631" i="1" s="1"/>
  <c r="AX631" i="1"/>
  <c r="BB578" i="1"/>
  <c r="BC578" i="1" s="1"/>
  <c r="BD578" i="1" s="1"/>
  <c r="BE578" i="1" s="1"/>
  <c r="BF578" i="1" s="1"/>
  <c r="AT306" i="1"/>
  <c r="AU306" i="1" s="1"/>
  <c r="AV306" i="1" s="1"/>
  <c r="AW306" i="1" s="1"/>
  <c r="AX306" i="1"/>
  <c r="AX173" i="1"/>
  <c r="AT173" i="1"/>
  <c r="AU173" i="1" s="1"/>
  <c r="AV173" i="1" s="1"/>
  <c r="AW173" i="1" s="1"/>
  <c r="AX425" i="1"/>
  <c r="AT425" i="1"/>
  <c r="AU425" i="1" s="1"/>
  <c r="AV425" i="1" s="1"/>
  <c r="AW425" i="1" s="1"/>
  <c r="BB100" i="1"/>
  <c r="BC100" i="1" s="1"/>
  <c r="BD100" i="1" s="1"/>
  <c r="BE100" i="1" s="1"/>
  <c r="BF100" i="1" s="1"/>
  <c r="AT145" i="1"/>
  <c r="AU145" i="1" s="1"/>
  <c r="AV145" i="1" s="1"/>
  <c r="AW145" i="1" s="1"/>
  <c r="AX145" i="1"/>
  <c r="AT602" i="1"/>
  <c r="AU602" i="1" s="1"/>
  <c r="AV602" i="1" s="1"/>
  <c r="AW602" i="1" s="1"/>
  <c r="AX602" i="1"/>
  <c r="AT605" i="1"/>
  <c r="AU605" i="1" s="1"/>
  <c r="AV605" i="1" s="1"/>
  <c r="AW605" i="1" s="1"/>
  <c r="AX605" i="1"/>
  <c r="AT503" i="1"/>
  <c r="AU503" i="1" s="1"/>
  <c r="AV503" i="1" s="1"/>
  <c r="AW503" i="1" s="1"/>
  <c r="AX503" i="1"/>
  <c r="AT366" i="1"/>
  <c r="AU366" i="1" s="1"/>
  <c r="AV366" i="1" s="1"/>
  <c r="AW366" i="1" s="1"/>
  <c r="AX366" i="1"/>
  <c r="AT431" i="1"/>
  <c r="AU431" i="1" s="1"/>
  <c r="AV431" i="1" s="1"/>
  <c r="AW431" i="1" s="1"/>
  <c r="AX431" i="1"/>
  <c r="BB511" i="1"/>
  <c r="BC511" i="1" s="1"/>
  <c r="BB655" i="1"/>
  <c r="BG655" i="1" s="1"/>
  <c r="AT148" i="1"/>
  <c r="AU148" i="1" s="1"/>
  <c r="AV148" i="1" s="1"/>
  <c r="AW148" i="1" s="1"/>
  <c r="BD295" i="1"/>
  <c r="BE295" i="1" s="1"/>
  <c r="BF295" i="1" s="1"/>
  <c r="AX436" i="1"/>
  <c r="BB210" i="1"/>
  <c r="BC210" i="1" s="1"/>
  <c r="BD210" i="1" s="1"/>
  <c r="BE210" i="1" s="1"/>
  <c r="BF210" i="1" s="1"/>
  <c r="AT653" i="1"/>
  <c r="AU653" i="1" s="1"/>
  <c r="AV653" i="1" s="1"/>
  <c r="AW653" i="1" s="1"/>
  <c r="AX653" i="1"/>
  <c r="BD433" i="1"/>
  <c r="BE433" i="1" s="1"/>
  <c r="BF433" i="1" s="1"/>
  <c r="AT269" i="1"/>
  <c r="AU269" i="1" s="1"/>
  <c r="AV269" i="1" s="1"/>
  <c r="AW269" i="1" s="1"/>
  <c r="AX269" i="1"/>
  <c r="BB515" i="1"/>
  <c r="BG515" i="1" s="1"/>
  <c r="BB78" i="1"/>
  <c r="BG78" i="1" s="1"/>
  <c r="BD309" i="1"/>
  <c r="BE309" i="1" s="1"/>
  <c r="BF309" i="1" s="1"/>
  <c r="AX456" i="1"/>
  <c r="BD575" i="1"/>
  <c r="BE575" i="1" s="1"/>
  <c r="BF575" i="1" s="1"/>
  <c r="BG131" i="1"/>
  <c r="AT499" i="1"/>
  <c r="AU499" i="1" s="1"/>
  <c r="AV499" i="1" s="1"/>
  <c r="AW499" i="1" s="1"/>
  <c r="AX597" i="1"/>
  <c r="BD278" i="1"/>
  <c r="BE278" i="1" s="1"/>
  <c r="BF278" i="1" s="1"/>
  <c r="AT119" i="1"/>
  <c r="AU119" i="1" s="1"/>
  <c r="AV119" i="1" s="1"/>
  <c r="AW119" i="1" s="1"/>
  <c r="AT278" i="1"/>
  <c r="AU278" i="1" s="1"/>
  <c r="AV278" i="1" s="1"/>
  <c r="AW278" i="1" s="1"/>
  <c r="BE213" i="1"/>
  <c r="BF213" i="1" s="1"/>
  <c r="BB506" i="1"/>
  <c r="BC506" i="1" s="1"/>
  <c r="BD506" i="1" s="1"/>
  <c r="BE506" i="1" s="1"/>
  <c r="BF506" i="1" s="1"/>
  <c r="BE246" i="1"/>
  <c r="BF246" i="1" s="1"/>
  <c r="BB441" i="1"/>
  <c r="BC441" i="1" s="1"/>
  <c r="BD441" i="1" s="1"/>
  <c r="BE441" i="1" s="1"/>
  <c r="BF441" i="1" s="1"/>
  <c r="AX126" i="1"/>
  <c r="AT126" i="1"/>
  <c r="AU126" i="1" s="1"/>
  <c r="AV126" i="1" s="1"/>
  <c r="AW126" i="1" s="1"/>
  <c r="AX88" i="1"/>
  <c r="AT88" i="1"/>
  <c r="AU88" i="1" s="1"/>
  <c r="AV88" i="1" s="1"/>
  <c r="AW88" i="1" s="1"/>
  <c r="AT611" i="1"/>
  <c r="AU611" i="1" s="1"/>
  <c r="AV611" i="1" s="1"/>
  <c r="AW611" i="1" s="1"/>
  <c r="AX611" i="1"/>
  <c r="AT177" i="1"/>
  <c r="AU177" i="1" s="1"/>
  <c r="AV177" i="1" s="1"/>
  <c r="AW177" i="1" s="1"/>
  <c r="AX177" i="1"/>
  <c r="AT198" i="1"/>
  <c r="AU198" i="1" s="1"/>
  <c r="AV198" i="1" s="1"/>
  <c r="AW198" i="1" s="1"/>
  <c r="AX198" i="1"/>
  <c r="AT416" i="1"/>
  <c r="AU416" i="1" s="1"/>
  <c r="AV416" i="1" s="1"/>
  <c r="AW416" i="1" s="1"/>
  <c r="AX416" i="1"/>
  <c r="BD400" i="1"/>
  <c r="BE400" i="1" s="1"/>
  <c r="BF400" i="1" s="1"/>
  <c r="AX225" i="1"/>
  <c r="AT225" i="1"/>
  <c r="AU225" i="1" s="1"/>
  <c r="AV225" i="1" s="1"/>
  <c r="AW225" i="1" s="1"/>
  <c r="BB444" i="1"/>
  <c r="BG444" i="1" s="1"/>
  <c r="BB255" i="1"/>
  <c r="BC255" i="1" s="1"/>
  <c r="BD255" i="1" s="1"/>
  <c r="BE255" i="1" s="1"/>
  <c r="BF255" i="1" s="1"/>
  <c r="BB306" i="1"/>
  <c r="BC306" i="1" s="1"/>
  <c r="BD306" i="1" s="1"/>
  <c r="BE306" i="1" s="1"/>
  <c r="BF306" i="1" s="1"/>
  <c r="BD267" i="1"/>
  <c r="BE267" i="1" s="1"/>
  <c r="BF267" i="1" s="1"/>
  <c r="AX399" i="1"/>
  <c r="AT399" i="1"/>
  <c r="AU399" i="1" s="1"/>
  <c r="AV399" i="1" s="1"/>
  <c r="AW399" i="1" s="1"/>
  <c r="AT587" i="1"/>
  <c r="AU587" i="1" s="1"/>
  <c r="AV587" i="1" s="1"/>
  <c r="AW587" i="1" s="1"/>
  <c r="AX587" i="1"/>
  <c r="BB304" i="1"/>
  <c r="BC304" i="1" s="1"/>
  <c r="BD304" i="1" s="1"/>
  <c r="BE304" i="1" s="1"/>
  <c r="BF304" i="1" s="1"/>
  <c r="AT591" i="1"/>
  <c r="AU591" i="1" s="1"/>
  <c r="AV591" i="1" s="1"/>
  <c r="AW591" i="1" s="1"/>
  <c r="AX591" i="1"/>
  <c r="AT401" i="1"/>
  <c r="AU401" i="1" s="1"/>
  <c r="AV401" i="1" s="1"/>
  <c r="AW401" i="1" s="1"/>
  <c r="AX401" i="1"/>
  <c r="BB572" i="1"/>
  <c r="BG572" i="1" s="1"/>
  <c r="AT556" i="1"/>
  <c r="AU556" i="1" s="1"/>
  <c r="AV556" i="1" s="1"/>
  <c r="AW556" i="1" s="1"/>
  <c r="AX556" i="1"/>
  <c r="AT344" i="1"/>
  <c r="AU344" i="1" s="1"/>
  <c r="AV344" i="1" s="1"/>
  <c r="AW344" i="1" s="1"/>
  <c r="AX344" i="1"/>
  <c r="AT488" i="1"/>
  <c r="AU488" i="1" s="1"/>
  <c r="AV488" i="1" s="1"/>
  <c r="AW488" i="1" s="1"/>
  <c r="AX488" i="1"/>
  <c r="BD660" i="1"/>
  <c r="BE660" i="1" s="1"/>
  <c r="BF660" i="1" s="1"/>
  <c r="BB326" i="1"/>
  <c r="BC326" i="1" s="1"/>
  <c r="BD326" i="1" s="1"/>
  <c r="BE326" i="1" s="1"/>
  <c r="BF326" i="1" s="1"/>
  <c r="AT114" i="1"/>
  <c r="AU114" i="1" s="1"/>
  <c r="AV114" i="1" s="1"/>
  <c r="AW114" i="1" s="1"/>
  <c r="AX114" i="1"/>
  <c r="AT237" i="1"/>
  <c r="AU237" i="1" s="1"/>
  <c r="AV237" i="1" s="1"/>
  <c r="AW237" i="1" s="1"/>
  <c r="AX237" i="1"/>
  <c r="AT530" i="1"/>
  <c r="AU530" i="1" s="1"/>
  <c r="AV530" i="1" s="1"/>
  <c r="AW530" i="1" s="1"/>
  <c r="AX530" i="1"/>
  <c r="BD80" i="1"/>
  <c r="BE80" i="1" s="1"/>
  <c r="BF80" i="1" s="1"/>
  <c r="AT130" i="1"/>
  <c r="AU130" i="1" s="1"/>
  <c r="AV130" i="1" s="1"/>
  <c r="AW130" i="1" s="1"/>
  <c r="AX130" i="1"/>
  <c r="BD72" i="1"/>
  <c r="BE72" i="1" s="1"/>
  <c r="BF72" i="1" s="1"/>
  <c r="BE247" i="1"/>
  <c r="BF247" i="1" s="1"/>
  <c r="BE240" i="1"/>
  <c r="BF240" i="1" s="1"/>
  <c r="BD315" i="1"/>
  <c r="BE315" i="1" s="1"/>
  <c r="BF315" i="1" s="1"/>
  <c r="BE485" i="1"/>
  <c r="BF485" i="1" s="1"/>
  <c r="BE653" i="1"/>
  <c r="BF653" i="1" s="1"/>
  <c r="BD380" i="1"/>
  <c r="BE380" i="1" s="1"/>
  <c r="BF380" i="1" s="1"/>
  <c r="BD480" i="1"/>
  <c r="BE480" i="1" s="1"/>
  <c r="BF480" i="1" s="1"/>
  <c r="BD424" i="1"/>
  <c r="BE424" i="1" s="1"/>
  <c r="BF424" i="1" s="1"/>
  <c r="BE73" i="1"/>
  <c r="BF73" i="1" s="1"/>
  <c r="BB243" i="1"/>
  <c r="BC243" i="1" s="1"/>
  <c r="BD243" i="1" s="1"/>
  <c r="BE243" i="1" s="1"/>
  <c r="BF243" i="1" s="1"/>
  <c r="BB191" i="1"/>
  <c r="BC191" i="1" s="1"/>
  <c r="BD191" i="1" s="1"/>
  <c r="BE191" i="1" s="1"/>
  <c r="BF191" i="1" s="1"/>
  <c r="BE327" i="1"/>
  <c r="BF327" i="1" s="1"/>
  <c r="BB615" i="1"/>
  <c r="BC615" i="1" s="1"/>
  <c r="BD615" i="1" s="1"/>
  <c r="BE615" i="1" s="1"/>
  <c r="BF615" i="1" s="1"/>
  <c r="BB610" i="1"/>
  <c r="BC610" i="1" s="1"/>
  <c r="BD610" i="1" s="1"/>
  <c r="BE610" i="1" s="1"/>
  <c r="BF610" i="1" s="1"/>
  <c r="BB351" i="1"/>
  <c r="BC351" i="1" s="1"/>
  <c r="BD351" i="1" s="1"/>
  <c r="BE351" i="1" s="1"/>
  <c r="BF351" i="1" s="1"/>
  <c r="BD390" i="1"/>
  <c r="BE390" i="1" s="1"/>
  <c r="BF390" i="1" s="1"/>
  <c r="BD261" i="1"/>
  <c r="BE261" i="1" s="1"/>
  <c r="BF261" i="1" s="1"/>
  <c r="BB339" i="1"/>
  <c r="BC339" i="1" s="1"/>
  <c r="BD339" i="1" s="1"/>
  <c r="BE339" i="1" s="1"/>
  <c r="BF339" i="1" s="1"/>
  <c r="BB221" i="1"/>
  <c r="BC221" i="1" s="1"/>
  <c r="BD221" i="1" s="1"/>
  <c r="BE221" i="1" s="1"/>
  <c r="BF221" i="1" s="1"/>
  <c r="BB84" i="1"/>
  <c r="BC84" i="1" s="1"/>
  <c r="BD84" i="1" s="1"/>
  <c r="BE84" i="1" s="1"/>
  <c r="BF84" i="1" s="1"/>
  <c r="BB383" i="1"/>
  <c r="BC383" i="1" s="1"/>
  <c r="BD383" i="1" s="1"/>
  <c r="BE383" i="1" s="1"/>
  <c r="BF383" i="1" s="1"/>
  <c r="BB588" i="1"/>
  <c r="BC588" i="1" s="1"/>
  <c r="BD588" i="1" s="1"/>
  <c r="BE588" i="1" s="1"/>
  <c r="BF588" i="1" s="1"/>
  <c r="BB346" i="1"/>
  <c r="BC346" i="1" s="1"/>
  <c r="BD346" i="1" s="1"/>
  <c r="BE346" i="1" s="1"/>
  <c r="BF346" i="1" s="1"/>
  <c r="BB291" i="1"/>
  <c r="BC291" i="1" s="1"/>
  <c r="BD291" i="1" s="1"/>
  <c r="BE291" i="1" s="1"/>
  <c r="BF291" i="1" s="1"/>
  <c r="BB450" i="1"/>
  <c r="BC450" i="1" s="1"/>
  <c r="BD450" i="1" s="1"/>
  <c r="BE450" i="1" s="1"/>
  <c r="BF450" i="1" s="1"/>
  <c r="BB159" i="1"/>
  <c r="BC159" i="1" s="1"/>
  <c r="BD159" i="1" s="1"/>
  <c r="BB94" i="1"/>
  <c r="BC94" i="1" s="1"/>
  <c r="BD94" i="1" s="1"/>
  <c r="BE94" i="1" s="1"/>
  <c r="BF94" i="1" s="1"/>
  <c r="BE492" i="1"/>
  <c r="BF492" i="1" s="1"/>
  <c r="BB164" i="1"/>
  <c r="BC164" i="1" s="1"/>
  <c r="BD164" i="1" s="1"/>
  <c r="BE164" i="1" s="1"/>
  <c r="BF164" i="1" s="1"/>
  <c r="BB573" i="1"/>
  <c r="BC573" i="1" s="1"/>
  <c r="BD573" i="1" s="1"/>
  <c r="BE573" i="1" s="1"/>
  <c r="BF573" i="1" s="1"/>
  <c r="BD395" i="1"/>
  <c r="BE395" i="1" s="1"/>
  <c r="BF395" i="1" s="1"/>
  <c r="BB313" i="1"/>
  <c r="BC313" i="1" s="1"/>
  <c r="BD313" i="1" s="1"/>
  <c r="BE313" i="1" s="1"/>
  <c r="BF313" i="1" s="1"/>
  <c r="BG352" i="1"/>
  <c r="BB283" i="1"/>
  <c r="BC283" i="1" s="1"/>
  <c r="BD283" i="1" s="1"/>
  <c r="BE283" i="1" s="1"/>
  <c r="BF283" i="1" s="1"/>
  <c r="BB85" i="1"/>
  <c r="BC85" i="1" s="1"/>
  <c r="BD85" i="1" s="1"/>
  <c r="BE85" i="1" s="1"/>
  <c r="BF85" i="1" s="1"/>
  <c r="BB364" i="1"/>
  <c r="BC364" i="1" s="1"/>
  <c r="BD364" i="1" s="1"/>
  <c r="BE364" i="1" s="1"/>
  <c r="BF364" i="1" s="1"/>
  <c r="BB264" i="1"/>
  <c r="BG264" i="1" s="1"/>
  <c r="BB163" i="1"/>
  <c r="BB373" i="1"/>
  <c r="BC373" i="1" s="1"/>
  <c r="BD373" i="1" s="1"/>
  <c r="BE373" i="1" s="1"/>
  <c r="BF373" i="1" s="1"/>
  <c r="BB418" i="1"/>
  <c r="BC418" i="1" s="1"/>
  <c r="BD418" i="1" s="1"/>
  <c r="BE418" i="1" s="1"/>
  <c r="BF418" i="1" s="1"/>
  <c r="BB550" i="1"/>
  <c r="BC550" i="1" s="1"/>
  <c r="BD550" i="1" s="1"/>
  <c r="BE550" i="1" s="1"/>
  <c r="BF550" i="1" s="1"/>
  <c r="BD370" i="1"/>
  <c r="BE370" i="1" s="1"/>
  <c r="BF370" i="1" s="1"/>
  <c r="BD593" i="1"/>
  <c r="BE593" i="1" s="1"/>
  <c r="BF593" i="1" s="1"/>
  <c r="BG452" i="1"/>
  <c r="BB599" i="1"/>
  <c r="BC599" i="1" s="1"/>
  <c r="BD599" i="1" s="1"/>
  <c r="BE599" i="1" s="1"/>
  <c r="BF599" i="1" s="1"/>
  <c r="BB590" i="1"/>
  <c r="BC590" i="1" s="1"/>
  <c r="BD590" i="1" s="1"/>
  <c r="BE590" i="1" s="1"/>
  <c r="BF590" i="1" s="1"/>
  <c r="BB325" i="1"/>
  <c r="BG325" i="1" s="1"/>
  <c r="BB592" i="1"/>
  <c r="BC592" i="1" s="1"/>
  <c r="BD592" i="1" s="1"/>
  <c r="BE592" i="1" s="1"/>
  <c r="BF592" i="1" s="1"/>
  <c r="BB311" i="1"/>
  <c r="BC311" i="1" s="1"/>
  <c r="BD311" i="1" s="1"/>
  <c r="BE311" i="1" s="1"/>
  <c r="BF311" i="1" s="1"/>
  <c r="BD318" i="1"/>
  <c r="BE318" i="1" s="1"/>
  <c r="BF318" i="1" s="1"/>
  <c r="BD182" i="1"/>
  <c r="BE182" i="1" s="1"/>
  <c r="BF182" i="1" s="1"/>
  <c r="BB445" i="1"/>
  <c r="BG602" i="1"/>
  <c r="BB292" i="1"/>
  <c r="BC292" i="1" s="1"/>
  <c r="BD292" i="1" s="1"/>
  <c r="BE292" i="1" s="1"/>
  <c r="BF292" i="1" s="1"/>
  <c r="BB630" i="1"/>
  <c r="BG630" i="1" s="1"/>
  <c r="BB79" i="1"/>
  <c r="BC79" i="1" s="1"/>
  <c r="BD79" i="1" s="1"/>
  <c r="BE79" i="1" s="1"/>
  <c r="BF79" i="1" s="1"/>
  <c r="BB97" i="1"/>
  <c r="BG97" i="1" s="1"/>
  <c r="BB228" i="1"/>
  <c r="BC228" i="1" s="1"/>
  <c r="BD228" i="1" s="1"/>
  <c r="BE228" i="1" s="1"/>
  <c r="BF228" i="1" s="1"/>
  <c r="BB83" i="1"/>
  <c r="BC83" i="1" s="1"/>
  <c r="BD83" i="1" s="1"/>
  <c r="BE83" i="1" s="1"/>
  <c r="BF83" i="1" s="1"/>
  <c r="BB517" i="1"/>
  <c r="BC517" i="1" s="1"/>
  <c r="BD517" i="1" s="1"/>
  <c r="BE517" i="1" s="1"/>
  <c r="BF517" i="1" s="1"/>
  <c r="BD559" i="1"/>
  <c r="BE559" i="1" s="1"/>
  <c r="BF559" i="1" s="1"/>
  <c r="BB618" i="1"/>
  <c r="BC618" i="1" s="1"/>
  <c r="BD618" i="1" s="1"/>
  <c r="BE618" i="1" s="1"/>
  <c r="BF618" i="1" s="1"/>
  <c r="BB403" i="1"/>
  <c r="BC403" i="1" s="1"/>
  <c r="BD403" i="1" s="1"/>
  <c r="BE403" i="1" s="1"/>
  <c r="BF403" i="1" s="1"/>
  <c r="BB305" i="1"/>
  <c r="BC305" i="1" s="1"/>
  <c r="BD305" i="1" s="1"/>
  <c r="BE305" i="1" s="1"/>
  <c r="BF305" i="1" s="1"/>
  <c r="BB497" i="1"/>
  <c r="BC497" i="1" s="1"/>
  <c r="BD497" i="1" s="1"/>
  <c r="BE497" i="1" s="1"/>
  <c r="BF497" i="1" s="1"/>
  <c r="BD651" i="1"/>
  <c r="BE651" i="1" s="1"/>
  <c r="BF651" i="1" s="1"/>
  <c r="BD343" i="1"/>
  <c r="BE343" i="1" s="1"/>
  <c r="BF343" i="1" s="1"/>
  <c r="BB604" i="1"/>
  <c r="BC604" i="1" s="1"/>
  <c r="BD604" i="1" s="1"/>
  <c r="BE604" i="1" s="1"/>
  <c r="BF604" i="1" s="1"/>
  <c r="BD627" i="1"/>
  <c r="BE627" i="1" s="1"/>
  <c r="BF627" i="1" s="1"/>
  <c r="BD289" i="1"/>
  <c r="BE289" i="1" s="1"/>
  <c r="BF289" i="1" s="1"/>
  <c r="BD388" i="1"/>
  <c r="BE388" i="1" s="1"/>
  <c r="BF388" i="1" s="1"/>
  <c r="BD566" i="1"/>
  <c r="BE566" i="1" s="1"/>
  <c r="BF566" i="1" s="1"/>
  <c r="BD637" i="1"/>
  <c r="BE637" i="1" s="1"/>
  <c r="BF637" i="1" s="1"/>
  <c r="BE253" i="1"/>
  <c r="BF253" i="1" s="1"/>
  <c r="BE661" i="1"/>
  <c r="BF661" i="1" s="1"/>
  <c r="BD553" i="1"/>
  <c r="BE553" i="1" s="1"/>
  <c r="BF553" i="1" s="1"/>
  <c r="BB232" i="1"/>
  <c r="BC232" i="1" s="1"/>
  <c r="BD232" i="1" s="1"/>
  <c r="BE232" i="1" s="1"/>
  <c r="BF232" i="1" s="1"/>
  <c r="BB244" i="1"/>
  <c r="BC244" i="1" s="1"/>
  <c r="BD244" i="1" s="1"/>
  <c r="BE244" i="1" s="1"/>
  <c r="BF244" i="1" s="1"/>
  <c r="BG523" i="1"/>
  <c r="BD425" i="1"/>
  <c r="BE425" i="1" s="1"/>
  <c r="BF425" i="1" s="1"/>
  <c r="BD658" i="1"/>
  <c r="BE658" i="1" s="1"/>
  <c r="BF658" i="1" s="1"/>
  <c r="BB407" i="1"/>
  <c r="BC407" i="1" s="1"/>
  <c r="BD407" i="1" s="1"/>
  <c r="BE407" i="1" s="1"/>
  <c r="BF407" i="1" s="1"/>
  <c r="BB294" i="1"/>
  <c r="BC294" i="1" s="1"/>
  <c r="BD294" i="1" s="1"/>
  <c r="BE294" i="1" s="1"/>
  <c r="BF294" i="1" s="1"/>
  <c r="BB227" i="1"/>
  <c r="BC227" i="1" s="1"/>
  <c r="BD227" i="1" s="1"/>
  <c r="BE227" i="1" s="1"/>
  <c r="BF227" i="1" s="1"/>
  <c r="BB647" i="1"/>
  <c r="BC647" i="1" s="1"/>
  <c r="BD647" i="1" s="1"/>
  <c r="BE647" i="1" s="1"/>
  <c r="BF647" i="1" s="1"/>
  <c r="BB509" i="1"/>
  <c r="BC509" i="1" s="1"/>
  <c r="BD509" i="1" s="1"/>
  <c r="BE509" i="1" s="1"/>
  <c r="BF509" i="1" s="1"/>
  <c r="BB376" i="1"/>
  <c r="BG376" i="1" s="1"/>
  <c r="BD597" i="1"/>
  <c r="BE597" i="1" s="1"/>
  <c r="BF597" i="1" s="1"/>
  <c r="BB192" i="1"/>
  <c r="BC192" i="1" s="1"/>
  <c r="BD192" i="1" s="1"/>
  <c r="BE192" i="1" s="1"/>
  <c r="BF192" i="1" s="1"/>
  <c r="BD576" i="1"/>
  <c r="BE576" i="1" s="1"/>
  <c r="BF576" i="1" s="1"/>
  <c r="BB344" i="1"/>
  <c r="BC344" i="1" s="1"/>
  <c r="BD344" i="1" s="1"/>
  <c r="BE344" i="1" s="1"/>
  <c r="BF344" i="1" s="1"/>
  <c r="AX635" i="1"/>
  <c r="BB563" i="1"/>
  <c r="BC563" i="1" s="1"/>
  <c r="BD563" i="1" s="1"/>
  <c r="BE563" i="1" s="1"/>
  <c r="BF563" i="1" s="1"/>
  <c r="BB443" i="1"/>
  <c r="BC443" i="1" s="1"/>
  <c r="BD443" i="1" s="1"/>
  <c r="BE443" i="1" s="1"/>
  <c r="BF443" i="1" s="1"/>
  <c r="BB143" i="1"/>
  <c r="BC143" i="1" s="1"/>
  <c r="BD143" i="1" s="1"/>
  <c r="BE143" i="1" s="1"/>
  <c r="BF143" i="1" s="1"/>
  <c r="BB664" i="1"/>
  <c r="BC664" i="1" s="1"/>
  <c r="BD664" i="1" s="1"/>
  <c r="BE664" i="1" s="1"/>
  <c r="BF664" i="1" s="1"/>
  <c r="BD236" i="1"/>
  <c r="BE236" i="1" s="1"/>
  <c r="BF236" i="1" s="1"/>
  <c r="BG197" i="1"/>
  <c r="BD583" i="1"/>
  <c r="BE583" i="1" s="1"/>
  <c r="BF583" i="1" s="1"/>
  <c r="BB334" i="1"/>
  <c r="BC334" i="1" s="1"/>
  <c r="BD334" i="1" s="1"/>
  <c r="BE334" i="1" s="1"/>
  <c r="BF334" i="1" s="1"/>
  <c r="BB357" i="1"/>
  <c r="BC357" i="1" s="1"/>
  <c r="BD357" i="1" s="1"/>
  <c r="BE357" i="1" s="1"/>
  <c r="BF357" i="1" s="1"/>
  <c r="BD640" i="1"/>
  <c r="BE640" i="1" s="1"/>
  <c r="BF640" i="1" s="1"/>
  <c r="BB574" i="1"/>
  <c r="BC574" i="1" s="1"/>
  <c r="BD574" i="1" s="1"/>
  <c r="BE574" i="1" s="1"/>
  <c r="BF574" i="1" s="1"/>
  <c r="BD518" i="1"/>
  <c r="BE518" i="1" s="1"/>
  <c r="BF518" i="1" s="1"/>
  <c r="BG316" i="1"/>
  <c r="BB541" i="1"/>
  <c r="BG541" i="1" s="1"/>
  <c r="BB86" i="1"/>
  <c r="BC86" i="1" s="1"/>
  <c r="BD86" i="1" s="1"/>
  <c r="BE86" i="1" s="1"/>
  <c r="BF86" i="1" s="1"/>
  <c r="BB482" i="1"/>
  <c r="BC482" i="1" s="1"/>
  <c r="BD521" i="1"/>
  <c r="BE521" i="1" s="1"/>
  <c r="BF521" i="1" s="1"/>
  <c r="BB157" i="1"/>
  <c r="BC157" i="1" s="1"/>
  <c r="BD157" i="1" s="1"/>
  <c r="BE157" i="1" s="1"/>
  <c r="BF157" i="1" s="1"/>
  <c r="BB378" i="1"/>
  <c r="BC378" i="1" s="1"/>
  <c r="BD378" i="1" s="1"/>
  <c r="BE378" i="1" s="1"/>
  <c r="BF378" i="1" s="1"/>
  <c r="BB265" i="1"/>
  <c r="BC265" i="1" s="1"/>
  <c r="BD265" i="1" s="1"/>
  <c r="BE265" i="1" s="1"/>
  <c r="BF265" i="1" s="1"/>
  <c r="BB250" i="1"/>
  <c r="BG250" i="1" s="1"/>
  <c r="BB665" i="1"/>
  <c r="BG665" i="1" s="1"/>
  <c r="BD421" i="1"/>
  <c r="BE421" i="1" s="1"/>
  <c r="BF421" i="1" s="1"/>
  <c r="BB353" i="1"/>
  <c r="BC353" i="1" s="1"/>
  <c r="BD353" i="1" s="1"/>
  <c r="BE353" i="1" s="1"/>
  <c r="BF353" i="1" s="1"/>
  <c r="BB141" i="1"/>
  <c r="BC141" i="1" s="1"/>
  <c r="BD141" i="1" s="1"/>
  <c r="BE141" i="1" s="1"/>
  <c r="BF141" i="1" s="1"/>
  <c r="BB422" i="1"/>
  <c r="BC422" i="1" s="1"/>
  <c r="BD422" i="1" s="1"/>
  <c r="BE422" i="1" s="1"/>
  <c r="BF422" i="1" s="1"/>
  <c r="BB269" i="1"/>
  <c r="BC269" i="1" s="1"/>
  <c r="BD269" i="1" s="1"/>
  <c r="BE269" i="1" s="1"/>
  <c r="BF269" i="1" s="1"/>
  <c r="BD548" i="1"/>
  <c r="BE548" i="1" s="1"/>
  <c r="BF548" i="1" s="1"/>
  <c r="BB147" i="1"/>
  <c r="BC147" i="1" s="1"/>
  <c r="BD147" i="1" s="1"/>
  <c r="BE147" i="1" s="1"/>
  <c r="BF147" i="1" s="1"/>
  <c r="BB230" i="1"/>
  <c r="BC230" i="1" s="1"/>
  <c r="BD230" i="1" s="1"/>
  <c r="BE230" i="1" s="1"/>
  <c r="BF230" i="1" s="1"/>
  <c r="BB348" i="1"/>
  <c r="BC348" i="1" s="1"/>
  <c r="BD348" i="1" s="1"/>
  <c r="BE348" i="1" s="1"/>
  <c r="BF348" i="1" s="1"/>
  <c r="BG87" i="1"/>
  <c r="BB447" i="1"/>
  <c r="BC447" i="1" s="1"/>
  <c r="BD447" i="1" s="1"/>
  <c r="BE447" i="1" s="1"/>
  <c r="BF447" i="1" s="1"/>
  <c r="BC186" i="1"/>
  <c r="BD186" i="1" s="1"/>
  <c r="BE186" i="1" s="1"/>
  <c r="BF186" i="1" s="1"/>
  <c r="BG186" i="1"/>
  <c r="BC188" i="1"/>
  <c r="BD188" i="1" s="1"/>
  <c r="BE188" i="1" s="1"/>
  <c r="BF188" i="1" s="1"/>
  <c r="BG188" i="1"/>
  <c r="BD511" i="1"/>
  <c r="BE511" i="1" s="1"/>
  <c r="BF511" i="1" s="1"/>
  <c r="BC644" i="1"/>
  <c r="BD644" i="1" s="1"/>
  <c r="BE644" i="1" s="1"/>
  <c r="BF644" i="1" s="1"/>
  <c r="BG644" i="1"/>
  <c r="BG612" i="1"/>
  <c r="BC612" i="1"/>
  <c r="BD612" i="1" s="1"/>
  <c r="BE612" i="1" s="1"/>
  <c r="BF612" i="1" s="1"/>
  <c r="BG357" i="1"/>
  <c r="BB168" i="1"/>
  <c r="BC168" i="1" s="1"/>
  <c r="BD168" i="1" s="1"/>
  <c r="BE168" i="1" s="1"/>
  <c r="BF168" i="1" s="1"/>
  <c r="BG267" i="1"/>
  <c r="AT147" i="1"/>
  <c r="AU147" i="1" s="1"/>
  <c r="AV147" i="1" s="1"/>
  <c r="AW147" i="1" s="1"/>
  <c r="AX147" i="1"/>
  <c r="AX428" i="1"/>
  <c r="AX440" i="1"/>
  <c r="BD666" i="1"/>
  <c r="BE666" i="1" s="1"/>
  <c r="BF666" i="1" s="1"/>
  <c r="AX567" i="1"/>
  <c r="BD131" i="1"/>
  <c r="BE131" i="1" s="1"/>
  <c r="BF131" i="1" s="1"/>
  <c r="BG183" i="1"/>
  <c r="AT465" i="1"/>
  <c r="AU465" i="1" s="1"/>
  <c r="AV465" i="1" s="1"/>
  <c r="AW465" i="1" s="1"/>
  <c r="BE478" i="1"/>
  <c r="BF478" i="1" s="1"/>
  <c r="AT84" i="1"/>
  <c r="AU84" i="1" s="1"/>
  <c r="AV84" i="1" s="1"/>
  <c r="AW84" i="1" s="1"/>
  <c r="AT68" i="1"/>
  <c r="AU68" i="1" s="1"/>
  <c r="AV68" i="1" s="1"/>
  <c r="AW68" i="1" s="1"/>
  <c r="AX379" i="1"/>
  <c r="BB75" i="1"/>
  <c r="BC75" i="1" s="1"/>
  <c r="BD75" i="1" s="1"/>
  <c r="BE75" i="1" s="1"/>
  <c r="BF75" i="1" s="1"/>
  <c r="BG124" i="1"/>
  <c r="BE493" i="1"/>
  <c r="BF493" i="1" s="1"/>
  <c r="BB319" i="1"/>
  <c r="BG319" i="1" s="1"/>
  <c r="BB526" i="1"/>
  <c r="BC526" i="1" s="1"/>
  <c r="BD526" i="1" s="1"/>
  <c r="BE526" i="1" s="1"/>
  <c r="BF526" i="1" s="1"/>
  <c r="F13" i="1"/>
  <c r="DV3" i="1" s="1"/>
  <c r="BB287" i="1"/>
  <c r="BC287" i="1" s="1"/>
  <c r="BD287" i="1" s="1"/>
  <c r="BE287" i="1" s="1"/>
  <c r="BF287" i="1" s="1"/>
  <c r="AT365" i="1"/>
  <c r="AU365" i="1" s="1"/>
  <c r="AV365" i="1" s="1"/>
  <c r="AW365" i="1" s="1"/>
  <c r="BD410" i="1"/>
  <c r="BE410" i="1" s="1"/>
  <c r="BF410" i="1" s="1"/>
  <c r="AX473" i="1"/>
  <c r="AX494" i="1"/>
  <c r="AT576" i="1"/>
  <c r="AU576" i="1" s="1"/>
  <c r="AV576" i="1" s="1"/>
  <c r="AW576" i="1" s="1"/>
  <c r="AT651" i="1"/>
  <c r="AU651" i="1" s="1"/>
  <c r="AV651" i="1" s="1"/>
  <c r="AW651" i="1" s="1"/>
  <c r="AT463" i="1"/>
  <c r="AU463" i="1" s="1"/>
  <c r="AV463" i="1" s="1"/>
  <c r="AW463" i="1" s="1"/>
  <c r="AX304" i="1"/>
  <c r="AT338" i="1"/>
  <c r="AU338" i="1" s="1"/>
  <c r="AV338" i="1" s="1"/>
  <c r="AW338" i="1" s="1"/>
  <c r="AX197" i="1"/>
  <c r="BD277" i="1"/>
  <c r="BE277" i="1" s="1"/>
  <c r="BF277" i="1" s="1"/>
  <c r="BD285" i="1"/>
  <c r="BE285" i="1" s="1"/>
  <c r="BF285" i="1" s="1"/>
  <c r="BD330" i="1"/>
  <c r="BE330" i="1" s="1"/>
  <c r="BF330" i="1" s="1"/>
  <c r="AT369" i="1"/>
  <c r="AU369" i="1" s="1"/>
  <c r="AV369" i="1" s="1"/>
  <c r="AW369" i="1" s="1"/>
  <c r="AX268" i="1"/>
  <c r="AX374" i="1"/>
  <c r="AX277" i="1"/>
  <c r="AT289" i="1"/>
  <c r="AU289" i="1" s="1"/>
  <c r="AV289" i="1" s="1"/>
  <c r="AW289" i="1" s="1"/>
  <c r="AX575" i="1"/>
  <c r="AT223" i="1"/>
  <c r="AU223" i="1" s="1"/>
  <c r="AV223" i="1" s="1"/>
  <c r="AW223" i="1" s="1"/>
  <c r="BD402" i="1"/>
  <c r="BE402" i="1" s="1"/>
  <c r="BF402" i="1" s="1"/>
  <c r="BD584" i="1"/>
  <c r="BE584" i="1" s="1"/>
  <c r="BF584" i="1" s="1"/>
  <c r="BD614" i="1"/>
  <c r="BE614" i="1" s="1"/>
  <c r="BF614" i="1" s="1"/>
  <c r="AT355" i="1"/>
  <c r="AU355" i="1" s="1"/>
  <c r="AV355" i="1" s="1"/>
  <c r="AW355" i="1" s="1"/>
  <c r="AX534" i="1"/>
  <c r="AX537" i="1"/>
  <c r="AX406" i="1"/>
  <c r="BG595" i="1"/>
  <c r="AX192" i="1"/>
  <c r="BD437" i="1"/>
  <c r="BE437" i="1" s="1"/>
  <c r="BF437" i="1" s="1"/>
  <c r="AX413" i="1"/>
  <c r="BD603" i="1"/>
  <c r="BE603" i="1" s="1"/>
  <c r="BF603" i="1" s="1"/>
  <c r="AX388" i="1"/>
  <c r="BD366" i="1"/>
  <c r="BE366" i="1" s="1"/>
  <c r="BF366" i="1" s="1"/>
  <c r="BG396" i="1"/>
  <c r="BE118" i="1"/>
  <c r="BF118" i="1" s="1"/>
  <c r="AX422" i="1"/>
  <c r="BD151" i="1"/>
  <c r="BE151" i="1" s="1"/>
  <c r="BF151" i="1" s="1"/>
  <c r="AT617" i="1"/>
  <c r="AU617" i="1" s="1"/>
  <c r="AV617" i="1" s="1"/>
  <c r="AW617" i="1" s="1"/>
  <c r="AT541" i="1"/>
  <c r="AU541" i="1" s="1"/>
  <c r="AV541" i="1" s="1"/>
  <c r="AW541" i="1" s="1"/>
  <c r="AX585" i="1"/>
  <c r="AX495" i="1"/>
  <c r="BD454" i="1"/>
  <c r="BE454" i="1" s="1"/>
  <c r="BF454" i="1" s="1"/>
  <c r="BD284" i="1"/>
  <c r="BE284" i="1" s="1"/>
  <c r="BF284" i="1" s="1"/>
  <c r="BD481" i="1"/>
  <c r="BE481" i="1" s="1"/>
  <c r="BF481" i="1" s="1"/>
  <c r="BG379" i="1"/>
  <c r="BD449" i="1"/>
  <c r="BE449" i="1" s="1"/>
  <c r="BF449" i="1" s="1"/>
  <c r="AT496" i="1"/>
  <c r="AU496" i="1" s="1"/>
  <c r="AV496" i="1" s="1"/>
  <c r="AW496" i="1" s="1"/>
  <c r="AX138" i="1"/>
  <c r="BD654" i="1"/>
  <c r="BE654" i="1" s="1"/>
  <c r="BF654" i="1" s="1"/>
  <c r="AT540" i="1"/>
  <c r="AU540" i="1" s="1"/>
  <c r="AV540" i="1" s="1"/>
  <c r="AW540" i="1" s="1"/>
  <c r="AT314" i="1"/>
  <c r="AU314" i="1" s="1"/>
  <c r="AV314" i="1" s="1"/>
  <c r="AW314" i="1" s="1"/>
  <c r="AX324" i="1"/>
  <c r="BD241" i="1"/>
  <c r="BE241" i="1" s="1"/>
  <c r="BF241" i="1" s="1"/>
  <c r="BD87" i="1"/>
  <c r="BE87" i="1" s="1"/>
  <c r="BF87" i="1" s="1"/>
  <c r="AT549" i="1"/>
  <c r="AU549" i="1" s="1"/>
  <c r="AV549" i="1" s="1"/>
  <c r="AW549" i="1" s="1"/>
  <c r="AX658" i="1"/>
  <c r="AX184" i="1"/>
  <c r="AX243" i="1"/>
  <c r="AX262" i="1"/>
  <c r="BB90" i="1"/>
  <c r="BC90" i="1" s="1"/>
  <c r="BD90" i="1" s="1"/>
  <c r="BE90" i="1" s="1"/>
  <c r="BF90" i="1" s="1"/>
  <c r="BB624" i="1"/>
  <c r="BC624" i="1" s="1"/>
  <c r="BD624" i="1" s="1"/>
  <c r="BE624" i="1" s="1"/>
  <c r="BF624" i="1" s="1"/>
  <c r="BD138" i="1"/>
  <c r="BE138" i="1" s="1"/>
  <c r="BF138" i="1" s="1"/>
  <c r="BB601" i="1"/>
  <c r="BC601" i="1" s="1"/>
  <c r="BD601" i="1" s="1"/>
  <c r="BE601" i="1" s="1"/>
  <c r="BF601" i="1" s="1"/>
  <c r="BB663" i="1"/>
  <c r="BG663" i="1" s="1"/>
  <c r="BB620" i="1"/>
  <c r="BB136" i="1"/>
  <c r="BC136" i="1" s="1"/>
  <c r="BD136" i="1" s="1"/>
  <c r="BE136" i="1" s="1"/>
  <c r="BF136" i="1" s="1"/>
  <c r="BG92" i="1"/>
  <c r="BB69" i="1"/>
  <c r="BC69" i="1" s="1"/>
  <c r="BD69" i="1" s="1"/>
  <c r="BE69" i="1" s="1"/>
  <c r="BF69" i="1" s="1"/>
  <c r="BB568" i="1"/>
  <c r="BC568" i="1" s="1"/>
  <c r="BD568" i="1" s="1"/>
  <c r="BE568" i="1" s="1"/>
  <c r="BF568" i="1" s="1"/>
  <c r="AX142" i="1"/>
  <c r="AX81" i="1"/>
  <c r="AT161" i="1"/>
  <c r="AU161" i="1" s="1"/>
  <c r="AV161" i="1" s="1"/>
  <c r="AW161" i="1" s="1"/>
  <c r="AX161" i="1"/>
  <c r="BB594" i="1"/>
  <c r="BB178" i="1"/>
  <c r="BB436" i="1"/>
  <c r="BG436" i="1" s="1"/>
  <c r="BB534" i="1"/>
  <c r="BC534" i="1" s="1"/>
  <c r="BD534" i="1" s="1"/>
  <c r="BE534" i="1" s="1"/>
  <c r="BF534" i="1" s="1"/>
  <c r="BD456" i="1"/>
  <c r="BE456" i="1" s="1"/>
  <c r="BF456" i="1" s="1"/>
  <c r="BE159" i="1"/>
  <c r="BF159" i="1" s="1"/>
  <c r="AT626" i="1"/>
  <c r="AU626" i="1" s="1"/>
  <c r="AV626" i="1" s="1"/>
  <c r="AW626" i="1" s="1"/>
  <c r="AX626" i="1"/>
  <c r="BE639" i="1"/>
  <c r="BF639" i="1" s="1"/>
  <c r="BD171" i="1"/>
  <c r="BE171" i="1" s="1"/>
  <c r="BF171" i="1" s="1"/>
  <c r="BD448" i="1"/>
  <c r="BE448" i="1" s="1"/>
  <c r="BF448" i="1" s="1"/>
  <c r="BD362" i="1"/>
  <c r="BE362" i="1" s="1"/>
  <c r="BF362" i="1" s="1"/>
  <c r="AX404" i="1"/>
  <c r="BD412" i="1"/>
  <c r="BE412" i="1" s="1"/>
  <c r="BF412" i="1" s="1"/>
  <c r="BG203" i="1"/>
  <c r="BD662" i="1"/>
  <c r="BE662" i="1" s="1"/>
  <c r="BF662" i="1" s="1"/>
  <c r="AX430" i="1"/>
  <c r="BD491" i="1"/>
  <c r="BE491" i="1" s="1"/>
  <c r="BF491" i="1" s="1"/>
  <c r="AX630" i="1"/>
  <c r="BE145" i="1"/>
  <c r="BF145" i="1" s="1"/>
  <c r="AT80" i="1"/>
  <c r="AU80" i="1" s="1"/>
  <c r="AV80" i="1" s="1"/>
  <c r="AW80" i="1" s="1"/>
  <c r="BE101" i="1"/>
  <c r="BF101" i="1" s="1"/>
  <c r="BD391" i="1"/>
  <c r="BE391" i="1" s="1"/>
  <c r="BF391" i="1" s="1"/>
  <c r="BB415" i="1"/>
  <c r="BC415" i="1" s="1"/>
  <c r="BD415" i="1" s="1"/>
  <c r="BE415" i="1" s="1"/>
  <c r="BF415" i="1" s="1"/>
  <c r="BB649" i="1"/>
  <c r="BC649" i="1" s="1"/>
  <c r="BD649" i="1" s="1"/>
  <c r="BE649" i="1" s="1"/>
  <c r="BF649" i="1" s="1"/>
  <c r="BG551" i="1"/>
  <c r="BB117" i="1"/>
  <c r="BC117" i="1" s="1"/>
  <c r="BD117" i="1" s="1"/>
  <c r="BE117" i="1" s="1"/>
  <c r="BF117" i="1" s="1"/>
  <c r="BD420" i="1"/>
  <c r="BE420" i="1" s="1"/>
  <c r="BF420" i="1" s="1"/>
  <c r="BD543" i="1"/>
  <c r="BE543" i="1" s="1"/>
  <c r="BF543" i="1" s="1"/>
  <c r="BB494" i="1"/>
  <c r="BC494" i="1" s="1"/>
  <c r="BD494" i="1" s="1"/>
  <c r="BE494" i="1" s="1"/>
  <c r="BF494" i="1" s="1"/>
  <c r="BB399" i="1"/>
  <c r="BG399" i="1" s="1"/>
  <c r="AX124" i="1"/>
  <c r="BD631" i="1"/>
  <c r="BE631" i="1" s="1"/>
  <c r="BF631" i="1" s="1"/>
  <c r="BD120" i="1"/>
  <c r="BE120" i="1" s="1"/>
  <c r="BF120" i="1" s="1"/>
  <c r="BE500" i="1"/>
  <c r="BF500" i="1" s="1"/>
  <c r="AT89" i="1"/>
  <c r="AU89" i="1" s="1"/>
  <c r="AV89" i="1" s="1"/>
  <c r="AW89" i="1" s="1"/>
  <c r="BG239" i="1"/>
  <c r="BB355" i="1"/>
  <c r="BC355" i="1" s="1"/>
  <c r="BD355" i="1" s="1"/>
  <c r="BE355" i="1" s="1"/>
  <c r="BF355" i="1" s="1"/>
  <c r="AX467" i="1"/>
  <c r="AX93" i="1"/>
  <c r="BG301" i="1"/>
  <c r="AX554" i="1"/>
  <c r="AT343" i="1"/>
  <c r="AU343" i="1" s="1"/>
  <c r="AV343" i="1" s="1"/>
  <c r="AW343" i="1" s="1"/>
  <c r="AT273" i="1"/>
  <c r="AU273" i="1" s="1"/>
  <c r="AV273" i="1" s="1"/>
  <c r="AW273" i="1" s="1"/>
  <c r="AX508" i="1"/>
  <c r="BD167" i="1"/>
  <c r="BE167" i="1" s="1"/>
  <c r="BF167" i="1" s="1"/>
  <c r="BD74" i="1"/>
  <c r="BE74" i="1" s="1"/>
  <c r="BF74" i="1" s="1"/>
  <c r="AX79" i="1"/>
  <c r="BE467" i="1"/>
  <c r="BF467" i="1" s="1"/>
  <c r="AX199" i="1"/>
  <c r="AX483" i="1"/>
  <c r="AX619" i="1"/>
  <c r="AX77" i="1"/>
  <c r="AX279" i="1"/>
  <c r="BG296" i="1"/>
  <c r="BD471" i="1"/>
  <c r="BE471" i="1" s="1"/>
  <c r="BF471" i="1" s="1"/>
  <c r="AX297" i="1"/>
  <c r="AX448" i="1"/>
  <c r="AX132" i="1"/>
  <c r="BD235" i="1"/>
  <c r="BE235" i="1" s="1"/>
  <c r="BF235" i="1" s="1"/>
  <c r="BD331" i="1"/>
  <c r="BE331" i="1" s="1"/>
  <c r="BF331" i="1" s="1"/>
  <c r="AX482" i="1"/>
  <c r="AX75" i="1"/>
  <c r="BD387" i="1"/>
  <c r="BE387" i="1" s="1"/>
  <c r="BF387" i="1" s="1"/>
  <c r="BD650" i="1"/>
  <c r="BE650" i="1" s="1"/>
  <c r="BF650" i="1" s="1"/>
  <c r="BE406" i="1"/>
  <c r="BF406" i="1" s="1"/>
  <c r="AT116" i="1"/>
  <c r="AU116" i="1" s="1"/>
  <c r="AV116" i="1" s="1"/>
  <c r="AW116" i="1" s="1"/>
  <c r="AT160" i="1"/>
  <c r="AU160" i="1" s="1"/>
  <c r="AV160" i="1" s="1"/>
  <c r="AW160" i="1" s="1"/>
  <c r="AX502" i="1"/>
  <c r="AX382" i="1"/>
  <c r="AX171" i="1"/>
  <c r="AT358" i="1"/>
  <c r="AU358" i="1" s="1"/>
  <c r="AV358" i="1" s="1"/>
  <c r="AW358" i="1" s="1"/>
  <c r="AX69" i="1"/>
  <c r="AX312" i="1"/>
  <c r="F11" i="1"/>
  <c r="DT3" i="1" s="1"/>
  <c r="BB216" i="1"/>
  <c r="BC216" i="1" s="1"/>
  <c r="BD216" i="1" s="1"/>
  <c r="BE216" i="1" s="1"/>
  <c r="BF216" i="1" s="1"/>
  <c r="BE472" i="1"/>
  <c r="BF472" i="1" s="1"/>
  <c r="BB587" i="1"/>
  <c r="BC587" i="1" s="1"/>
  <c r="BD587" i="1" s="1"/>
  <c r="BE587" i="1" s="1"/>
  <c r="BF587" i="1" s="1"/>
  <c r="BG609" i="1"/>
  <c r="BB466" i="1"/>
  <c r="BC466" i="1" s="1"/>
  <c r="BD466" i="1" s="1"/>
  <c r="BE466" i="1" s="1"/>
  <c r="BF466" i="1" s="1"/>
  <c r="BD323" i="1"/>
  <c r="BE323" i="1" s="1"/>
  <c r="BF323" i="1" s="1"/>
  <c r="BB142" i="1"/>
  <c r="BC142" i="1" s="1"/>
  <c r="BD142" i="1" s="1"/>
  <c r="BE142" i="1" s="1"/>
  <c r="BF142" i="1" s="1"/>
  <c r="BB369" i="1"/>
  <c r="BC369" i="1" s="1"/>
  <c r="BD369" i="1" s="1"/>
  <c r="BE369" i="1" s="1"/>
  <c r="BF369" i="1" s="1"/>
  <c r="BD194" i="1"/>
  <c r="BE194" i="1" s="1"/>
  <c r="BF194" i="1" s="1"/>
  <c r="BB81" i="1"/>
  <c r="BC81" i="1" s="1"/>
  <c r="BD81" i="1" s="1"/>
  <c r="BE81" i="1" s="1"/>
  <c r="BF81" i="1" s="1"/>
  <c r="BB199" i="1"/>
  <c r="BG199" i="1" s="1"/>
  <c r="F12" i="1"/>
  <c r="DU3" i="1" s="1"/>
  <c r="AX659" i="1"/>
  <c r="BG91" i="1"/>
  <c r="BB558" i="1"/>
  <c r="BC558" i="1" s="1"/>
  <c r="BD558" i="1" s="1"/>
  <c r="BE558" i="1" s="1"/>
  <c r="BF558" i="1" s="1"/>
  <c r="BB93" i="1"/>
  <c r="BC93" i="1" s="1"/>
  <c r="BD93" i="1" s="1"/>
  <c r="BE93" i="1" s="1"/>
  <c r="BF93" i="1" s="1"/>
  <c r="BB200" i="1"/>
  <c r="BC200" i="1" s="1"/>
  <c r="BD200" i="1" s="1"/>
  <c r="BE200" i="1" s="1"/>
  <c r="BF200" i="1" s="1"/>
  <c r="BB560" i="1"/>
  <c r="BC560" i="1" s="1"/>
  <c r="BD560" i="1" s="1"/>
  <c r="BE560" i="1" s="1"/>
  <c r="BF560" i="1" s="1"/>
  <c r="BB321" i="1"/>
  <c r="BC321" i="1" s="1"/>
  <c r="BD321" i="1" s="1"/>
  <c r="BE321" i="1" s="1"/>
  <c r="BF321" i="1" s="1"/>
  <c r="BB122" i="1"/>
  <c r="BC122" i="1" s="1"/>
  <c r="BD122" i="1" s="1"/>
  <c r="BE122" i="1" s="1"/>
  <c r="BF122" i="1" s="1"/>
  <c r="AX227" i="1"/>
  <c r="BB193" i="1"/>
  <c r="BG453" i="1"/>
  <c r="AT285" i="1"/>
  <c r="AU285" i="1" s="1"/>
  <c r="AV285" i="1" s="1"/>
  <c r="AW285" i="1" s="1"/>
  <c r="AX285" i="1"/>
  <c r="BB248" i="1"/>
  <c r="BB435" i="1"/>
  <c r="BC435" i="1" s="1"/>
  <c r="BD435" i="1" s="1"/>
  <c r="BE435" i="1" s="1"/>
  <c r="BF435" i="1" s="1"/>
  <c r="AT474" i="1"/>
  <c r="AU474" i="1" s="1"/>
  <c r="AV474" i="1" s="1"/>
  <c r="AW474" i="1" s="1"/>
  <c r="BD611" i="1"/>
  <c r="BE611" i="1" s="1"/>
  <c r="BF611" i="1" s="1"/>
  <c r="BG275" i="1"/>
  <c r="BG298" i="1"/>
  <c r="BG170" i="1"/>
  <c r="BE586" i="1"/>
  <c r="BF586" i="1" s="1"/>
  <c r="BG445" i="1"/>
  <c r="AX136" i="1"/>
  <c r="AT136" i="1"/>
  <c r="AU136" i="1" s="1"/>
  <c r="AV136" i="1" s="1"/>
  <c r="AW136" i="1" s="1"/>
  <c r="AT442" i="1"/>
  <c r="AU442" i="1" s="1"/>
  <c r="AV442" i="1" s="1"/>
  <c r="AW442" i="1" s="1"/>
  <c r="AX442" i="1"/>
  <c r="BB300" i="1"/>
  <c r="BC300" i="1" s="1"/>
  <c r="BD300" i="1" s="1"/>
  <c r="BE300" i="1" s="1"/>
  <c r="BF300" i="1" s="1"/>
  <c r="BG180" i="1"/>
  <c r="AT334" i="1"/>
  <c r="AU334" i="1" s="1"/>
  <c r="AV334" i="1" s="1"/>
  <c r="AW334" i="1" s="1"/>
  <c r="BD307" i="1"/>
  <c r="BE307" i="1" s="1"/>
  <c r="BF307" i="1" s="1"/>
  <c r="AT481" i="1"/>
  <c r="AU481" i="1" s="1"/>
  <c r="AV481" i="1" s="1"/>
  <c r="AW481" i="1" s="1"/>
  <c r="BG110" i="1"/>
  <c r="BE152" i="1"/>
  <c r="BF152" i="1" s="1"/>
  <c r="BD184" i="1"/>
  <c r="BE184" i="1" s="1"/>
  <c r="BF184" i="1" s="1"/>
  <c r="BD495" i="1"/>
  <c r="BE495" i="1" s="1"/>
  <c r="BF495" i="1" s="1"/>
  <c r="BD510" i="1"/>
  <c r="BE510" i="1" s="1"/>
  <c r="BF510" i="1" s="1"/>
  <c r="BE337" i="1"/>
  <c r="BF337" i="1" s="1"/>
  <c r="AT632" i="1"/>
  <c r="AU632" i="1" s="1"/>
  <c r="AV632" i="1" s="1"/>
  <c r="AW632" i="1" s="1"/>
  <c r="BD554" i="1"/>
  <c r="BE554" i="1" s="1"/>
  <c r="BF554" i="1" s="1"/>
  <c r="BE254" i="1"/>
  <c r="BF254" i="1" s="1"/>
  <c r="BD268" i="1"/>
  <c r="BE268" i="1" s="1"/>
  <c r="BF268" i="1" s="1"/>
  <c r="BG223" i="1"/>
  <c r="AX155" i="1"/>
  <c r="BB150" i="1"/>
  <c r="BC150" i="1" s="1"/>
  <c r="BD150" i="1" s="1"/>
  <c r="BE150" i="1" s="1"/>
  <c r="BF150" i="1" s="1"/>
  <c r="AT191" i="1"/>
  <c r="AU191" i="1" s="1"/>
  <c r="AV191" i="1" s="1"/>
  <c r="AW191" i="1" s="1"/>
  <c r="AX191" i="1"/>
  <c r="AX200" i="1"/>
  <c r="AT200" i="1"/>
  <c r="AU200" i="1" s="1"/>
  <c r="AV200" i="1" s="1"/>
  <c r="AW200" i="1" s="1"/>
  <c r="AX169" i="1"/>
  <c r="AX622" i="1"/>
  <c r="AX357" i="1"/>
  <c r="BD374" i="1"/>
  <c r="BE374" i="1" s="1"/>
  <c r="BF374" i="1" s="1"/>
  <c r="AT525" i="1"/>
  <c r="AU525" i="1" s="1"/>
  <c r="AV525" i="1" s="1"/>
  <c r="AW525" i="1" s="1"/>
  <c r="AX525" i="1"/>
  <c r="E8" i="1"/>
  <c r="DQ2" i="1" s="1"/>
  <c r="F15" i="1"/>
  <c r="DX3" i="1" s="1"/>
  <c r="BG204" i="1"/>
  <c r="AX512" i="1"/>
  <c r="AX423" i="1"/>
  <c r="BG591" i="1"/>
  <c r="BD498" i="1"/>
  <c r="BE498" i="1" s="1"/>
  <c r="BF498" i="1" s="1"/>
  <c r="BD274" i="1"/>
  <c r="BE274" i="1" s="1"/>
  <c r="BF274" i="1" s="1"/>
  <c r="BD482" i="1"/>
  <c r="BE482" i="1" s="1"/>
  <c r="BF482" i="1" s="1"/>
  <c r="AX129" i="1"/>
  <c r="BD205" i="1"/>
  <c r="BE205" i="1" s="1"/>
  <c r="BF205" i="1" s="1"/>
  <c r="AT538" i="1"/>
  <c r="AU538" i="1" s="1"/>
  <c r="AV538" i="1" s="1"/>
  <c r="AW538" i="1" s="1"/>
  <c r="AX538" i="1"/>
  <c r="AX249" i="1"/>
  <c r="AT249" i="1"/>
  <c r="AU249" i="1" s="1"/>
  <c r="AV249" i="1" s="1"/>
  <c r="AW249" i="1" s="1"/>
  <c r="BD77" i="1"/>
  <c r="BE77" i="1" s="1"/>
  <c r="BF77" i="1" s="1"/>
  <c r="BG165" i="1"/>
  <c r="E18" i="1"/>
  <c r="EA2" i="1" s="1"/>
  <c r="BE233" i="1"/>
  <c r="BF233" i="1" s="1"/>
  <c r="BD408" i="1"/>
  <c r="BE408" i="1" s="1"/>
  <c r="BF408" i="1" s="1"/>
  <c r="BE643" i="1"/>
  <c r="BF643" i="1" s="1"/>
  <c r="BG483" i="1"/>
  <c r="BG440" i="1"/>
  <c r="AT241" i="1"/>
  <c r="AU241" i="1" s="1"/>
  <c r="AV241" i="1" s="1"/>
  <c r="AW241" i="1" s="1"/>
  <c r="BD251" i="1"/>
  <c r="BE251" i="1" s="1"/>
  <c r="BF251" i="1" s="1"/>
  <c r="BE462" i="1"/>
  <c r="BF462" i="1" s="1"/>
  <c r="BD314" i="1"/>
  <c r="BE314" i="1" s="1"/>
  <c r="BF314" i="1" s="1"/>
  <c r="BD430" i="1"/>
  <c r="BE430" i="1" s="1"/>
  <c r="BF430" i="1" s="1"/>
  <c r="BD621" i="1"/>
  <c r="BE621" i="1" s="1"/>
  <c r="BF621" i="1" s="1"/>
  <c r="AX574" i="1"/>
  <c r="BE185" i="1"/>
  <c r="BF185" i="1" s="1"/>
  <c r="AT435" i="1"/>
  <c r="AU435" i="1" s="1"/>
  <c r="AV435" i="1" s="1"/>
  <c r="AW435" i="1" s="1"/>
  <c r="AX656" i="1"/>
  <c r="AT244" i="1"/>
  <c r="AU244" i="1" s="1"/>
  <c r="AV244" i="1" s="1"/>
  <c r="AW244" i="1" s="1"/>
  <c r="AX244" i="1"/>
  <c r="AT187" i="1"/>
  <c r="AU187" i="1" s="1"/>
  <c r="AV187" i="1" s="1"/>
  <c r="AW187" i="1" s="1"/>
  <c r="AX187" i="1"/>
  <c r="BB224" i="1"/>
  <c r="AT164" i="1"/>
  <c r="AU164" i="1" s="1"/>
  <c r="AV164" i="1" s="1"/>
  <c r="AW164" i="1" s="1"/>
  <c r="AX164" i="1"/>
  <c r="AT408" i="1"/>
  <c r="AU408" i="1" s="1"/>
  <c r="AV408" i="1" s="1"/>
  <c r="AW408" i="1" s="1"/>
  <c r="AX408" i="1"/>
  <c r="AT432" i="1"/>
  <c r="AU432" i="1" s="1"/>
  <c r="AV432" i="1" s="1"/>
  <c r="AW432" i="1" s="1"/>
  <c r="AX432" i="1"/>
  <c r="AX156" i="1"/>
  <c r="AX367" i="1"/>
  <c r="BG130" i="1"/>
  <c r="BG156" i="1"/>
  <c r="BG102" i="1"/>
  <c r="BG262" i="1"/>
  <c r="BG86" i="1"/>
  <c r="BG79" i="1"/>
  <c r="BG101" i="1"/>
  <c r="BG390" i="1"/>
  <c r="BG269" i="1"/>
  <c r="BG217" i="1"/>
  <c r="BG132" i="1"/>
  <c r="BG103" i="1"/>
  <c r="BG115" i="1"/>
  <c r="BG308" i="1"/>
  <c r="BG311" i="1"/>
  <c r="BG189" i="1"/>
  <c r="BG71" i="1"/>
  <c r="BG226" i="1"/>
  <c r="BG126" i="1"/>
  <c r="BC352" i="1"/>
  <c r="BD352" i="1" s="1"/>
  <c r="BE352" i="1" s="1"/>
  <c r="BF352" i="1" s="1"/>
  <c r="BG246" i="1"/>
  <c r="BG82" i="1"/>
  <c r="BG382" i="1"/>
  <c r="BG374" i="1"/>
  <c r="BG654" i="1"/>
  <c r="BG99" i="1"/>
  <c r="BG331" i="1"/>
  <c r="BG145" i="1"/>
  <c r="BG338" i="1"/>
  <c r="BC439" i="1"/>
  <c r="BD439" i="1" s="1"/>
  <c r="BE439" i="1" s="1"/>
  <c r="BF439" i="1" s="1"/>
  <c r="BG361" i="1"/>
  <c r="BG73" i="1"/>
  <c r="BC97" i="1"/>
  <c r="BD97" i="1" s="1"/>
  <c r="BE97" i="1" s="1"/>
  <c r="BF97" i="1" s="1"/>
  <c r="BG409" i="1"/>
  <c r="BC445" i="1"/>
  <c r="BD445" i="1" s="1"/>
  <c r="BE445" i="1" s="1"/>
  <c r="BF445" i="1" s="1"/>
  <c r="BG68" i="1"/>
  <c r="BG634" i="1"/>
  <c r="BC223" i="1"/>
  <c r="BD223" i="1" s="1"/>
  <c r="BE223" i="1" s="1"/>
  <c r="BF223" i="1" s="1"/>
  <c r="BC116" i="1"/>
  <c r="BD116" i="1" s="1"/>
  <c r="BE116" i="1" s="1"/>
  <c r="BF116" i="1" s="1"/>
  <c r="BG268" i="1"/>
  <c r="BG656" i="1"/>
  <c r="BC123" i="1"/>
  <c r="BD123" i="1" s="1"/>
  <c r="BE123" i="1" s="1"/>
  <c r="BF123" i="1" s="1"/>
  <c r="BG149" i="1"/>
  <c r="BG249" i="1"/>
  <c r="BG265" i="1"/>
  <c r="BG242" i="1"/>
  <c r="BG305" i="1"/>
  <c r="BG205" i="1"/>
  <c r="BC316" i="1"/>
  <c r="BD316" i="1" s="1"/>
  <c r="BE316" i="1" s="1"/>
  <c r="BF316" i="1" s="1"/>
  <c r="BC296" i="1"/>
  <c r="BD296" i="1" s="1"/>
  <c r="BE296" i="1" s="1"/>
  <c r="BF296" i="1" s="1"/>
  <c r="BG109" i="1"/>
  <c r="BG417" i="1"/>
  <c r="BC581" i="1"/>
  <c r="BD581" i="1" s="1"/>
  <c r="BE581" i="1" s="1"/>
  <c r="BF581" i="1" s="1"/>
  <c r="BG372" i="1"/>
  <c r="BG212" i="1"/>
  <c r="BC133" i="1"/>
  <c r="BD133" i="1" s="1"/>
  <c r="BE133" i="1" s="1"/>
  <c r="BF133" i="1" s="1"/>
  <c r="BG539" i="1"/>
  <c r="BG472" i="1"/>
  <c r="BG231" i="1"/>
  <c r="BC459" i="1"/>
  <c r="BD459" i="1" s="1"/>
  <c r="BE459" i="1" s="1"/>
  <c r="BF459" i="1" s="1"/>
  <c r="BG214" i="1"/>
  <c r="BG661" i="1"/>
  <c r="BG80" i="1"/>
  <c r="BG461" i="1"/>
  <c r="BG238" i="1"/>
  <c r="BG449" i="1"/>
  <c r="BG553" i="1"/>
  <c r="BG241" i="1"/>
  <c r="BG406" i="1"/>
  <c r="BG557" i="1"/>
  <c r="BG424" i="1"/>
  <c r="BC470" i="1"/>
  <c r="BD470" i="1" s="1"/>
  <c r="BE470" i="1" s="1"/>
  <c r="BF470" i="1" s="1"/>
  <c r="BG638" i="1"/>
  <c r="BG398" i="1"/>
  <c r="BG295" i="1"/>
  <c r="BG315" i="1"/>
  <c r="BG201" i="1"/>
  <c r="BG657" i="1"/>
  <c r="BG164" i="1"/>
  <c r="BC203" i="1"/>
  <c r="BD203" i="1" s="1"/>
  <c r="BE203" i="1" s="1"/>
  <c r="BF203" i="1" s="1"/>
  <c r="BG335" i="1"/>
  <c r="BG576" i="1"/>
  <c r="BG411" i="1"/>
  <c r="BG583" i="1"/>
  <c r="BG586" i="1"/>
  <c r="BG380" i="1"/>
  <c r="BG493" i="1"/>
  <c r="BG235" i="1"/>
  <c r="BG476" i="1"/>
  <c r="BG254" i="1"/>
  <c r="BG482" i="1"/>
  <c r="BG420" i="1"/>
  <c r="BG426" i="1"/>
  <c r="BG218" i="1"/>
  <c r="BG565" i="1"/>
  <c r="BC170" i="1"/>
  <c r="BD170" i="1" s="1"/>
  <c r="BE170" i="1" s="1"/>
  <c r="BF170" i="1" s="1"/>
  <c r="BG650" i="1"/>
  <c r="BC629" i="1"/>
  <c r="BD629" i="1" s="1"/>
  <c r="BE629" i="1" s="1"/>
  <c r="BF629" i="1" s="1"/>
  <c r="BC336" i="1"/>
  <c r="BD336" i="1" s="1"/>
  <c r="BE336" i="1" s="1"/>
  <c r="BF336" i="1" s="1"/>
  <c r="BG261" i="1"/>
  <c r="BC428" i="1"/>
  <c r="BD428" i="1" s="1"/>
  <c r="BE428" i="1" s="1"/>
  <c r="BF428" i="1" s="1"/>
  <c r="BC452" i="1"/>
  <c r="BD452" i="1" s="1"/>
  <c r="BE452" i="1" s="1"/>
  <c r="BF452" i="1" s="1"/>
  <c r="BG543" i="1"/>
  <c r="BG284" i="1"/>
  <c r="BG137" i="1"/>
  <c r="BG491" i="1"/>
  <c r="BG348" i="1"/>
  <c r="BG108" i="1"/>
  <c r="BG282" i="1"/>
  <c r="BG641" i="1"/>
  <c r="BC602" i="1"/>
  <c r="BD602" i="1" s="1"/>
  <c r="BE602" i="1" s="1"/>
  <c r="BF602" i="1" s="1"/>
  <c r="BG271" i="1"/>
  <c r="BG366" i="1"/>
  <c r="BC127" i="1"/>
  <c r="BD127" i="1" s="1"/>
  <c r="BE127" i="1" s="1"/>
  <c r="BF127" i="1" s="1"/>
  <c r="BG502" i="1"/>
  <c r="BG98" i="1"/>
  <c r="BG253" i="1"/>
  <c r="BC319" i="1"/>
  <c r="BD319" i="1" s="1"/>
  <c r="BE319" i="1" s="1"/>
  <c r="BF319" i="1" s="1"/>
  <c r="BG405" i="1"/>
  <c r="BG151" i="1"/>
  <c r="BG559" i="1"/>
  <c r="BG286" i="1"/>
  <c r="BG481" i="1"/>
  <c r="BC535" i="1"/>
  <c r="BD535" i="1" s="1"/>
  <c r="BE535" i="1" s="1"/>
  <c r="BF535" i="1" s="1"/>
  <c r="BG185" i="1"/>
  <c r="BG471" i="1"/>
  <c r="BC399" i="1"/>
  <c r="BD399" i="1" s="1"/>
  <c r="BE399" i="1" s="1"/>
  <c r="BF399" i="1" s="1"/>
  <c r="BG375" i="1"/>
  <c r="BG479" i="1"/>
  <c r="BC396" i="1"/>
  <c r="BD396" i="1" s="1"/>
  <c r="BE396" i="1" s="1"/>
  <c r="BF396" i="1" s="1"/>
  <c r="BG400" i="1"/>
  <c r="BG561" i="1"/>
  <c r="BG548" i="1"/>
  <c r="BG177" i="1"/>
  <c r="BG469" i="1"/>
  <c r="BG70" i="1"/>
  <c r="BG219" i="1"/>
  <c r="BG580" i="1"/>
  <c r="BC577" i="1"/>
  <c r="BD577" i="1" s="1"/>
  <c r="BE577" i="1" s="1"/>
  <c r="BF577" i="1" s="1"/>
  <c r="BG554" i="1"/>
  <c r="BG427" i="1"/>
  <c r="BG378" i="1"/>
  <c r="BG635" i="1"/>
  <c r="BG332" i="1"/>
  <c r="BG495" i="1"/>
  <c r="BG323" i="1"/>
  <c r="BG260" i="1"/>
  <c r="BG245" i="1"/>
  <c r="BG431" i="1"/>
  <c r="BG627" i="1"/>
  <c r="BG118" i="1"/>
  <c r="BG437" i="1"/>
  <c r="BG544" i="1"/>
  <c r="BG498" i="1"/>
  <c r="BG210" i="1"/>
  <c r="BG327" i="1"/>
  <c r="BC490" i="1"/>
  <c r="BD490" i="1" s="1"/>
  <c r="BE490" i="1" s="1"/>
  <c r="BF490" i="1" s="1"/>
  <c r="BG653" i="1"/>
  <c r="BG660" i="1"/>
  <c r="BG389" i="1"/>
  <c r="BC440" i="1"/>
  <c r="BD440" i="1" s="1"/>
  <c r="BE440" i="1" s="1"/>
  <c r="BF440" i="1" s="1"/>
  <c r="BG646" i="1"/>
  <c r="BC298" i="1"/>
  <c r="BD298" i="1" s="1"/>
  <c r="BE298" i="1" s="1"/>
  <c r="BF298" i="1" s="1"/>
  <c r="BG637" i="1"/>
  <c r="BG240" i="1"/>
  <c r="BG259" i="1"/>
  <c r="BG623" i="1"/>
  <c r="BG566" i="1"/>
  <c r="BG564" i="1"/>
  <c r="BG255" i="1"/>
  <c r="BG391" i="1"/>
  <c r="BG74" i="1"/>
  <c r="BG454" i="1"/>
  <c r="BG550" i="1"/>
  <c r="BG355" i="1"/>
  <c r="BC279" i="1"/>
  <c r="BD279" i="1" s="1"/>
  <c r="BE279" i="1" s="1"/>
  <c r="BF279" i="1" s="1"/>
  <c r="BG166" i="1"/>
  <c r="BG636" i="1"/>
  <c r="BG425" i="1"/>
  <c r="BG236" i="1"/>
  <c r="BG395" i="1"/>
  <c r="BG603" i="1"/>
  <c r="BG485" i="1"/>
  <c r="BC354" i="1"/>
  <c r="BD354" i="1" s="1"/>
  <c r="BE354" i="1" s="1"/>
  <c r="BF354" i="1" s="1"/>
  <c r="BG658" i="1"/>
  <c r="BG460" i="1"/>
  <c r="BG381" i="1"/>
  <c r="BG480" i="1"/>
  <c r="BG492" i="1"/>
  <c r="BG421" i="1"/>
  <c r="BG281" i="1"/>
  <c r="BG274" i="1"/>
  <c r="BG475" i="1"/>
  <c r="BG337" i="1"/>
  <c r="BG512" i="1"/>
  <c r="BG146" i="1"/>
  <c r="BG455" i="1"/>
  <c r="BG457" i="1"/>
  <c r="BG328" i="1"/>
  <c r="BG518" i="1"/>
  <c r="BG442" i="1"/>
  <c r="BG533" i="1"/>
  <c r="BG72" i="1"/>
  <c r="BG614" i="1"/>
  <c r="BG213" i="1"/>
  <c r="BG651" i="1"/>
  <c r="BG517" i="1"/>
  <c r="BC626" i="1"/>
  <c r="BD626" i="1" s="1"/>
  <c r="BE626" i="1" s="1"/>
  <c r="BF626" i="1" s="1"/>
  <c r="BC198" i="1"/>
  <c r="BD198" i="1" s="1"/>
  <c r="BE198" i="1" s="1"/>
  <c r="BF198" i="1" s="1"/>
  <c r="BG333" i="1"/>
  <c r="BG278" i="1"/>
  <c r="BG412" i="1"/>
  <c r="BG585" i="1"/>
  <c r="BG467" i="1"/>
  <c r="BG234" i="1"/>
  <c r="BG640" i="1"/>
  <c r="BG555" i="1"/>
  <c r="BG462" i="1"/>
  <c r="BG499" i="1"/>
  <c r="BG174" i="1"/>
  <c r="BC174" i="1"/>
  <c r="BD174" i="1" s="1"/>
  <c r="BE174" i="1" s="1"/>
  <c r="BF174" i="1" s="1"/>
  <c r="BG611" i="1"/>
  <c r="BG252" i="1"/>
  <c r="BG524" i="1"/>
  <c r="BG501" i="1"/>
  <c r="BG393" i="1"/>
  <c r="BC537" i="1"/>
  <c r="BD537" i="1" s="1"/>
  <c r="BE537" i="1" s="1"/>
  <c r="BF537" i="1" s="1"/>
  <c r="BG622" i="1"/>
  <c r="BG598" i="1"/>
  <c r="BG251" i="1"/>
  <c r="BG530" i="1"/>
  <c r="BC591" i="1"/>
  <c r="BD591" i="1" s="1"/>
  <c r="BE591" i="1" s="1"/>
  <c r="BF591" i="1" s="1"/>
  <c r="BG258" i="1"/>
  <c r="BG95" i="1"/>
  <c r="BG608" i="1"/>
  <c r="BG309" i="1"/>
  <c r="BG521" i="1"/>
  <c r="BC606" i="1"/>
  <c r="BD606" i="1" s="1"/>
  <c r="BE606" i="1" s="1"/>
  <c r="BF606" i="1" s="1"/>
  <c r="BG528" i="1"/>
  <c r="BG567" i="1"/>
  <c r="BG430" i="1"/>
  <c r="BG320" i="1"/>
  <c r="BG516" i="1"/>
  <c r="BG540" i="1"/>
  <c r="BG196" i="1"/>
  <c r="BG569" i="1"/>
  <c r="BG592" i="1"/>
  <c r="BC595" i="1"/>
  <c r="BD595" i="1" s="1"/>
  <c r="BE595" i="1" s="1"/>
  <c r="BF595" i="1" s="1"/>
  <c r="BG314" i="1"/>
  <c r="BG142" i="1"/>
  <c r="BG362" i="1"/>
  <c r="BG505" i="1"/>
  <c r="BG370" i="1"/>
  <c r="BG291" i="1"/>
  <c r="BG148" i="1"/>
  <c r="BG386" i="1"/>
  <c r="BG184" i="1"/>
  <c r="BG600" i="1"/>
  <c r="BG617" i="1"/>
  <c r="BG510" i="1"/>
  <c r="BC303" i="1"/>
  <c r="BD303" i="1" s="1"/>
  <c r="BE303" i="1" s="1"/>
  <c r="BF303" i="1" s="1"/>
  <c r="BG303" i="1"/>
  <c r="BG434" i="1"/>
  <c r="BC434" i="1"/>
  <c r="BD434" i="1" s="1"/>
  <c r="BE434" i="1" s="1"/>
  <c r="BF434" i="1" s="1"/>
  <c r="BG167" i="1"/>
  <c r="BG597" i="1"/>
  <c r="BG607" i="1"/>
  <c r="BG330" i="1"/>
  <c r="BG349" i="1"/>
  <c r="BG616" i="1"/>
  <c r="BG385" i="1"/>
  <c r="BG273" i="1"/>
  <c r="BG302" i="1"/>
  <c r="BC609" i="1"/>
  <c r="BD609" i="1" s="1"/>
  <c r="BE609" i="1" s="1"/>
  <c r="BF609" i="1" s="1"/>
  <c r="BC419" i="1"/>
  <c r="BD419" i="1" s="1"/>
  <c r="BE419" i="1" s="1"/>
  <c r="BF419" i="1" s="1"/>
  <c r="BG182" i="1"/>
  <c r="BC477" i="1"/>
  <c r="BD477" i="1" s="1"/>
  <c r="BE477" i="1" s="1"/>
  <c r="BF477" i="1" s="1"/>
  <c r="BG368" i="1"/>
  <c r="BC473" i="1"/>
  <c r="BD473" i="1" s="1"/>
  <c r="BE473" i="1" s="1"/>
  <c r="BF473" i="1" s="1"/>
  <c r="BG283" i="1"/>
  <c r="BG280" i="1"/>
  <c r="BG664" i="1"/>
  <c r="BG532" i="1"/>
  <c r="BG549" i="1"/>
  <c r="BG209" i="1"/>
  <c r="BG190" i="1"/>
  <c r="BG575" i="1"/>
  <c r="BG157" i="1"/>
  <c r="BG172" i="1"/>
  <c r="BC483" i="1"/>
  <c r="BD483" i="1" s="1"/>
  <c r="BE483" i="1" s="1"/>
  <c r="BF483" i="1" s="1"/>
  <c r="BG67" i="1"/>
  <c r="BG263" i="1"/>
  <c r="BC161" i="1"/>
  <c r="BD161" i="1" s="1"/>
  <c r="BE161" i="1" s="1"/>
  <c r="BF161" i="1" s="1"/>
  <c r="BG161" i="1"/>
  <c r="BC547" i="1"/>
  <c r="BD547" i="1" s="1"/>
  <c r="BE547" i="1" s="1"/>
  <c r="BF547" i="1" s="1"/>
  <c r="BG547" i="1"/>
  <c r="BC503" i="1"/>
  <c r="BD503" i="1" s="1"/>
  <c r="BE503" i="1" s="1"/>
  <c r="BF503" i="1" s="1"/>
  <c r="BC163" i="1"/>
  <c r="BD163" i="1" s="1"/>
  <c r="BE163" i="1" s="1"/>
  <c r="BF163" i="1" s="1"/>
  <c r="BG163" i="1"/>
  <c r="BG106" i="1"/>
  <c r="BC438" i="1"/>
  <c r="BD438" i="1" s="1"/>
  <c r="BE438" i="1" s="1"/>
  <c r="BF438" i="1" s="1"/>
  <c r="BC365" i="1"/>
  <c r="BD365" i="1" s="1"/>
  <c r="BE365" i="1" s="1"/>
  <c r="BF365" i="1" s="1"/>
  <c r="BG359" i="1"/>
  <c r="BG413" i="1"/>
  <c r="BG570" i="1"/>
  <c r="BG194" i="1"/>
  <c r="BG552" i="1"/>
  <c r="BG416" i="1"/>
  <c r="BG584" i="1"/>
  <c r="BG456" i="1"/>
  <c r="BG536" i="1"/>
  <c r="BG171" i="1"/>
  <c r="BG388" i="1"/>
  <c r="BC207" i="1"/>
  <c r="BD207" i="1" s="1"/>
  <c r="BE207" i="1" s="1"/>
  <c r="BF207" i="1" s="1"/>
  <c r="BC160" i="1"/>
  <c r="BD160" i="1" s="1"/>
  <c r="BE160" i="1" s="1"/>
  <c r="BF160" i="1" s="1"/>
  <c r="BG160" i="1"/>
  <c r="BC628" i="1"/>
  <c r="BD628" i="1" s="1"/>
  <c r="BE628" i="1" s="1"/>
  <c r="BF628" i="1" s="1"/>
  <c r="BC129" i="1"/>
  <c r="BD129" i="1" s="1"/>
  <c r="BE129" i="1" s="1"/>
  <c r="BF129" i="1" s="1"/>
  <c r="BC596" i="1"/>
  <c r="BD596" i="1" s="1"/>
  <c r="BE596" i="1" s="1"/>
  <c r="BF596" i="1" s="1"/>
  <c r="BG289" i="1"/>
  <c r="BG593" i="1"/>
  <c r="BC225" i="1"/>
  <c r="BD225" i="1" s="1"/>
  <c r="BE225" i="1" s="1"/>
  <c r="BF225" i="1" s="1"/>
  <c r="BG225" i="1"/>
  <c r="BC414" i="1"/>
  <c r="BD414" i="1" s="1"/>
  <c r="BE414" i="1" s="1"/>
  <c r="BF414" i="1" s="1"/>
  <c r="BG414" i="1"/>
  <c r="BC659" i="1"/>
  <c r="BD659" i="1" s="1"/>
  <c r="BE659" i="1" s="1"/>
  <c r="BF659" i="1" s="1"/>
  <c r="BG659" i="1"/>
  <c r="BC169" i="1"/>
  <c r="BD169" i="1" s="1"/>
  <c r="BE169" i="1" s="1"/>
  <c r="BF169" i="1" s="1"/>
  <c r="BG169" i="1"/>
  <c r="BG486" i="1"/>
  <c r="BG247" i="1"/>
  <c r="BG402" i="1"/>
  <c r="BG138" i="1"/>
  <c r="BG120" i="1"/>
  <c r="BG643" i="1"/>
  <c r="BG285" i="1"/>
  <c r="BG633" i="1"/>
  <c r="BG276" i="1"/>
  <c r="BC360" i="1"/>
  <c r="BD360" i="1" s="1"/>
  <c r="BE360" i="1" s="1"/>
  <c r="BF360" i="1" s="1"/>
  <c r="BG360" i="1"/>
  <c r="BC239" i="1"/>
  <c r="BD239" i="1" s="1"/>
  <c r="BE239" i="1" s="1"/>
  <c r="BF239" i="1" s="1"/>
  <c r="BG233" i="1"/>
  <c r="BG642" i="1"/>
  <c r="BG506" i="1"/>
  <c r="BG342" i="1"/>
  <c r="BC519" i="1"/>
  <c r="BD519" i="1" s="1"/>
  <c r="BE519" i="1" s="1"/>
  <c r="BF519" i="1" s="1"/>
  <c r="BG519" i="1"/>
  <c r="BC340" i="1"/>
  <c r="BD340" i="1" s="1"/>
  <c r="BE340" i="1" s="1"/>
  <c r="BF340" i="1" s="1"/>
  <c r="BG340" i="1"/>
  <c r="BC401" i="1"/>
  <c r="BD401" i="1" s="1"/>
  <c r="BE401" i="1" s="1"/>
  <c r="BF401" i="1" s="1"/>
  <c r="BG401" i="1"/>
  <c r="BG312" i="1"/>
  <c r="BG500" i="1"/>
  <c r="BG358" i="1"/>
  <c r="BG321" i="1"/>
  <c r="BG451" i="1"/>
  <c r="BG257" i="1"/>
  <c r="BG463" i="1"/>
  <c r="BC463" i="1"/>
  <c r="BD463" i="1" s="1"/>
  <c r="BE463" i="1" s="1"/>
  <c r="BF463" i="1" s="1"/>
  <c r="BG77" i="1"/>
  <c r="BG408" i="1"/>
  <c r="BG487" i="1"/>
  <c r="BG277" i="1"/>
  <c r="BG604" i="1"/>
  <c r="BG613" i="1"/>
  <c r="BC652" i="1"/>
  <c r="BD652" i="1" s="1"/>
  <c r="BE652" i="1" s="1"/>
  <c r="BF652" i="1" s="1"/>
  <c r="BG652" i="1"/>
  <c r="BG666" i="1"/>
  <c r="BG307" i="1"/>
  <c r="BG625" i="1"/>
  <c r="BC496" i="1"/>
  <c r="BD496" i="1" s="1"/>
  <c r="BE496" i="1" s="1"/>
  <c r="BF496" i="1" s="1"/>
  <c r="BG496" i="1"/>
  <c r="BC324" i="1"/>
  <c r="BD324" i="1" s="1"/>
  <c r="BE324" i="1" s="1"/>
  <c r="BF324" i="1" s="1"/>
  <c r="BG324" i="1"/>
  <c r="BG474" i="1"/>
  <c r="BG529" i="1"/>
  <c r="BG589" i="1"/>
  <c r="BG410" i="1"/>
  <c r="BG446" i="1"/>
  <c r="BG237" i="1"/>
  <c r="BG377" i="1"/>
  <c r="BG227" i="1" l="1"/>
  <c r="BG243" i="1"/>
  <c r="BG270" i="1"/>
  <c r="BC299" i="1"/>
  <c r="BD299" i="1" s="1"/>
  <c r="BE299" i="1" s="1"/>
  <c r="BF299" i="1" s="1"/>
  <c r="BG140" i="1"/>
  <c r="BG545" i="1"/>
  <c r="BG542" i="1"/>
  <c r="BG343" i="1"/>
  <c r="BG484" i="1"/>
  <c r="BG538" i="1"/>
  <c r="BG155" i="1"/>
  <c r="BG621" i="1"/>
  <c r="BC520" i="1"/>
  <c r="BD520" i="1" s="1"/>
  <c r="BE520" i="1" s="1"/>
  <c r="BF520" i="1" s="1"/>
  <c r="BG297" i="1"/>
  <c r="BG546" i="1"/>
  <c r="BC541" i="1"/>
  <c r="BD541" i="1" s="1"/>
  <c r="BE541" i="1" s="1"/>
  <c r="BF541" i="1" s="1"/>
  <c r="BG619" i="1"/>
  <c r="BG318" i="1"/>
  <c r="BG466" i="1"/>
  <c r="BG513" i="1"/>
  <c r="BG187" i="1"/>
  <c r="BG645" i="1"/>
  <c r="BG232" i="1"/>
  <c r="BG403" i="1"/>
  <c r="BG392" i="1"/>
  <c r="BG527" i="1"/>
  <c r="BG384" i="1"/>
  <c r="BG350" i="1"/>
  <c r="BG579" i="1"/>
  <c r="BG153" i="1"/>
  <c r="BG117" i="1"/>
  <c r="BG144" i="1"/>
  <c r="BG94" i="1"/>
  <c r="BG344" i="1"/>
  <c r="BG329" i="1"/>
  <c r="BG290" i="1"/>
  <c r="BG345" i="1"/>
  <c r="BG489" i="1"/>
  <c r="BG522" i="1"/>
  <c r="BG322" i="1"/>
  <c r="BC363" i="1"/>
  <c r="BD363" i="1" s="1"/>
  <c r="BE363" i="1" s="1"/>
  <c r="BF363" i="1" s="1"/>
  <c r="BG478" i="1"/>
  <c r="BC504" i="1"/>
  <c r="BD504" i="1" s="1"/>
  <c r="BE504" i="1" s="1"/>
  <c r="BF504" i="1" s="1"/>
  <c r="BC78" i="1"/>
  <c r="BD78" i="1" s="1"/>
  <c r="BE78" i="1" s="1"/>
  <c r="BF78" i="1" s="1"/>
  <c r="BG83" i="1"/>
  <c r="BG112" i="1"/>
  <c r="BG143" i="1"/>
  <c r="BG387" i="1"/>
  <c r="BG568" i="1"/>
  <c r="BG394" i="1"/>
  <c r="BG448" i="1"/>
  <c r="BG562" i="1"/>
  <c r="BG509" i="1"/>
  <c r="BC128" i="1"/>
  <c r="BD128" i="1" s="1"/>
  <c r="BE128" i="1" s="1"/>
  <c r="BF128" i="1" s="1"/>
  <c r="BG662" i="1"/>
  <c r="BG429" i="1"/>
  <c r="BG111" i="1"/>
  <c r="BG468" i="1"/>
  <c r="BC436" i="1"/>
  <c r="BD436" i="1" s="1"/>
  <c r="BE436" i="1" s="1"/>
  <c r="BF436" i="1" s="1"/>
  <c r="BC266" i="1"/>
  <c r="BD266" i="1" s="1"/>
  <c r="BE266" i="1" s="1"/>
  <c r="BF266" i="1" s="1"/>
  <c r="BG371" i="1"/>
  <c r="BG507" i="1"/>
  <c r="BG433" i="1"/>
  <c r="BG317" i="1"/>
  <c r="BG415" i="1"/>
  <c r="BG356" i="1"/>
  <c r="BC376" i="1"/>
  <c r="BD376" i="1" s="1"/>
  <c r="BE376" i="1" s="1"/>
  <c r="BF376" i="1" s="1"/>
  <c r="BG158" i="1"/>
  <c r="BG105" i="1"/>
  <c r="BG88" i="1"/>
  <c r="BG104" i="1"/>
  <c r="BG202" i="1"/>
  <c r="BC432" i="1"/>
  <c r="BD432" i="1" s="1"/>
  <c r="BE432" i="1" s="1"/>
  <c r="BF432" i="1" s="1"/>
  <c r="BC630" i="1"/>
  <c r="BD630" i="1" s="1"/>
  <c r="BE630" i="1" s="1"/>
  <c r="BF630" i="1" s="1"/>
  <c r="BG404" i="1"/>
  <c r="BG353" i="1"/>
  <c r="BG367" i="1"/>
  <c r="BC341" i="1"/>
  <c r="BD341" i="1" s="1"/>
  <c r="BE341" i="1" s="1"/>
  <c r="BF341" i="1" s="1"/>
  <c r="BG222" i="1"/>
  <c r="BG208" i="1"/>
  <c r="BG179" i="1"/>
  <c r="BG458" i="1"/>
  <c r="BG443" i="1"/>
  <c r="BG121" i="1"/>
  <c r="BG272" i="1"/>
  <c r="BG464" i="1"/>
  <c r="BC293" i="1"/>
  <c r="BD293" i="1" s="1"/>
  <c r="BE293" i="1" s="1"/>
  <c r="BF293" i="1" s="1"/>
  <c r="BG383" i="1"/>
  <c r="BG256" i="1"/>
  <c r="BG610" i="1"/>
  <c r="BG488" i="1"/>
  <c r="BG423" i="1"/>
  <c r="BG294" i="1"/>
  <c r="BG531" i="1"/>
  <c r="BC325" i="1"/>
  <c r="BD325" i="1" s="1"/>
  <c r="BE325" i="1" s="1"/>
  <c r="BF325" i="1" s="1"/>
  <c r="BG556" i="1"/>
  <c r="BG465" i="1"/>
  <c r="BG93" i="1"/>
  <c r="BG119" i="1"/>
  <c r="BG215" i="1"/>
  <c r="BG176" i="1"/>
  <c r="BG304" i="1"/>
  <c r="BC648" i="1"/>
  <c r="BD648" i="1" s="1"/>
  <c r="BE648" i="1" s="1"/>
  <c r="BF648" i="1" s="1"/>
  <c r="BG497" i="1"/>
  <c r="BG206" i="1"/>
  <c r="BG114" i="1"/>
  <c r="BG125" i="1"/>
  <c r="E6" i="1"/>
  <c r="DO2" i="1" s="1"/>
  <c r="BG601" i="1"/>
  <c r="BG346" i="1"/>
  <c r="BG134" i="1"/>
  <c r="BG511" i="1"/>
  <c r="BG347" i="1"/>
  <c r="BG587" i="1"/>
  <c r="BG84" i="1"/>
  <c r="BG288" i="1"/>
  <c r="BG397" i="1"/>
  <c r="BG373" i="1"/>
  <c r="BC515" i="1"/>
  <c r="BD515" i="1" s="1"/>
  <c r="BE515" i="1" s="1"/>
  <c r="BF515" i="1" s="1"/>
  <c r="BG447" i="1"/>
  <c r="BG364" i="1"/>
  <c r="BG195" i="1"/>
  <c r="BG159" i="1"/>
  <c r="BG181" i="1"/>
  <c r="BG300" i="1"/>
  <c r="BG154" i="1"/>
  <c r="BG173" i="1"/>
  <c r="BG647" i="1"/>
  <c r="BC605" i="1"/>
  <c r="BD605" i="1" s="1"/>
  <c r="BE605" i="1" s="1"/>
  <c r="BF605" i="1" s="1"/>
  <c r="BG211" i="1"/>
  <c r="BG615" i="1"/>
  <c r="BG618" i="1"/>
  <c r="BG313" i="1"/>
  <c r="BC655" i="1"/>
  <c r="BD655" i="1" s="1"/>
  <c r="BE655" i="1" s="1"/>
  <c r="BF655" i="1" s="1"/>
  <c r="BG526" i="1"/>
  <c r="BG582" i="1"/>
  <c r="BG418" i="1"/>
  <c r="BG573" i="1"/>
  <c r="BG220" i="1"/>
  <c r="BG96" i="1"/>
  <c r="BG306" i="1"/>
  <c r="BG81" i="1"/>
  <c r="BG75" i="1"/>
  <c r="BG168" i="1"/>
  <c r="BG229" i="1"/>
  <c r="BG574" i="1"/>
  <c r="BG422" i="1"/>
  <c r="M2" i="1"/>
  <c r="M4" i="1" s="1"/>
  <c r="BG599" i="1"/>
  <c r="BG230" i="1"/>
  <c r="BG141" i="1"/>
  <c r="BG563" i="1"/>
  <c r="BG147" i="1"/>
  <c r="BC572" i="1"/>
  <c r="BD572" i="1" s="1"/>
  <c r="BE572" i="1" s="1"/>
  <c r="BF572" i="1" s="1"/>
  <c r="BG588" i="1"/>
  <c r="BC665" i="1"/>
  <c r="BD665" i="1" s="1"/>
  <c r="BE665" i="1" s="1"/>
  <c r="BF665" i="1" s="1"/>
  <c r="BC250" i="1"/>
  <c r="BD250" i="1" s="1"/>
  <c r="BE250" i="1" s="1"/>
  <c r="BF250" i="1" s="1"/>
  <c r="BG578" i="1"/>
  <c r="BG441" i="1"/>
  <c r="BG100" i="1"/>
  <c r="BG85" i="1"/>
  <c r="BG624" i="1"/>
  <c r="BG244" i="1"/>
  <c r="BG221" i="1"/>
  <c r="BG228" i="1"/>
  <c r="BG191" i="1"/>
  <c r="BG351" i="1"/>
  <c r="BC444" i="1"/>
  <c r="BD444" i="1" s="1"/>
  <c r="BE444" i="1" s="1"/>
  <c r="BF444" i="1" s="1"/>
  <c r="E14" i="1"/>
  <c r="DW2" i="1" s="1"/>
  <c r="BG339" i="1"/>
  <c r="BG450" i="1"/>
  <c r="BG571" i="1"/>
  <c r="BG139" i="1"/>
  <c r="BG216" i="1"/>
  <c r="BG407" i="1"/>
  <c r="BG292" i="1"/>
  <c r="BG200" i="1"/>
  <c r="BC264" i="1"/>
  <c r="BD264" i="1" s="1"/>
  <c r="BE264" i="1" s="1"/>
  <c r="BF264" i="1" s="1"/>
  <c r="BG76" i="1"/>
  <c r="BG590" i="1"/>
  <c r="BG192" i="1"/>
  <c r="BG90" i="1"/>
  <c r="BG334" i="1"/>
  <c r="BG326" i="1"/>
  <c r="BC525" i="1"/>
  <c r="BD525" i="1" s="1"/>
  <c r="BE525" i="1" s="1"/>
  <c r="BF525" i="1" s="1"/>
  <c r="BG525" i="1"/>
  <c r="BG287" i="1"/>
  <c r="BG560" i="1"/>
  <c r="BG534" i="1"/>
  <c r="BG369" i="1"/>
  <c r="BG69" i="1"/>
  <c r="BC199" i="1"/>
  <c r="BD199" i="1" s="1"/>
  <c r="BE199" i="1" s="1"/>
  <c r="BF199" i="1" s="1"/>
  <c r="BC594" i="1"/>
  <c r="BD594" i="1" s="1"/>
  <c r="BE594" i="1" s="1"/>
  <c r="BF594" i="1" s="1"/>
  <c r="BG594" i="1"/>
  <c r="BG122" i="1"/>
  <c r="BG649" i="1"/>
  <c r="BC193" i="1"/>
  <c r="BD193" i="1" s="1"/>
  <c r="BE193" i="1" s="1"/>
  <c r="BF193" i="1" s="1"/>
  <c r="BG193" i="1"/>
  <c r="BC178" i="1"/>
  <c r="BD178" i="1" s="1"/>
  <c r="BE178" i="1" s="1"/>
  <c r="BF178" i="1" s="1"/>
  <c r="BG178" i="1"/>
  <c r="BC663" i="1"/>
  <c r="BD663" i="1" s="1"/>
  <c r="BE663" i="1" s="1"/>
  <c r="BF663" i="1" s="1"/>
  <c r="BG558" i="1"/>
  <c r="E7" i="1"/>
  <c r="DP2" i="1" s="1"/>
  <c r="BC620" i="1"/>
  <c r="BD620" i="1" s="1"/>
  <c r="BE620" i="1" s="1"/>
  <c r="BF620" i="1" s="1"/>
  <c r="BG620" i="1"/>
  <c r="BG494" i="1"/>
  <c r="BG136" i="1"/>
  <c r="BC224" i="1"/>
  <c r="BD224" i="1" s="1"/>
  <c r="BE224" i="1" s="1"/>
  <c r="BF224" i="1" s="1"/>
  <c r="BG224" i="1"/>
  <c r="F8" i="1"/>
  <c r="DQ3" i="1" s="1"/>
  <c r="BC248" i="1"/>
  <c r="BD248" i="1" s="1"/>
  <c r="BE248" i="1" s="1"/>
  <c r="BF248" i="1" s="1"/>
  <c r="BG248" i="1"/>
  <c r="BG435" i="1"/>
  <c r="BG150" i="1"/>
  <c r="F7" i="1" l="1"/>
  <c r="DP3" i="1" s="1"/>
  <c r="P2" i="1"/>
  <c r="P3" i="1" s="1"/>
  <c r="M3" i="1"/>
  <c r="AY606" i="1"/>
  <c r="F14" i="1"/>
  <c r="F5" i="1" s="1"/>
  <c r="DN3" i="1" s="1"/>
  <c r="E5" i="1"/>
  <c r="DN2" i="1" s="1"/>
  <c r="AZ414" i="1"/>
  <c r="AY643" i="1"/>
  <c r="F6" i="1"/>
  <c r="DO3" i="1" s="1"/>
  <c r="AZ340" i="1"/>
  <c r="AY524" i="1"/>
  <c r="AY281" i="1"/>
  <c r="AY125" i="1"/>
  <c r="AY435" i="1"/>
  <c r="P4" i="1"/>
  <c r="BI276" i="1" s="1"/>
  <c r="AY67" i="1"/>
  <c r="AY318" i="1"/>
  <c r="AY602" i="1"/>
  <c r="AZ324" i="1"/>
  <c r="AZ489" i="1"/>
  <c r="AZ579" i="1"/>
  <c r="AZ68" i="1"/>
  <c r="AZ466" i="1"/>
  <c r="AY423" i="1"/>
  <c r="AY149" i="1"/>
  <c r="AY363" i="1"/>
  <c r="AZ394" i="1"/>
  <c r="AY255" i="1"/>
  <c r="AY219" i="1"/>
  <c r="AZ622" i="1"/>
  <c r="AY567" i="1"/>
  <c r="AZ608" i="1"/>
  <c r="AY198" i="1"/>
  <c r="AY197" i="1"/>
  <c r="AZ505" i="1"/>
  <c r="AY259" i="1"/>
  <c r="AY580" i="1"/>
  <c r="AZ278" i="1"/>
  <c r="AY391" i="1"/>
  <c r="AZ154" i="1"/>
  <c r="AY315" i="1"/>
  <c r="AZ178" i="1"/>
  <c r="AY204" i="1"/>
  <c r="AZ328" i="1"/>
  <c r="AY214" i="1"/>
  <c r="AY343" i="1"/>
  <c r="AZ187" i="1"/>
  <c r="AY68" i="1"/>
  <c r="AZ564" i="1"/>
  <c r="AY628" i="1"/>
  <c r="AZ479" i="1"/>
  <c r="AZ318" i="1"/>
  <c r="AZ458" i="1"/>
  <c r="AY285" i="1"/>
  <c r="AZ215" i="1"/>
  <c r="AZ160" i="1"/>
  <c r="AY553" i="1"/>
  <c r="AZ632" i="1"/>
  <c r="AY106" i="1"/>
  <c r="AZ334" i="1"/>
  <c r="AZ151" i="1"/>
  <c r="AZ619" i="1"/>
  <c r="AY470" i="1"/>
  <c r="AZ566" i="1"/>
  <c r="AZ421" i="1"/>
  <c r="AY175" i="1"/>
  <c r="AY360" i="1"/>
  <c r="AY239" i="1"/>
  <c r="AZ180" i="1"/>
  <c r="AY419" i="1"/>
  <c r="AZ196" i="1"/>
  <c r="AY128" i="1"/>
  <c r="AY283" i="1"/>
  <c r="AY376" i="1"/>
  <c r="AZ229" i="1"/>
  <c r="AZ393" i="1"/>
  <c r="AZ447" i="1"/>
  <c r="AY495" i="1"/>
  <c r="AZ115" i="1"/>
  <c r="AZ559" i="1"/>
  <c r="AY636" i="1"/>
  <c r="AY623" i="1"/>
  <c r="AY461" i="1"/>
  <c r="AZ606" i="1"/>
  <c r="AZ405" i="1"/>
  <c r="AZ612" i="1"/>
  <c r="AY245" i="1"/>
  <c r="AZ478" i="1"/>
  <c r="AY141" i="1"/>
  <c r="AZ97" i="1"/>
  <c r="AY562" i="1"/>
  <c r="AZ454" i="1"/>
  <c r="AZ159" i="1"/>
  <c r="AZ210" i="1"/>
  <c r="AY411" i="1"/>
  <c r="AY169" i="1"/>
  <c r="AY110" i="1"/>
  <c r="AZ164" i="1"/>
  <c r="AZ558" i="1"/>
  <c r="AY453" i="1"/>
  <c r="AY413" i="1"/>
  <c r="AZ628" i="1"/>
  <c r="AY155" i="1"/>
  <c r="AY331" i="1"/>
  <c r="AY191" i="1"/>
  <c r="AY365" i="1"/>
  <c r="AY87" i="1"/>
  <c r="AY449" i="1"/>
  <c r="AY469" i="1"/>
  <c r="AY576" i="1"/>
  <c r="AY293" i="1"/>
  <c r="AY621" i="1"/>
  <c r="AY372" i="1"/>
  <c r="AY414" i="1"/>
  <c r="AZ67" i="1"/>
  <c r="AY545" i="1"/>
  <c r="AY503" i="1"/>
  <c r="AY298" i="1"/>
  <c r="AY502" i="1"/>
  <c r="AZ221" i="1"/>
  <c r="AY301" i="1"/>
  <c r="AZ431" i="1"/>
  <c r="AZ561" i="1"/>
  <c r="AY516" i="1"/>
  <c r="AZ432" i="1"/>
  <c r="AY165" i="1"/>
  <c r="AZ648" i="1"/>
  <c r="AZ407" i="1"/>
  <c r="AY151" i="1"/>
  <c r="AY472" i="1"/>
  <c r="AZ434" i="1"/>
  <c r="AY223" i="1"/>
  <c r="AZ138" i="1"/>
  <c r="AY350" i="1"/>
  <c r="AY243" i="1"/>
  <c r="AY218" i="1"/>
  <c r="AZ560" i="1"/>
  <c r="AY633" i="1"/>
  <c r="AY336" i="1"/>
  <c r="AZ72" i="1"/>
  <c r="AY597" i="1"/>
  <c r="AY601" i="1"/>
  <c r="AY323" i="1"/>
  <c r="AY222" i="1"/>
  <c r="AZ137" i="1"/>
  <c r="AZ104" i="1"/>
  <c r="AY359" i="1"/>
  <c r="AZ609" i="1"/>
  <c r="AY492" i="1"/>
  <c r="AZ493" i="1"/>
  <c r="AZ630" i="1"/>
  <c r="AZ226" i="1"/>
  <c r="AY299" i="1"/>
  <c r="AY316" i="1"/>
  <c r="AY609" i="1"/>
  <c r="AY147" i="1"/>
  <c r="AY373" i="1"/>
  <c r="AZ309" i="1"/>
  <c r="AZ191" i="1"/>
  <c r="AZ174" i="1"/>
  <c r="AY532" i="1"/>
  <c r="AZ429" i="1"/>
  <c r="AZ350" i="1"/>
  <c r="AZ584" i="1"/>
  <c r="AY324" i="1"/>
  <c r="AZ184" i="1"/>
  <c r="AY604" i="1"/>
  <c r="AY584" i="1"/>
  <c r="AZ230" i="1"/>
  <c r="AY75" i="1"/>
  <c r="AZ420" i="1"/>
  <c r="AZ288" i="1"/>
  <c r="AY181" i="1"/>
  <c r="AZ633" i="1"/>
  <c r="AY348" i="1"/>
  <c r="AZ162" i="1"/>
  <c r="AZ538" i="1"/>
  <c r="AZ582" i="1"/>
  <c r="AY265" i="1"/>
  <c r="AZ110" i="1"/>
  <c r="AY575" i="1"/>
  <c r="AZ188" i="1"/>
  <c r="AZ335" i="1"/>
  <c r="AZ666" i="1"/>
  <c r="AZ273" i="1"/>
  <c r="AZ533" i="1"/>
  <c r="AY134" i="1"/>
  <c r="AY207" i="1"/>
  <c r="AY275" i="1"/>
  <c r="AY131" i="1"/>
  <c r="AY556" i="1"/>
  <c r="AZ181" i="1"/>
  <c r="AY268" i="1"/>
  <c r="AZ92" i="1"/>
  <c r="AZ644" i="1"/>
  <c r="AY333" i="1"/>
  <c r="AZ436" i="1"/>
  <c r="AZ336" i="1"/>
  <c r="AZ319" i="1"/>
  <c r="AY382" i="1"/>
  <c r="AZ378" i="1"/>
  <c r="AZ130" i="1"/>
  <c r="AZ274" i="1"/>
  <c r="AZ128" i="1"/>
  <c r="AY74" i="1"/>
  <c r="AY445" i="1"/>
  <c r="AY69" i="1"/>
  <c r="BI494" i="1"/>
  <c r="BH568" i="1"/>
  <c r="BI144" i="1"/>
  <c r="BH511" i="1"/>
  <c r="BH280" i="1"/>
  <c r="BI620" i="1"/>
  <c r="BH526" i="1"/>
  <c r="BH446" i="1"/>
  <c r="BH624" i="1"/>
  <c r="BH503" i="1"/>
  <c r="BI294" i="1"/>
  <c r="BH135" i="1"/>
  <c r="BH77" i="1"/>
  <c r="BI113" i="1"/>
  <c r="BH620" i="1"/>
  <c r="BI251" i="1"/>
  <c r="BI77" i="1"/>
  <c r="BI644" i="1"/>
  <c r="BH235" i="1"/>
  <c r="BH637" i="1"/>
  <c r="BH162" i="1"/>
  <c r="BI516" i="1"/>
  <c r="BH199" i="1"/>
  <c r="BH148" i="1"/>
  <c r="BI574" i="1"/>
  <c r="BH647" i="1"/>
  <c r="BI417" i="1"/>
  <c r="BH230" i="1"/>
  <c r="BH284" i="1"/>
  <c r="BI601" i="1"/>
  <c r="BI216" i="1"/>
  <c r="BI103" i="1"/>
  <c r="BI210" i="1"/>
  <c r="BH139" i="1"/>
  <c r="BI589" i="1"/>
  <c r="BI184" i="1"/>
  <c r="BI586" i="1"/>
  <c r="BI539" i="1"/>
  <c r="AZ220" i="1" l="1"/>
  <c r="AZ573" i="1"/>
  <c r="AY193" i="1"/>
  <c r="AZ112" i="1"/>
  <c r="AY308" i="1"/>
  <c r="AZ553" i="1"/>
  <c r="AY620" i="1"/>
  <c r="AY319" i="1"/>
  <c r="AY534" i="1"/>
  <c r="AY434" i="1"/>
  <c r="AY401" i="1"/>
  <c r="AZ390" i="1"/>
  <c r="AY566" i="1"/>
  <c r="AY369" i="1"/>
  <c r="AY405" i="1"/>
  <c r="AZ86" i="1"/>
  <c r="AY508" i="1"/>
  <c r="AZ263" i="1"/>
  <c r="AZ228" i="1"/>
  <c r="AY180" i="1"/>
  <c r="AZ90" i="1"/>
  <c r="AZ201" i="1"/>
  <c r="AY89" i="1"/>
  <c r="AY561" i="1"/>
  <c r="AZ225" i="1"/>
  <c r="AZ70" i="1"/>
  <c r="AZ660" i="1"/>
  <c r="AZ270" i="1"/>
  <c r="AZ548" i="1"/>
  <c r="AZ469" i="1"/>
  <c r="AZ83" i="1"/>
  <c r="AZ247" i="1"/>
  <c r="AZ638" i="1"/>
  <c r="AZ347" i="1"/>
  <c r="AZ413" i="1"/>
  <c r="AY585" i="1"/>
  <c r="AZ543" i="1"/>
  <c r="AZ123" i="1"/>
  <c r="AZ105" i="1"/>
  <c r="AY489" i="1"/>
  <c r="AZ527" i="1"/>
  <c r="AY467" i="1"/>
  <c r="AY512" i="1"/>
  <c r="AY641" i="1"/>
  <c r="AZ649" i="1"/>
  <c r="AY387" i="1"/>
  <c r="AY260" i="1"/>
  <c r="AY158" i="1"/>
  <c r="AY152" i="1"/>
  <c r="AZ95" i="1"/>
  <c r="AY596" i="1"/>
  <c r="AZ423" i="1"/>
  <c r="AZ134" i="1"/>
  <c r="AZ362" i="1"/>
  <c r="AY92" i="1"/>
  <c r="AY79" i="1"/>
  <c r="AY98" i="1"/>
  <c r="AY179" i="1"/>
  <c r="AZ264" i="1"/>
  <c r="AY116" i="1"/>
  <c r="AY395" i="1"/>
  <c r="AZ369" i="1"/>
  <c r="AZ361" i="1"/>
  <c r="AY572" i="1"/>
  <c r="AY540" i="1"/>
  <c r="AY196" i="1"/>
  <c r="AZ515" i="1"/>
  <c r="AY579" i="1"/>
  <c r="AY137" i="1"/>
  <c r="AY144" i="1"/>
  <c r="AZ449" i="1"/>
  <c r="AZ146" i="1"/>
  <c r="AY280" i="1"/>
  <c r="AY611" i="1"/>
  <c r="AY542" i="1"/>
  <c r="AY402" i="1"/>
  <c r="AZ276" i="1"/>
  <c r="AZ453" i="1"/>
  <c r="AZ237" i="1"/>
  <c r="AY166" i="1"/>
  <c r="AZ385" i="1"/>
  <c r="AY586" i="1"/>
  <c r="AZ367" i="1"/>
  <c r="AZ206" i="1"/>
  <c r="AZ75" i="1"/>
  <c r="AY661" i="1"/>
  <c r="AY490" i="1"/>
  <c r="AZ511" i="1"/>
  <c r="AZ354" i="1"/>
  <c r="AY314" i="1"/>
  <c r="AY388" i="1"/>
  <c r="AZ294" i="1"/>
  <c r="AZ556" i="1"/>
  <c r="AY407" i="1"/>
  <c r="AZ71" i="1"/>
  <c r="AZ238" i="1"/>
  <c r="AY310" i="1"/>
  <c r="AY252" i="1"/>
  <c r="AZ286" i="1"/>
  <c r="AZ530" i="1"/>
  <c r="AZ216" i="1"/>
  <c r="AY420" i="1"/>
  <c r="AY598" i="1"/>
  <c r="AZ231" i="1"/>
  <c r="AZ540" i="1"/>
  <c r="AZ76" i="1"/>
  <c r="AY513" i="1"/>
  <c r="AY476" i="1"/>
  <c r="AZ109" i="1"/>
  <c r="AY428" i="1"/>
  <c r="AZ94" i="1"/>
  <c r="AZ365" i="1"/>
  <c r="AZ446" i="1"/>
  <c r="AZ563" i="1"/>
  <c r="AZ153" i="1"/>
  <c r="AZ275" i="1"/>
  <c r="AZ654" i="1"/>
  <c r="AZ314" i="1"/>
  <c r="AZ482" i="1"/>
  <c r="AZ253" i="1"/>
  <c r="AZ291" i="1"/>
  <c r="AZ315" i="1"/>
  <c r="AY548" i="1"/>
  <c r="AY574" i="1"/>
  <c r="AZ306" i="1"/>
  <c r="AZ650" i="1"/>
  <c r="AZ269" i="1"/>
  <c r="AY549" i="1"/>
  <c r="AZ203" i="1"/>
  <c r="AZ546" i="1"/>
  <c r="AY192" i="1"/>
  <c r="AY632" i="1"/>
  <c r="AZ366" i="1"/>
  <c r="AZ529" i="1"/>
  <c r="AZ267" i="1"/>
  <c r="AY591" i="1"/>
  <c r="AY454" i="1"/>
  <c r="AZ629" i="1"/>
  <c r="AZ107" i="1"/>
  <c r="AZ287" i="1"/>
  <c r="AZ477" i="1"/>
  <c r="AZ131" i="1"/>
  <c r="AY122" i="1"/>
  <c r="AY635" i="1"/>
  <c r="AY458" i="1"/>
  <c r="AY138" i="1"/>
  <c r="AZ218" i="1"/>
  <c r="AY474" i="1"/>
  <c r="AY126" i="1"/>
  <c r="AZ387" i="1"/>
  <c r="AZ240" i="1"/>
  <c r="AZ359" i="1"/>
  <c r="AY284" i="1"/>
  <c r="AY251" i="1"/>
  <c r="AY194" i="1"/>
  <c r="AY494" i="1"/>
  <c r="AY327" i="1"/>
  <c r="AY437" i="1"/>
  <c r="AZ198" i="1"/>
  <c r="AZ202" i="1"/>
  <c r="AZ126" i="1"/>
  <c r="AZ472" i="1"/>
  <c r="AY622" i="1"/>
  <c r="AY488" i="1"/>
  <c r="AZ297" i="1"/>
  <c r="AZ93" i="1"/>
  <c r="AY662" i="1"/>
  <c r="AY258" i="1"/>
  <c r="AZ381" i="1"/>
  <c r="AY208" i="1"/>
  <c r="AZ473" i="1"/>
  <c r="AZ396" i="1"/>
  <c r="AY313" i="1"/>
  <c r="AZ594" i="1"/>
  <c r="AY229" i="1"/>
  <c r="AZ441" i="1"/>
  <c r="AY263" i="1"/>
  <c r="AY279" i="1"/>
  <c r="AZ569" i="1"/>
  <c r="AY560" i="1"/>
  <c r="AZ277" i="1"/>
  <c r="AY582" i="1"/>
  <c r="AZ272" i="1"/>
  <c r="AY139" i="1"/>
  <c r="AY195" i="1"/>
  <c r="AY507" i="1"/>
  <c r="AY215" i="1"/>
  <c r="AY254" i="1"/>
  <c r="AZ353" i="1"/>
  <c r="AY501" i="1"/>
  <c r="AZ349" i="1"/>
  <c r="AY109" i="1"/>
  <c r="AZ657" i="1"/>
  <c r="AZ170" i="1"/>
  <c r="AZ260" i="1"/>
  <c r="AZ634" i="1"/>
  <c r="AZ517" i="1"/>
  <c r="AZ565" i="1"/>
  <c r="AY93" i="1"/>
  <c r="AY480" i="1"/>
  <c r="AY238" i="1"/>
  <c r="AZ352" i="1"/>
  <c r="AY441" i="1"/>
  <c r="AY581" i="1"/>
  <c r="AY638" i="1"/>
  <c r="AZ232" i="1"/>
  <c r="AZ448" i="1"/>
  <c r="AZ524" i="1"/>
  <c r="AY177" i="1"/>
  <c r="AY82" i="1"/>
  <c r="AZ470" i="1"/>
  <c r="AY577" i="1"/>
  <c r="AZ519" i="1"/>
  <c r="AZ399" i="1"/>
  <c r="AZ89" i="1"/>
  <c r="AY426" i="1"/>
  <c r="AZ589" i="1"/>
  <c r="AY487" i="1"/>
  <c r="AZ583" i="1"/>
  <c r="AZ200" i="1"/>
  <c r="AZ663" i="1"/>
  <c r="AY518" i="1"/>
  <c r="AZ129" i="1"/>
  <c r="AZ490" i="1"/>
  <c r="AZ295" i="1"/>
  <c r="AY209" i="1"/>
  <c r="AZ570" i="1"/>
  <c r="AZ577" i="1"/>
  <c r="AY543" i="1"/>
  <c r="AY184" i="1"/>
  <c r="AZ175" i="1"/>
  <c r="AY86" i="1"/>
  <c r="AY120" i="1"/>
  <c r="AZ165" i="1"/>
  <c r="AY135" i="1"/>
  <c r="AZ500" i="1"/>
  <c r="AY121" i="1"/>
  <c r="AY188" i="1"/>
  <c r="AY361" i="1"/>
  <c r="AZ496" i="1"/>
  <c r="AY212" i="1"/>
  <c r="AZ443" i="1"/>
  <c r="AZ82" i="1"/>
  <c r="AZ484" i="1"/>
  <c r="AZ508" i="1"/>
  <c r="AZ465" i="1"/>
  <c r="AY378" i="1"/>
  <c r="AY103" i="1"/>
  <c r="AZ317" i="1"/>
  <c r="AY143" i="1"/>
  <c r="AZ329" i="1"/>
  <c r="AZ113" i="1"/>
  <c r="AY448" i="1"/>
  <c r="AY233" i="1"/>
  <c r="AY133" i="1"/>
  <c r="AY250" i="1"/>
  <c r="AZ637" i="1"/>
  <c r="AZ265" i="1"/>
  <c r="AZ562" i="1"/>
  <c r="AZ621" i="1"/>
  <c r="AZ509" i="1"/>
  <c r="AY653" i="1"/>
  <c r="AY157" i="1"/>
  <c r="AZ495" i="1"/>
  <c r="AZ197" i="1"/>
  <c r="AZ576" i="1"/>
  <c r="AY557" i="1"/>
  <c r="AY482" i="1"/>
  <c r="AY142" i="1"/>
  <c r="AY211" i="1"/>
  <c r="AZ600" i="1"/>
  <c r="AY183" i="1"/>
  <c r="AY438" i="1"/>
  <c r="AZ555" i="1"/>
  <c r="AZ117" i="1"/>
  <c r="AY377" i="1"/>
  <c r="AZ642" i="1"/>
  <c r="AZ652" i="1"/>
  <c r="AZ150" i="1"/>
  <c r="AY497" i="1"/>
  <c r="AY104" i="1"/>
  <c r="AY234" i="1"/>
  <c r="AZ169" i="1"/>
  <c r="AY311" i="1"/>
  <c r="AZ483" i="1"/>
  <c r="AZ507" i="1"/>
  <c r="AZ610" i="1"/>
  <c r="AZ591" i="1"/>
  <c r="AZ257" i="1"/>
  <c r="AY546" i="1"/>
  <c r="AZ476" i="1"/>
  <c r="AY341" i="1"/>
  <c r="AZ481" i="1"/>
  <c r="AZ345" i="1"/>
  <c r="AZ176" i="1"/>
  <c r="AY221" i="1"/>
  <c r="AZ84" i="1"/>
  <c r="AZ418" i="1"/>
  <c r="AY256" i="1"/>
  <c r="AZ360" i="1"/>
  <c r="AY457" i="1"/>
  <c r="AZ262" i="1"/>
  <c r="AY631" i="1"/>
  <c r="AZ79" i="1"/>
  <c r="AY637" i="1"/>
  <c r="AZ516" i="1"/>
  <c r="AZ535" i="1"/>
  <c r="AZ199" i="1"/>
  <c r="AZ388" i="1"/>
  <c r="AY396" i="1"/>
  <c r="AY354" i="1"/>
  <c r="AZ289" i="1"/>
  <c r="AZ103" i="1"/>
  <c r="AZ372" i="1"/>
  <c r="AY241" i="1"/>
  <c r="AZ156" i="1"/>
  <c r="AZ499" i="1"/>
  <c r="AY592" i="1"/>
  <c r="AY220" i="1"/>
  <c r="AZ142" i="1"/>
  <c r="AY648" i="1"/>
  <c r="AY269" i="1"/>
  <c r="AZ299" i="1"/>
  <c r="AZ643" i="1"/>
  <c r="AY162" i="1"/>
  <c r="AY107" i="1"/>
  <c r="AY236" i="1"/>
  <c r="AZ144" i="1"/>
  <c r="AZ402" i="1"/>
  <c r="AY408" i="1"/>
  <c r="AY203" i="1"/>
  <c r="AY565" i="1"/>
  <c r="AZ172" i="1"/>
  <c r="AZ305" i="1"/>
  <c r="AZ485" i="1"/>
  <c r="AY459" i="1"/>
  <c r="AY619" i="1"/>
  <c r="AZ235" i="1"/>
  <c r="AY174" i="1"/>
  <c r="AZ512" i="1"/>
  <c r="AY544" i="1"/>
  <c r="AY466" i="1"/>
  <c r="AY292" i="1"/>
  <c r="AY305" i="1"/>
  <c r="AY261" i="1"/>
  <c r="AY178" i="1"/>
  <c r="AY415" i="1"/>
  <c r="AY389" i="1"/>
  <c r="AY381" i="1"/>
  <c r="AZ102" i="1"/>
  <c r="AZ244" i="1"/>
  <c r="AY649" i="1"/>
  <c r="AY475" i="1"/>
  <c r="AY468" i="1"/>
  <c r="AZ300" i="1"/>
  <c r="AZ460" i="1"/>
  <c r="AZ408" i="1"/>
  <c r="AY559" i="1"/>
  <c r="AY226" i="1"/>
  <c r="AZ659" i="1"/>
  <c r="AZ624" i="1"/>
  <c r="AY452" i="1"/>
  <c r="AZ292" i="1"/>
  <c r="AY563" i="1"/>
  <c r="AY228" i="1"/>
  <c r="AZ451" i="1"/>
  <c r="AZ404" i="1"/>
  <c r="AY529" i="1"/>
  <c r="AZ214" i="1"/>
  <c r="AZ439" i="1"/>
  <c r="AY588" i="1"/>
  <c r="AY320" i="1"/>
  <c r="AZ337" i="1"/>
  <c r="AZ425" i="1"/>
  <c r="AZ227" i="1"/>
  <c r="AZ222" i="1"/>
  <c r="AZ73" i="1"/>
  <c r="AY248" i="1"/>
  <c r="AY521" i="1"/>
  <c r="AY444" i="1"/>
  <c r="AY392" i="1"/>
  <c r="AZ590" i="1"/>
  <c r="AZ185" i="1"/>
  <c r="AZ534" i="1"/>
  <c r="AZ581" i="1"/>
  <c r="AY325" i="1"/>
  <c r="AZ213" i="1"/>
  <c r="AY253" i="1"/>
  <c r="AZ403" i="1"/>
  <c r="AY358" i="1"/>
  <c r="AZ356" i="1"/>
  <c r="AZ614" i="1"/>
  <c r="AY240" i="1"/>
  <c r="AZ631" i="1"/>
  <c r="AY270" i="1"/>
  <c r="AZ437" i="1"/>
  <c r="AY421" i="1"/>
  <c r="AZ513" i="1"/>
  <c r="AY370" i="1"/>
  <c r="AZ342" i="1"/>
  <c r="AY124" i="1"/>
  <c r="AZ179" i="1"/>
  <c r="AY554" i="1"/>
  <c r="AY578" i="1"/>
  <c r="AZ398" i="1"/>
  <c r="AZ148" i="1"/>
  <c r="AY235" i="1"/>
  <c r="AY394" i="1"/>
  <c r="AZ204" i="1"/>
  <c r="AZ580" i="1"/>
  <c r="AY80" i="1"/>
  <c r="AZ252" i="1"/>
  <c r="AZ599" i="1"/>
  <c r="AZ395" i="1"/>
  <c r="AZ664" i="1"/>
  <c r="AY570" i="1"/>
  <c r="AZ615" i="1"/>
  <c r="AZ152" i="1"/>
  <c r="AY456" i="1"/>
  <c r="AZ370" i="1"/>
  <c r="AZ111" i="1"/>
  <c r="AZ544" i="1"/>
  <c r="AZ120" i="1"/>
  <c r="AY332" i="1"/>
  <c r="AZ640" i="1"/>
  <c r="AY605" i="1"/>
  <c r="AY527" i="1"/>
  <c r="AY430" i="1"/>
  <c r="AZ623" i="1"/>
  <c r="AZ625" i="1"/>
  <c r="AZ313" i="1"/>
  <c r="AZ586" i="1"/>
  <c r="AZ124" i="1"/>
  <c r="AY132" i="1"/>
  <c r="AZ401" i="1"/>
  <c r="AZ101" i="1"/>
  <c r="AY199" i="1"/>
  <c r="AY123" i="1"/>
  <c r="AZ307" i="1"/>
  <c r="AZ375" i="1"/>
  <c r="AY295" i="1"/>
  <c r="AY397" i="1"/>
  <c r="AY163" i="1"/>
  <c r="AZ268" i="1"/>
  <c r="AY277" i="1"/>
  <c r="AZ475" i="1"/>
  <c r="AZ445" i="1"/>
  <c r="AZ251" i="1"/>
  <c r="AZ368" i="1"/>
  <c r="AY416" i="1"/>
  <c r="AY302" i="1"/>
  <c r="AZ280" i="1"/>
  <c r="AY345" i="1"/>
  <c r="AY536" i="1"/>
  <c r="AZ177" i="1"/>
  <c r="AY515" i="1"/>
  <c r="AY555" i="1"/>
  <c r="AY289" i="1"/>
  <c r="AY342" i="1"/>
  <c r="AY616" i="1"/>
  <c r="AZ424" i="1"/>
  <c r="AY409" i="1"/>
  <c r="AZ85" i="1"/>
  <c r="AZ455" i="1"/>
  <c r="AZ611" i="1"/>
  <c r="AY317" i="1"/>
  <c r="AZ243" i="1"/>
  <c r="AZ494" i="1"/>
  <c r="AY520" i="1"/>
  <c r="AY477" i="1"/>
  <c r="AZ246" i="1"/>
  <c r="AZ223" i="1"/>
  <c r="AY154" i="1"/>
  <c r="AZ182" i="1"/>
  <c r="AY338" i="1"/>
  <c r="AZ536" i="1"/>
  <c r="AY267" i="1"/>
  <c r="AZ281" i="1"/>
  <c r="AZ249" i="1"/>
  <c r="AZ341" i="1"/>
  <c r="AZ234" i="1"/>
  <c r="AY593" i="1"/>
  <c r="AZ255" i="1"/>
  <c r="AY164" i="1"/>
  <c r="AZ592" i="1"/>
  <c r="AZ461" i="1"/>
  <c r="AY91" i="1"/>
  <c r="AY422" i="1"/>
  <c r="AY463" i="1"/>
  <c r="AY654" i="1"/>
  <c r="AZ635" i="1"/>
  <c r="AY429" i="1"/>
  <c r="AZ397" i="1"/>
  <c r="AZ332" i="1"/>
  <c r="AY83" i="1"/>
  <c r="AY522" i="1"/>
  <c r="AZ604" i="1"/>
  <c r="AZ430" i="1"/>
  <c r="AY613" i="1"/>
  <c r="AZ135" i="1"/>
  <c r="AZ323" i="1"/>
  <c r="AY296" i="1"/>
  <c r="AZ242" i="1"/>
  <c r="AY326" i="1"/>
  <c r="AY337" i="1"/>
  <c r="AY111" i="1"/>
  <c r="AZ364" i="1"/>
  <c r="AY136" i="1"/>
  <c r="AY81" i="1"/>
  <c r="AY624" i="1"/>
  <c r="AY99" i="1"/>
  <c r="AZ416" i="1"/>
  <c r="AY485" i="1"/>
  <c r="AZ502" i="1"/>
  <c r="AY307" i="1"/>
  <c r="AY526" i="1"/>
  <c r="AY627" i="1"/>
  <c r="AY630" i="1"/>
  <c r="AZ133" i="1"/>
  <c r="AY663" i="1"/>
  <c r="AZ554" i="1"/>
  <c r="AZ593" i="1"/>
  <c r="AY217" i="1"/>
  <c r="AY312" i="1"/>
  <c r="AZ491" i="1"/>
  <c r="AZ194" i="1"/>
  <c r="AY290" i="1"/>
  <c r="AZ450" i="1"/>
  <c r="AZ256" i="1"/>
  <c r="AY590" i="1"/>
  <c r="AY72" i="1"/>
  <c r="AZ464" i="1"/>
  <c r="AZ661" i="1"/>
  <c r="AZ374" i="1"/>
  <c r="AZ603" i="1"/>
  <c r="AY76" i="1"/>
  <c r="AY237" i="1"/>
  <c r="AZ428" i="1"/>
  <c r="AY190" i="1"/>
  <c r="AY185" i="1"/>
  <c r="AY97" i="1"/>
  <c r="AY645" i="1"/>
  <c r="AZ357" i="1"/>
  <c r="AY552" i="1"/>
  <c r="AY465" i="1"/>
  <c r="AY356" i="1"/>
  <c r="AY95" i="1"/>
  <c r="AZ279" i="1"/>
  <c r="AY424" i="1"/>
  <c r="AY608" i="1"/>
  <c r="AY500" i="1"/>
  <c r="AZ325" i="1"/>
  <c r="AZ542" i="1"/>
  <c r="AZ108" i="1"/>
  <c r="AZ96" i="1"/>
  <c r="AZ321" i="1"/>
  <c r="AY573" i="1"/>
  <c r="AY525" i="1"/>
  <c r="AY288" i="1"/>
  <c r="AY201" i="1"/>
  <c r="AY486" i="1"/>
  <c r="AZ444" i="1"/>
  <c r="AZ316" i="1"/>
  <c r="AY506" i="1"/>
  <c r="AZ575" i="1"/>
  <c r="AZ547" i="1"/>
  <c r="AZ145" i="1"/>
  <c r="AY172" i="1"/>
  <c r="AY244" i="1"/>
  <c r="AZ587" i="1"/>
  <c r="AZ258" i="1"/>
  <c r="AY473" i="1"/>
  <c r="AY493" i="1"/>
  <c r="AZ641" i="1"/>
  <c r="AY271" i="1"/>
  <c r="AZ121" i="1"/>
  <c r="AY159" i="1"/>
  <c r="AY658" i="1"/>
  <c r="AZ532" i="1"/>
  <c r="AY538" i="1"/>
  <c r="AY347" i="1"/>
  <c r="AZ333" i="1"/>
  <c r="AZ602" i="1"/>
  <c r="AY535" i="1"/>
  <c r="AZ122" i="1"/>
  <c r="AY321" i="1"/>
  <c r="AY595" i="1"/>
  <c r="AY117" i="1"/>
  <c r="AZ271" i="1"/>
  <c r="AY213" i="1"/>
  <c r="AY498" i="1"/>
  <c r="AY650" i="1"/>
  <c r="AY108" i="1"/>
  <c r="AZ81" i="1"/>
  <c r="AZ549" i="1"/>
  <c r="AZ74" i="1"/>
  <c r="AZ379" i="1"/>
  <c r="AY330" i="1"/>
  <c r="AY410" i="1"/>
  <c r="AY291" i="1"/>
  <c r="AY329" i="1"/>
  <c r="AZ236" i="1"/>
  <c r="AZ442" i="1"/>
  <c r="AY200" i="1"/>
  <c r="AZ506" i="1"/>
  <c r="AY146" i="1"/>
  <c r="AZ574" i="1"/>
  <c r="AY357" i="1"/>
  <c r="AZ348" i="1"/>
  <c r="AY306" i="1"/>
  <c r="AY383" i="1"/>
  <c r="AZ598" i="1"/>
  <c r="AZ149" i="1"/>
  <c r="AY88" i="1"/>
  <c r="AZ99" i="1"/>
  <c r="AZ301" i="1"/>
  <c r="AZ88" i="1"/>
  <c r="AY439" i="1"/>
  <c r="AZ116" i="1"/>
  <c r="AZ290" i="1"/>
  <c r="AY272" i="1"/>
  <c r="AY309" i="1"/>
  <c r="AY286" i="1"/>
  <c r="AZ415" i="1"/>
  <c r="AZ438" i="1"/>
  <c r="AZ539" i="1"/>
  <c r="AZ183" i="1"/>
  <c r="AZ410" i="1"/>
  <c r="AY571" i="1"/>
  <c r="AZ518" i="1"/>
  <c r="AZ207" i="1"/>
  <c r="AY96" i="1"/>
  <c r="AY230" i="1"/>
  <c r="AZ588" i="1"/>
  <c r="AY443" i="1"/>
  <c r="AZ311" i="1"/>
  <c r="AY339" i="1"/>
  <c r="AY451" i="1"/>
  <c r="AY481" i="1"/>
  <c r="AY153" i="1"/>
  <c r="AZ282" i="1"/>
  <c r="AZ171" i="1"/>
  <c r="AY264" i="1"/>
  <c r="AY558" i="1"/>
  <c r="AY510" i="1"/>
  <c r="AZ551" i="1"/>
  <c r="AY583" i="1"/>
  <c r="AY390" i="1"/>
  <c r="AZ331" i="1"/>
  <c r="AY273" i="1"/>
  <c r="AY659" i="1"/>
  <c r="AZ411" i="1"/>
  <c r="AZ320" i="1"/>
  <c r="AY367" i="1"/>
  <c r="AY599" i="1"/>
  <c r="AZ98" i="1"/>
  <c r="AZ355" i="1"/>
  <c r="AZ346" i="1"/>
  <c r="AY483" i="1"/>
  <c r="AY523" i="1"/>
  <c r="AY629" i="1"/>
  <c r="AY344" i="1"/>
  <c r="AZ383" i="1"/>
  <c r="AY664" i="1"/>
  <c r="AY297" i="1"/>
  <c r="AY189" i="1"/>
  <c r="AY145" i="1"/>
  <c r="AZ618" i="1"/>
  <c r="AZ312" i="1"/>
  <c r="AZ384" i="1"/>
  <c r="AY129" i="1"/>
  <c r="AY346" i="1"/>
  <c r="AZ167" i="1"/>
  <c r="AZ627" i="1"/>
  <c r="AY386" i="1"/>
  <c r="AY400" i="1"/>
  <c r="AZ514" i="1"/>
  <c r="AY257" i="1"/>
  <c r="AZ571" i="1"/>
  <c r="AZ498" i="1"/>
  <c r="AZ285" i="1"/>
  <c r="AY450" i="1"/>
  <c r="AY167" i="1"/>
  <c r="AZ125" i="1"/>
  <c r="AY568" i="1"/>
  <c r="AY640" i="1"/>
  <c r="AY375" i="1"/>
  <c r="AY274" i="1"/>
  <c r="AY78" i="1"/>
  <c r="AY140" i="1"/>
  <c r="AZ578" i="1"/>
  <c r="AZ522" i="1"/>
  <c r="AY464" i="1"/>
  <c r="AZ525" i="1"/>
  <c r="AY105" i="1"/>
  <c r="AZ557" i="1"/>
  <c r="AZ412" i="1"/>
  <c r="AZ217" i="1"/>
  <c r="AY182" i="1"/>
  <c r="AY539" i="1"/>
  <c r="AY173" i="1"/>
  <c r="AY371" i="1"/>
  <c r="AY433" i="1"/>
  <c r="AY651" i="1"/>
  <c r="AZ310" i="1"/>
  <c r="AY425" i="1"/>
  <c r="AZ91" i="1"/>
  <c r="AY150" i="1"/>
  <c r="AZ653" i="1"/>
  <c r="AY187" i="1"/>
  <c r="AY85" i="1"/>
  <c r="AY334" i="1"/>
  <c r="AZ626" i="1"/>
  <c r="AZ78" i="1"/>
  <c r="AZ132" i="1"/>
  <c r="AY447" i="1"/>
  <c r="AY304" i="1"/>
  <c r="AZ139" i="1"/>
  <c r="AZ531" i="1"/>
  <c r="AZ245" i="1"/>
  <c r="AY364" i="1"/>
  <c r="AZ400" i="1"/>
  <c r="AZ639" i="1"/>
  <c r="AZ173" i="1"/>
  <c r="AZ69" i="1"/>
  <c r="AZ605" i="1"/>
  <c r="AY227" i="1"/>
  <c r="AZ480" i="1"/>
  <c r="AY171" i="1"/>
  <c r="AY148" i="1"/>
  <c r="AY351" i="1"/>
  <c r="AZ239" i="1"/>
  <c r="AY176" i="1"/>
  <c r="AY626" i="1"/>
  <c r="AZ520" i="1"/>
  <c r="AZ419" i="1"/>
  <c r="AZ205" i="1"/>
  <c r="AY161" i="1"/>
  <c r="AZ339" i="1"/>
  <c r="AZ241" i="1"/>
  <c r="AZ552" i="1"/>
  <c r="AY216" i="1"/>
  <c r="AZ344" i="1"/>
  <c r="AY417" i="1"/>
  <c r="AZ283" i="1"/>
  <c r="AZ597" i="1"/>
  <c r="AZ487" i="1"/>
  <c r="AY514" i="1"/>
  <c r="AY77" i="1"/>
  <c r="AZ158" i="1"/>
  <c r="AY484" i="1"/>
  <c r="AY551" i="1"/>
  <c r="AY168" i="1"/>
  <c r="AY440" i="1"/>
  <c r="AZ371" i="1"/>
  <c r="AY340" i="1"/>
  <c r="AZ363" i="1"/>
  <c r="AY427" i="1"/>
  <c r="AZ212" i="1"/>
  <c r="AY206" i="1"/>
  <c r="AZ601" i="1"/>
  <c r="AY112" i="1"/>
  <c r="AZ406" i="1"/>
  <c r="AZ373" i="1"/>
  <c r="AY436" i="1"/>
  <c r="AY322" i="1"/>
  <c r="AY660" i="1"/>
  <c r="AZ488" i="1"/>
  <c r="AZ77" i="1"/>
  <c r="AY509" i="1"/>
  <c r="AZ382" i="1"/>
  <c r="AZ358" i="1"/>
  <c r="AZ106" i="1"/>
  <c r="AY393" i="1"/>
  <c r="AZ219" i="1"/>
  <c r="AZ296" i="1"/>
  <c r="AY617" i="1"/>
  <c r="AZ503" i="1"/>
  <c r="AZ293" i="1"/>
  <c r="AZ392" i="1"/>
  <c r="AY73" i="1"/>
  <c r="AY242" i="1"/>
  <c r="AZ462" i="1"/>
  <c r="AZ440" i="1"/>
  <c r="AZ655" i="1"/>
  <c r="AY328" i="1"/>
  <c r="AZ248" i="1"/>
  <c r="AY101" i="1"/>
  <c r="AY569" i="1"/>
  <c r="AY225" i="1"/>
  <c r="AY462" i="1"/>
  <c r="AY478" i="1"/>
  <c r="AZ377" i="1"/>
  <c r="AZ80" i="1"/>
  <c r="AY471" i="1"/>
  <c r="AY446" i="1"/>
  <c r="AZ647" i="1"/>
  <c r="AZ665" i="1"/>
  <c r="AY118" i="1"/>
  <c r="AY533" i="1"/>
  <c r="AZ136" i="1"/>
  <c r="AZ140" i="1"/>
  <c r="AZ607" i="1"/>
  <c r="AY287" i="1"/>
  <c r="AY170" i="1"/>
  <c r="AY496" i="1"/>
  <c r="AY587" i="1"/>
  <c r="AY541" i="1"/>
  <c r="AY355" i="1"/>
  <c r="AZ595" i="1"/>
  <c r="AY205" i="1"/>
  <c r="AY460" i="1"/>
  <c r="AY418" i="1"/>
  <c r="AZ568" i="1"/>
  <c r="AY655" i="1"/>
  <c r="AZ662" i="1"/>
  <c r="AZ195" i="1"/>
  <c r="AY652" i="1"/>
  <c r="AZ189" i="1"/>
  <c r="AZ456" i="1"/>
  <c r="AY600" i="1"/>
  <c r="AZ459" i="1"/>
  <c r="AY519" i="1"/>
  <c r="AY504" i="1"/>
  <c r="AZ486" i="1"/>
  <c r="AY90" i="1"/>
  <c r="AZ389" i="1"/>
  <c r="AZ119" i="1"/>
  <c r="AZ233" i="1"/>
  <c r="AY442" i="1"/>
  <c r="AZ427" i="1"/>
  <c r="AZ322" i="1"/>
  <c r="AZ596" i="1"/>
  <c r="AY379" i="1"/>
  <c r="AZ528" i="1"/>
  <c r="AZ330" i="1"/>
  <c r="AY625" i="1"/>
  <c r="AZ452" i="1"/>
  <c r="AZ386" i="1"/>
  <c r="AY547" i="1"/>
  <c r="AY374" i="1"/>
  <c r="AY186" i="1"/>
  <c r="AZ168" i="1"/>
  <c r="AY455" i="1"/>
  <c r="AY612" i="1"/>
  <c r="AY666" i="1"/>
  <c r="AZ193" i="1"/>
  <c r="AZ259" i="1"/>
  <c r="AY102" i="1"/>
  <c r="AZ521" i="1"/>
  <c r="AZ161" i="1"/>
  <c r="AZ617" i="1"/>
  <c r="AZ417" i="1"/>
  <c r="AZ351" i="1"/>
  <c r="AY530" i="1"/>
  <c r="AZ471" i="1"/>
  <c r="AY300" i="1"/>
  <c r="AZ545" i="1"/>
  <c r="AY266" i="1"/>
  <c r="AY282" i="1"/>
  <c r="AZ433" i="1"/>
  <c r="AZ190" i="1"/>
  <c r="AY646" i="1"/>
  <c r="AY303" i="1"/>
  <c r="AZ343" i="1"/>
  <c r="AY432" i="1"/>
  <c r="AZ380" i="1"/>
  <c r="AY385" i="1"/>
  <c r="AZ567" i="1"/>
  <c r="AY160" i="1"/>
  <c r="AY335" i="1"/>
  <c r="AZ572" i="1"/>
  <c r="AY249" i="1"/>
  <c r="AZ100" i="1"/>
  <c r="AY130" i="1"/>
  <c r="AY564" i="1"/>
  <c r="AZ501" i="1"/>
  <c r="AZ613" i="1"/>
  <c r="AY406" i="1"/>
  <c r="AZ391" i="1"/>
  <c r="AY84" i="1"/>
  <c r="AY537" i="1"/>
  <c r="AZ224" i="1"/>
  <c r="AZ143" i="1"/>
  <c r="AY352" i="1"/>
  <c r="AZ616" i="1"/>
  <c r="AZ155" i="1"/>
  <c r="AZ497" i="1"/>
  <c r="AZ298" i="1"/>
  <c r="AY71" i="1"/>
  <c r="AZ656" i="1"/>
  <c r="AZ254" i="1"/>
  <c r="AY614" i="1"/>
  <c r="AY368" i="1"/>
  <c r="AY398" i="1"/>
  <c r="AY262" i="1"/>
  <c r="AY642" i="1"/>
  <c r="AZ537" i="1"/>
  <c r="AZ409" i="1"/>
  <c r="AY431" i="1"/>
  <c r="AY634" i="1"/>
  <c r="AY403" i="1"/>
  <c r="AZ492" i="1"/>
  <c r="AY247" i="1"/>
  <c r="AZ620" i="1"/>
  <c r="AZ127" i="1"/>
  <c r="AY210" i="1"/>
  <c r="AZ376" i="1"/>
  <c r="AY380" i="1"/>
  <c r="AY615" i="1"/>
  <c r="AZ114" i="1"/>
  <c r="AZ541" i="1"/>
  <c r="AY603" i="1"/>
  <c r="AZ636" i="1"/>
  <c r="AZ474" i="1"/>
  <c r="AZ422" i="1"/>
  <c r="AZ504" i="1"/>
  <c r="AZ327" i="1"/>
  <c r="AY276" i="1"/>
  <c r="AZ302" i="1"/>
  <c r="AZ211" i="1"/>
  <c r="AY94" i="1"/>
  <c r="AY517" i="1"/>
  <c r="AZ157" i="1"/>
  <c r="AY114" i="1"/>
  <c r="AY647" i="1"/>
  <c r="AZ141" i="1"/>
  <c r="AY349" i="1"/>
  <c r="AY639" i="1"/>
  <c r="AZ303" i="1"/>
  <c r="BI514" i="1"/>
  <c r="BH420" i="1"/>
  <c r="BH154" i="1"/>
  <c r="BI92" i="1"/>
  <c r="BI500" i="1"/>
  <c r="BI236" i="1"/>
  <c r="BH73" i="1"/>
  <c r="BI649" i="1"/>
  <c r="BH243" i="1"/>
  <c r="BH128" i="1"/>
  <c r="BI446" i="1"/>
  <c r="BH491" i="1"/>
  <c r="BH204" i="1"/>
  <c r="BI570" i="1"/>
  <c r="BH654" i="1"/>
  <c r="BI117" i="1"/>
  <c r="BI300" i="1"/>
  <c r="BH340" i="1"/>
  <c r="BH483" i="1"/>
  <c r="BH418" i="1"/>
  <c r="BI364" i="1"/>
  <c r="BH595" i="1"/>
  <c r="BI320" i="1"/>
  <c r="BI186" i="1"/>
  <c r="BH371" i="1"/>
  <c r="BI533" i="1"/>
  <c r="BH477" i="1"/>
  <c r="BI267" i="1"/>
  <c r="BH536" i="1"/>
  <c r="BH497" i="1"/>
  <c r="BH206" i="1"/>
  <c r="BI485" i="1"/>
  <c r="BI121" i="1"/>
  <c r="BH310" i="1"/>
  <c r="BI456" i="1"/>
  <c r="BH287" i="1"/>
  <c r="BI138" i="1"/>
  <c r="BH428" i="1"/>
  <c r="BH369" i="1"/>
  <c r="BH130" i="1"/>
  <c r="BI286" i="1"/>
  <c r="BH540" i="1"/>
  <c r="BI361" i="1"/>
  <c r="BI458" i="1"/>
  <c r="BI374" i="1"/>
  <c r="BI584" i="1"/>
  <c r="BI475" i="1"/>
  <c r="BH299" i="1"/>
  <c r="BH181" i="1"/>
  <c r="BI110" i="1"/>
  <c r="BI135" i="1"/>
  <c r="BI161" i="1"/>
  <c r="BH315" i="1"/>
  <c r="BI290" i="1"/>
  <c r="BH458" i="1"/>
  <c r="AY531" i="1"/>
  <c r="AY362" i="1"/>
  <c r="AZ118" i="1"/>
  <c r="AY491" i="1"/>
  <c r="AY499" i="1"/>
  <c r="AZ651" i="1"/>
  <c r="AY479" i="1"/>
  <c r="AZ468" i="1"/>
  <c r="AY353" i="1"/>
  <c r="AY511" i="1"/>
  <c r="AY70" i="1"/>
  <c r="AY127" i="1"/>
  <c r="AZ163" i="1"/>
  <c r="AZ435" i="1"/>
  <c r="AY115" i="1"/>
  <c r="AY100" i="1"/>
  <c r="AZ308" i="1"/>
  <c r="AY119" i="1"/>
  <c r="AZ261" i="1"/>
  <c r="AZ550" i="1"/>
  <c r="AY550" i="1"/>
  <c r="AZ192" i="1"/>
  <c r="AY607" i="1"/>
  <c r="AY366" i="1"/>
  <c r="AY665" i="1"/>
  <c r="AY610" i="1"/>
  <c r="AZ209" i="1"/>
  <c r="AZ523" i="1"/>
  <c r="AZ326" i="1"/>
  <c r="AZ304" i="1"/>
  <c r="AY618" i="1"/>
  <c r="BH628" i="1"/>
  <c r="BI490" i="1"/>
  <c r="BI436" i="1"/>
  <c r="BH136" i="1"/>
  <c r="BI264" i="1"/>
  <c r="BH553" i="1"/>
  <c r="BH245" i="1"/>
  <c r="BI343" i="1"/>
  <c r="BH355" i="1"/>
  <c r="BI151" i="1"/>
  <c r="BH577" i="1"/>
  <c r="BH380" i="1"/>
  <c r="BI335" i="1"/>
  <c r="BI158" i="1"/>
  <c r="BI524" i="1"/>
  <c r="BI605" i="1"/>
  <c r="BH457" i="1"/>
  <c r="BI493" i="1"/>
  <c r="BI203" i="1"/>
  <c r="DW3" i="1"/>
  <c r="BI455" i="1"/>
  <c r="BI293" i="1"/>
  <c r="BH601" i="1"/>
  <c r="BH323" i="1"/>
  <c r="BH205" i="1"/>
  <c r="BI193" i="1"/>
  <c r="BI149" i="1"/>
  <c r="BH507" i="1"/>
  <c r="BI331" i="1"/>
  <c r="BI259" i="1"/>
  <c r="BH649" i="1"/>
  <c r="BI337" i="1"/>
  <c r="BI428" i="1"/>
  <c r="BH423" i="1"/>
  <c r="BH69" i="1"/>
  <c r="BH520" i="1"/>
  <c r="BH350" i="1"/>
  <c r="BH115" i="1"/>
  <c r="BH252" i="1"/>
  <c r="BH585" i="1"/>
  <c r="BI250" i="1"/>
  <c r="BH607" i="1"/>
  <c r="BI143" i="1"/>
  <c r="BI281" i="1"/>
  <c r="BH510" i="1"/>
  <c r="BI156" i="1"/>
  <c r="BH201" i="1"/>
  <c r="BH255" i="1"/>
  <c r="BI424" i="1"/>
  <c r="BH266" i="1"/>
  <c r="BH356" i="1"/>
  <c r="BH238" i="1"/>
  <c r="BH572" i="1"/>
  <c r="BI97" i="1"/>
  <c r="BI392" i="1"/>
  <c r="BH600" i="1"/>
  <c r="BH501" i="1"/>
  <c r="BI341" i="1"/>
  <c r="AZ526" i="1"/>
  <c r="AZ266" i="1"/>
  <c r="AZ186" i="1"/>
  <c r="AY412" i="1"/>
  <c r="AZ147" i="1"/>
  <c r="AZ645" i="1"/>
  <c r="AZ658" i="1"/>
  <c r="AY528" i="1"/>
  <c r="AY231" i="1"/>
  <c r="AZ646" i="1"/>
  <c r="AZ284" i="1"/>
  <c r="AY224" i="1"/>
  <c r="AY404" i="1"/>
  <c r="AY278" i="1"/>
  <c r="AZ426" i="1"/>
  <c r="AZ338" i="1"/>
  <c r="AZ250" i="1"/>
  <c r="AY202" i="1"/>
  <c r="AY656" i="1"/>
  <c r="AZ166" i="1"/>
  <c r="AY232" i="1"/>
  <c r="AZ510" i="1"/>
  <c r="AY657" i="1"/>
  <c r="AY113" i="1"/>
  <c r="AY505" i="1"/>
  <c r="AY589" i="1"/>
  <c r="AY594" i="1"/>
  <c r="AY294" i="1"/>
  <c r="AZ457" i="1"/>
  <c r="AZ87" i="1"/>
  <c r="AY644" i="1"/>
  <c r="AY384" i="1"/>
  <c r="AY399" i="1"/>
  <c r="AZ585" i="1"/>
  <c r="AZ463" i="1"/>
  <c r="AZ208" i="1"/>
  <c r="AY156" i="1"/>
  <c r="AZ467" i="1"/>
  <c r="AY246" i="1"/>
  <c r="BI165" i="1"/>
  <c r="BH386" i="1"/>
  <c r="BI404" i="1"/>
  <c r="BH331" i="1"/>
  <c r="BH500" i="1"/>
  <c r="BH240" i="1"/>
  <c r="BI403" i="1"/>
  <c r="BH108" i="1"/>
  <c r="BI410" i="1"/>
  <c r="BI521" i="1"/>
  <c r="BH471" i="1"/>
  <c r="BH152" i="1"/>
  <c r="BI556" i="1"/>
  <c r="BH160" i="1"/>
  <c r="BH407" i="1"/>
  <c r="BI397" i="1"/>
  <c r="BH466" i="1"/>
  <c r="BH344" i="1"/>
  <c r="BH317" i="1"/>
  <c r="BH575" i="1"/>
  <c r="BI98" i="1"/>
  <c r="BI188" i="1"/>
  <c r="BI326" i="1"/>
  <c r="BI263" i="1"/>
  <c r="BH621" i="1"/>
  <c r="BI145" i="1"/>
  <c r="BH447" i="1"/>
  <c r="BI104" i="1"/>
  <c r="BI399" i="1"/>
  <c r="BH516" i="1"/>
  <c r="BH231" i="1"/>
  <c r="BI569" i="1"/>
  <c r="BI421" i="1"/>
  <c r="BI384" i="1"/>
  <c r="BI196" i="1"/>
  <c r="BI209" i="1"/>
  <c r="BH590" i="1"/>
  <c r="BI380" i="1"/>
  <c r="BI353" i="1"/>
  <c r="BI536" i="1"/>
  <c r="BH177" i="1"/>
  <c r="BH470" i="1"/>
  <c r="BH574" i="1"/>
  <c r="BI473" i="1"/>
  <c r="BI85" i="1"/>
  <c r="BH119" i="1"/>
  <c r="BI606" i="1"/>
  <c r="BI511" i="1"/>
  <c r="BI230" i="1"/>
  <c r="BH156" i="1"/>
  <c r="BH88" i="1"/>
  <c r="BH643" i="1"/>
  <c r="BH610" i="1"/>
  <c r="BH376" i="1"/>
  <c r="BH116" i="1"/>
  <c r="BH113" i="1"/>
  <c r="BH274" i="1"/>
  <c r="BH338" i="1"/>
  <c r="BH225" i="1"/>
  <c r="BH537" i="1"/>
  <c r="BH388" i="1"/>
  <c r="BH661" i="1"/>
  <c r="BH242" i="1"/>
  <c r="BI277" i="1"/>
  <c r="BI547" i="1"/>
  <c r="BI653" i="1"/>
  <c r="BI101" i="1"/>
  <c r="BI119" i="1"/>
  <c r="BH570" i="1"/>
  <c r="BI406" i="1"/>
  <c r="BI580" i="1"/>
  <c r="BI401" i="1"/>
  <c r="BH212" i="1"/>
  <c r="BH314" i="1"/>
  <c r="BI302" i="1"/>
  <c r="BH127" i="1"/>
  <c r="BH129" i="1"/>
  <c r="BI373" i="1"/>
  <c r="BI466" i="1"/>
  <c r="BI344" i="1"/>
  <c r="BI220" i="1"/>
  <c r="BI502" i="1"/>
  <c r="BH86" i="1"/>
  <c r="BH413" i="1"/>
  <c r="BI638" i="1"/>
  <c r="BH639" i="1"/>
  <c r="BH140" i="1"/>
  <c r="BI232" i="1"/>
  <c r="BH571" i="1"/>
  <c r="BI368" i="1"/>
  <c r="BH72" i="1"/>
  <c r="BI418" i="1"/>
  <c r="BH184" i="1"/>
  <c r="BH592" i="1"/>
  <c r="BI191" i="1"/>
  <c r="BI447" i="1"/>
  <c r="BI128" i="1"/>
  <c r="BH425" i="1"/>
  <c r="BI197" i="1"/>
  <c r="BH546" i="1"/>
  <c r="BH157" i="1"/>
  <c r="BI224" i="1"/>
  <c r="BI336" i="1"/>
  <c r="BH467" i="1"/>
  <c r="BI517" i="1"/>
  <c r="BH269" i="1"/>
  <c r="BH542" i="1"/>
  <c r="BH435" i="1"/>
  <c r="BI560" i="1"/>
  <c r="BH345" i="1"/>
  <c r="BH200" i="1"/>
  <c r="BH641" i="1"/>
  <c r="BI402" i="1"/>
  <c r="BI89" i="1"/>
  <c r="BI116" i="1"/>
  <c r="BH573" i="1"/>
  <c r="BI146" i="1"/>
  <c r="BI448" i="1"/>
  <c r="BI278" i="1"/>
  <c r="BH437" i="1"/>
  <c r="BI306" i="1"/>
  <c r="BI529" i="1"/>
  <c r="BI338" i="1"/>
  <c r="BH351" i="1"/>
  <c r="BH76" i="1"/>
  <c r="BH433" i="1"/>
  <c r="BH224" i="1"/>
  <c r="BI256" i="1"/>
  <c r="BH294" i="1"/>
  <c r="BI468" i="1"/>
  <c r="BI189" i="1"/>
  <c r="BI206" i="1"/>
  <c r="BH328" i="1"/>
  <c r="BH581" i="1"/>
  <c r="BI487" i="1"/>
  <c r="BH246" i="1"/>
  <c r="BH635" i="1"/>
  <c r="BH118" i="1"/>
  <c r="BI107" i="1"/>
  <c r="BH330" i="1"/>
  <c r="BH518" i="1"/>
  <c r="BI480" i="1"/>
  <c r="BI617" i="1"/>
  <c r="BI362" i="1"/>
  <c r="BI166" i="1"/>
  <c r="BH99" i="1"/>
  <c r="BH392" i="1"/>
  <c r="BH547" i="1"/>
  <c r="BH558" i="1"/>
  <c r="BH147" i="1"/>
  <c r="BI366" i="1"/>
  <c r="BI438" i="1"/>
  <c r="BI626" i="1"/>
  <c r="BH645" i="1"/>
  <c r="BH586" i="1"/>
  <c r="BI549" i="1"/>
  <c r="BH377" i="1"/>
  <c r="BH83" i="1"/>
  <c r="BI443" i="1"/>
  <c r="BH311" i="1"/>
  <c r="BH172" i="1"/>
  <c r="BI175" i="1"/>
  <c r="BI454" i="1"/>
  <c r="BI84" i="1"/>
  <c r="BH324" i="1"/>
  <c r="BI523" i="1"/>
  <c r="BH180" i="1"/>
  <c r="BH217" i="1"/>
  <c r="BI596" i="1"/>
  <c r="BI112" i="1"/>
  <c r="BI565" i="1"/>
  <c r="BH347" i="1"/>
  <c r="BH94" i="1"/>
  <c r="BH616" i="1"/>
  <c r="BH612" i="1"/>
  <c r="BI168" i="1"/>
  <c r="BH578" i="1"/>
  <c r="BI313" i="1"/>
  <c r="BH663" i="1"/>
  <c r="BH187" i="1"/>
  <c r="BI622" i="1"/>
  <c r="BI611" i="1"/>
  <c r="BH512" i="1"/>
  <c r="BH360" i="1"/>
  <c r="BH332" i="1"/>
  <c r="BH587" i="1"/>
  <c r="BI106" i="1"/>
  <c r="BI319" i="1"/>
  <c r="BH178" i="1"/>
  <c r="BH150" i="1"/>
  <c r="BI416" i="1"/>
  <c r="BI658" i="1"/>
  <c r="BI621" i="1"/>
  <c r="BI479" i="1"/>
  <c r="BI440" i="1"/>
  <c r="BI148" i="1"/>
  <c r="BI390" i="1"/>
  <c r="BI219" i="1"/>
  <c r="BH515" i="1"/>
  <c r="BI651" i="1"/>
  <c r="BI207" i="1"/>
  <c r="BH190" i="1"/>
  <c r="BH657" i="1"/>
  <c r="BH325" i="1"/>
  <c r="BH384" i="1"/>
  <c r="BH456" i="1"/>
  <c r="BI434" i="1"/>
  <c r="BI218" i="1"/>
  <c r="BI414" i="1"/>
  <c r="BI632" i="1"/>
  <c r="BI75" i="1"/>
  <c r="BH132" i="1"/>
  <c r="BI273" i="1"/>
  <c r="BI585" i="1"/>
  <c r="BI396" i="1"/>
  <c r="BI577" i="1"/>
  <c r="BI95" i="1"/>
  <c r="BI492" i="1"/>
  <c r="BH599" i="1"/>
  <c r="BI548" i="1"/>
  <c r="BH662" i="1"/>
  <c r="BI423" i="1"/>
  <c r="BI231" i="1"/>
  <c r="BH378" i="1"/>
  <c r="BI389" i="1"/>
  <c r="BH339" i="1"/>
  <c r="BH131" i="1"/>
  <c r="BI130" i="1"/>
  <c r="BH479" i="1"/>
  <c r="BH426" i="1"/>
  <c r="BI162" i="1"/>
  <c r="BH263" i="1"/>
  <c r="BH561" i="1"/>
  <c r="BI546" i="1"/>
  <c r="BH114" i="1"/>
  <c r="BI603" i="1"/>
  <c r="BI134" i="1"/>
  <c r="BI462" i="1"/>
  <c r="BH375" i="1"/>
  <c r="BI383" i="1"/>
  <c r="BI408" i="1"/>
  <c r="BH357" i="1"/>
  <c r="BH277" i="1"/>
  <c r="BH580" i="1"/>
  <c r="BI572" i="1"/>
  <c r="BH292" i="1"/>
  <c r="BH267" i="1"/>
  <c r="BI115" i="1"/>
  <c r="BI654" i="1"/>
  <c r="BI505" i="1"/>
  <c r="BH442" i="1"/>
  <c r="BH655" i="1"/>
  <c r="BH445" i="1"/>
  <c r="BH260" i="1"/>
  <c r="BH431" i="1"/>
  <c r="BH316" i="1"/>
  <c r="BH221" i="1"/>
  <c r="BH122" i="1"/>
  <c r="BH348" i="1"/>
  <c r="BI314" i="1"/>
  <c r="BI79" i="1"/>
  <c r="BI318" i="1"/>
  <c r="BI131" i="1"/>
  <c r="BH286" i="1"/>
  <c r="BH291" i="1"/>
  <c r="BH630" i="1"/>
  <c r="BH273" i="1"/>
  <c r="BH125" i="1"/>
  <c r="BH179" i="1"/>
  <c r="BI261" i="1"/>
  <c r="BH614" i="1"/>
  <c r="BH529" i="1"/>
  <c r="BH120" i="1"/>
  <c r="BI109" i="1"/>
  <c r="BH394" i="1"/>
  <c r="BH395" i="1"/>
  <c r="BI296" i="1"/>
  <c r="BH270" i="1"/>
  <c r="BH383" i="1"/>
  <c r="BI412" i="1"/>
  <c r="BH300" i="1"/>
  <c r="BI88" i="1"/>
  <c r="BI322" i="1"/>
  <c r="BH189" i="1"/>
  <c r="BH583" i="1"/>
  <c r="BI555" i="1"/>
  <c r="BI482" i="1"/>
  <c r="BH617" i="1"/>
  <c r="BI381" i="1"/>
  <c r="BH68" i="1"/>
  <c r="BI238" i="1"/>
  <c r="BH462" i="1"/>
  <c r="BI376" i="1"/>
  <c r="BI297" i="1"/>
  <c r="BI342" i="1"/>
  <c r="BH289" i="1"/>
  <c r="BH251" i="1"/>
  <c r="BH487" i="1"/>
  <c r="BH401" i="1"/>
  <c r="BH427" i="1"/>
  <c r="BH361" i="1"/>
  <c r="BH538" i="1"/>
  <c r="BH514" i="1"/>
  <c r="BI386" i="1"/>
  <c r="BI129" i="1"/>
  <c r="BH455" i="1"/>
  <c r="BH165" i="1"/>
  <c r="BH271" i="1"/>
  <c r="BH539" i="1"/>
  <c r="BH549" i="1"/>
  <c r="BI271" i="1"/>
  <c r="BI377" i="1"/>
  <c r="BH648" i="1"/>
  <c r="BH438" i="1"/>
  <c r="BI222" i="1"/>
  <c r="BH530" i="1"/>
  <c r="BI660" i="1"/>
  <c r="BH358" i="1"/>
  <c r="BH174" i="1"/>
  <c r="BI275" i="1"/>
  <c r="BH522" i="1"/>
  <c r="BI352" i="1"/>
  <c r="BH638" i="1"/>
  <c r="BH320" i="1"/>
  <c r="BH193" i="1"/>
  <c r="BI471" i="1"/>
  <c r="BI639" i="1"/>
  <c r="BH210" i="1"/>
  <c r="BH436" i="1"/>
  <c r="BI152" i="1"/>
  <c r="BI140" i="1"/>
  <c r="BH186" i="1"/>
  <c r="BH149" i="1"/>
  <c r="BH556" i="1"/>
  <c r="BH232" i="1"/>
  <c r="BH103" i="1"/>
  <c r="BH92" i="1"/>
  <c r="BI160" i="1"/>
  <c r="BI571" i="1"/>
  <c r="BI420" i="1"/>
  <c r="BI240" i="1"/>
  <c r="BH220" i="1"/>
  <c r="BH364" i="1"/>
  <c r="BI323" i="1"/>
  <c r="BH403" i="1"/>
  <c r="BH502" i="1"/>
  <c r="BH589" i="1"/>
  <c r="BH490" i="1"/>
  <c r="BI108" i="1"/>
  <c r="BI86" i="1"/>
  <c r="BI595" i="1"/>
  <c r="BI205" i="1"/>
  <c r="BH410" i="1"/>
  <c r="BI413" i="1"/>
  <c r="BI139" i="1"/>
  <c r="BI154" i="1"/>
  <c r="BH521" i="1"/>
  <c r="BI477" i="1"/>
  <c r="BH259" i="1"/>
  <c r="BI317" i="1"/>
  <c r="BI592" i="1"/>
  <c r="BI284" i="1"/>
  <c r="BH264" i="1"/>
  <c r="BI575" i="1"/>
  <c r="BH191" i="1"/>
  <c r="BH222" i="1"/>
  <c r="BI530" i="1"/>
  <c r="BH660" i="1"/>
  <c r="BI358" i="1"/>
  <c r="BI174" i="1"/>
  <c r="BH275" i="1"/>
  <c r="BI522" i="1"/>
  <c r="BI371" i="1"/>
  <c r="BI507" i="1"/>
  <c r="BI407" i="1"/>
  <c r="BH368" i="1"/>
  <c r="BH216" i="1"/>
  <c r="BI136" i="1"/>
  <c r="BH397" i="1"/>
  <c r="BI72" i="1"/>
  <c r="BH533" i="1"/>
  <c r="BI515" i="1"/>
  <c r="BI382" i="1"/>
  <c r="BI432" i="1"/>
  <c r="BI552" i="1"/>
  <c r="BH198" i="1"/>
  <c r="BH188" i="1"/>
  <c r="BH416" i="1"/>
  <c r="BH613" i="1"/>
  <c r="BI631" i="1"/>
  <c r="BH244" i="1"/>
  <c r="BH98" i="1"/>
  <c r="BI655" i="1"/>
  <c r="BH218" i="1"/>
  <c r="BI80" i="1"/>
  <c r="BH453" i="1"/>
  <c r="BH282" i="1"/>
  <c r="BH517" i="1"/>
  <c r="BH121" i="1"/>
  <c r="BH176" i="1"/>
  <c r="BH105" i="1"/>
  <c r="BI346" i="1"/>
  <c r="BI132" i="1"/>
  <c r="BH213" i="1"/>
  <c r="BI637" i="1"/>
  <c r="BI100" i="1"/>
  <c r="BH432" i="1"/>
  <c r="BH552" i="1"/>
  <c r="BI221" i="1"/>
  <c r="BH396" i="1"/>
  <c r="BH472" i="1"/>
  <c r="BH95" i="1"/>
  <c r="BI576" i="1"/>
  <c r="BH605" i="1"/>
  <c r="BH295" i="1"/>
  <c r="BI183" i="1"/>
  <c r="BI610" i="1"/>
  <c r="BI283" i="1"/>
  <c r="BI195" i="1"/>
  <c r="BI497" i="1"/>
  <c r="BH463" i="1"/>
  <c r="BH597" i="1"/>
  <c r="BH602" i="1"/>
  <c r="BH486" i="1"/>
  <c r="BI126" i="1"/>
  <c r="BI329" i="1"/>
  <c r="BI395" i="1"/>
  <c r="BI298" i="1"/>
  <c r="BI339" i="1"/>
  <c r="BI646" i="1"/>
  <c r="BI594" i="1"/>
  <c r="BI409" i="1"/>
  <c r="BI245" i="1"/>
  <c r="BI233" i="1"/>
  <c r="BH93" i="1"/>
  <c r="BI489" i="1"/>
  <c r="BI265" i="1"/>
  <c r="BI444" i="1"/>
  <c r="BI597" i="1"/>
  <c r="BH196" i="1"/>
  <c r="BH253" i="1"/>
  <c r="BH226" i="1"/>
  <c r="BH554" i="1"/>
  <c r="BI437" i="1"/>
  <c r="BI561" i="1"/>
  <c r="BH634" i="1"/>
  <c r="BH143" i="1"/>
  <c r="BH75" i="1"/>
  <c r="BI325" i="1"/>
  <c r="BH159" i="1"/>
  <c r="BI137" i="1"/>
  <c r="BI394" i="1"/>
  <c r="BI599" i="1"/>
  <c r="BI478" i="1"/>
  <c r="BI246" i="1"/>
  <c r="BH362" i="1"/>
  <c r="BH233" i="1"/>
  <c r="BI431" i="1"/>
  <c r="BI613" i="1"/>
  <c r="BH631" i="1"/>
  <c r="BI400" i="1"/>
  <c r="BI544" i="1"/>
  <c r="BH214" i="1"/>
  <c r="BH548" i="1"/>
  <c r="BH474" i="1"/>
  <c r="BH390" i="1"/>
  <c r="BH85" i="1"/>
  <c r="BH391" i="1"/>
  <c r="BI157" i="1"/>
  <c r="BI241" i="1"/>
  <c r="BH651" i="1"/>
  <c r="BH96" i="1"/>
  <c r="BI370" i="1"/>
  <c r="BI624" i="1"/>
  <c r="BI495" i="1"/>
  <c r="BH126" i="1"/>
  <c r="BH337" i="1"/>
  <c r="BH598" i="1"/>
  <c r="BH444" i="1"/>
  <c r="BI198" i="1"/>
  <c r="BH656" i="1"/>
  <c r="BI427" i="1"/>
  <c r="BH411" i="1"/>
  <c r="BH78" i="1"/>
  <c r="BI213" i="1"/>
  <c r="BI461" i="1"/>
  <c r="BI636" i="1"/>
  <c r="BH227" i="1"/>
  <c r="BH606" i="1"/>
  <c r="BI76" i="1"/>
  <c r="BH374" i="1"/>
  <c r="BI476" i="1"/>
  <c r="BI73" i="1"/>
  <c r="BI567" i="1"/>
  <c r="BI69" i="1"/>
  <c r="BH658" i="1"/>
  <c r="BI167" i="1"/>
  <c r="BI460" i="1"/>
  <c r="BH363" i="1"/>
  <c r="BI171" i="1"/>
  <c r="BI316" i="1"/>
  <c r="BH531" i="1"/>
  <c r="BI327" i="1"/>
  <c r="BI170" i="1"/>
  <c r="BH268" i="1"/>
  <c r="BI365" i="1"/>
  <c r="BI457" i="1"/>
  <c r="BI350" i="1"/>
  <c r="BH449" i="1"/>
  <c r="BI312" i="1"/>
  <c r="BI295" i="1"/>
  <c r="BI439" i="1"/>
  <c r="BH551" i="1"/>
  <c r="BH137" i="1"/>
  <c r="BH81" i="1"/>
  <c r="BI562" i="1"/>
  <c r="BH664" i="1"/>
  <c r="BI234" i="1"/>
  <c r="BI303" i="1"/>
  <c r="BI356" i="1"/>
  <c r="BI227" i="1"/>
  <c r="BI111" i="1"/>
  <c r="BI387" i="1"/>
  <c r="BI545" i="1"/>
  <c r="BI201" i="1"/>
  <c r="BI411" i="1"/>
  <c r="BH419" i="1"/>
  <c r="BI538" i="1"/>
  <c r="BH207" i="1"/>
  <c r="BI558" i="1"/>
  <c r="BH297" i="1"/>
  <c r="BH550" i="1"/>
  <c r="BI190" i="1"/>
  <c r="BI87" i="1"/>
  <c r="BI451" i="1"/>
  <c r="BH666" i="1"/>
  <c r="BH281" i="1"/>
  <c r="BH393" i="1"/>
  <c r="BI557" i="1"/>
  <c r="BH382" i="1"/>
  <c r="BH508" i="1"/>
  <c r="BH665" i="1"/>
  <c r="BH288" i="1"/>
  <c r="BI91" i="1"/>
  <c r="BI504" i="1"/>
  <c r="BI583" i="1"/>
  <c r="BH618" i="1"/>
  <c r="BH532" i="1"/>
  <c r="BH603" i="1"/>
  <c r="BH367" i="1"/>
  <c r="BH167" i="1"/>
  <c r="BH494" i="1"/>
  <c r="BI635" i="1"/>
  <c r="BI506" i="1"/>
  <c r="BI498" i="1"/>
  <c r="BI503" i="1"/>
  <c r="BH451" i="1"/>
  <c r="BH171" i="1"/>
  <c r="BH303" i="1"/>
  <c r="BH247" i="1"/>
  <c r="BI501" i="1"/>
  <c r="BH249" i="1"/>
  <c r="BI422" i="1"/>
  <c r="BI354" i="1"/>
  <c r="BH408" i="1"/>
  <c r="BH208" i="1"/>
  <c r="BI308" i="1"/>
  <c r="BH102" i="1"/>
  <c r="BH203" i="1"/>
  <c r="BH555" i="1"/>
  <c r="BH79" i="1"/>
  <c r="BH359" i="1"/>
  <c r="BI270" i="1"/>
  <c r="BI102" i="1"/>
  <c r="BI289" i="1"/>
  <c r="BH107" i="1"/>
  <c r="BH211" i="1"/>
  <c r="BI528" i="1"/>
  <c r="BI71" i="1"/>
  <c r="BH545" i="1"/>
  <c r="BI258" i="1"/>
  <c r="BI309" i="1"/>
  <c r="BH70" i="1"/>
  <c r="BI484" i="1"/>
  <c r="BH296" i="1"/>
  <c r="BH582" i="1"/>
  <c r="BI262" i="1"/>
  <c r="BH504" i="1"/>
  <c r="BH67" i="1"/>
  <c r="BH111" i="1"/>
  <c r="BH354" i="1"/>
  <c r="BI257" i="1"/>
  <c r="BI372" i="1"/>
  <c r="BI272" i="1"/>
  <c r="BI618" i="1"/>
  <c r="BH261" i="1"/>
  <c r="BH202" i="1"/>
  <c r="BH480" i="1"/>
  <c r="BI304" i="1"/>
  <c r="BI68" i="1"/>
  <c r="BH309" i="1"/>
  <c r="BI78" i="1"/>
  <c r="BI239" i="1"/>
  <c r="BH155" i="1"/>
  <c r="BI629" i="1"/>
  <c r="BH373" i="1"/>
  <c r="BI628" i="1"/>
  <c r="BI127" i="1"/>
  <c r="BI488" i="1"/>
  <c r="BI512" i="1"/>
  <c r="BI360" i="1"/>
  <c r="BI332" i="1"/>
  <c r="BI164" i="1"/>
  <c r="BI248" i="1"/>
  <c r="BH513" i="1"/>
  <c r="BI481" i="1"/>
  <c r="BH169" i="1"/>
  <c r="BI640" i="1"/>
  <c r="BH527" i="1"/>
  <c r="BH254" i="1"/>
  <c r="BH141" i="1"/>
  <c r="BH450" i="1"/>
  <c r="BI285" i="1"/>
  <c r="BH385" i="1"/>
  <c r="BH405" i="1"/>
  <c r="BH627" i="1"/>
  <c r="BI652" i="1"/>
  <c r="BI588" i="1"/>
  <c r="BH223" i="1"/>
  <c r="BI459" i="1"/>
  <c r="BH185" i="1"/>
  <c r="BI535" i="1"/>
  <c r="BI499" i="1"/>
  <c r="BI173" i="1"/>
  <c r="BH488" i="1"/>
  <c r="BI83" i="1"/>
  <c r="BH443" i="1"/>
  <c r="BI311" i="1"/>
  <c r="BI541" i="1"/>
  <c r="BH452" i="1"/>
  <c r="BH194" i="1"/>
  <c r="BH566" i="1"/>
  <c r="BH215" i="1"/>
  <c r="BI657" i="1"/>
  <c r="BI378" i="1"/>
  <c r="BI543" i="1"/>
  <c r="BI292" i="1"/>
  <c r="BH183" i="1"/>
  <c r="BI474" i="1"/>
  <c r="BI215" i="1"/>
  <c r="BI650" i="1"/>
  <c r="BH241" i="1"/>
  <c r="BI199" i="1"/>
  <c r="BH279" i="1"/>
  <c r="BH409" i="1"/>
  <c r="BI665" i="1"/>
  <c r="BI355" i="1"/>
  <c r="BH560" i="1"/>
  <c r="BH398" i="1"/>
  <c r="BH421" i="1"/>
  <c r="BI554" i="1"/>
  <c r="BI633" i="1"/>
  <c r="BI525" i="1"/>
  <c r="BH659" i="1"/>
  <c r="BI419" i="1"/>
  <c r="BH138" i="1"/>
  <c r="BH312" i="1"/>
  <c r="BI598" i="1"/>
  <c r="BI472" i="1"/>
  <c r="BH576" i="1"/>
  <c r="BI508" i="1"/>
  <c r="BI214" i="1"/>
  <c r="BH343" i="1"/>
  <c r="BI470" i="1"/>
  <c r="BH569" i="1"/>
  <c r="BI269" i="1"/>
  <c r="BI260" i="1"/>
  <c r="BI176" i="1"/>
  <c r="BH646" i="1"/>
  <c r="BI550" i="1"/>
  <c r="BH543" i="1"/>
  <c r="BH151" i="1"/>
  <c r="BH326" i="1"/>
  <c r="BI243" i="1"/>
  <c r="BH333" i="1"/>
  <c r="BI252" i="1"/>
  <c r="BI647" i="1"/>
  <c r="BH258" i="1"/>
  <c r="BH415" i="1"/>
  <c r="BH593" i="1"/>
  <c r="BH349" i="1"/>
  <c r="BH272" i="1"/>
  <c r="BH197" i="1"/>
  <c r="BI328" i="1"/>
  <c r="BH482" i="1"/>
  <c r="BI266" i="1"/>
  <c r="BH400" i="1"/>
  <c r="BI532" i="1"/>
  <c r="BH519" i="1"/>
  <c r="BI393" i="1"/>
  <c r="BH250" i="1"/>
  <c r="BI255" i="1"/>
  <c r="BI82" i="1"/>
  <c r="BH468" i="1"/>
  <c r="BI435" i="1"/>
  <c r="BH525" i="1"/>
  <c r="BH370" i="1"/>
  <c r="BH89" i="1"/>
  <c r="BI526" i="1"/>
  <c r="BI540" i="1"/>
  <c r="BI442" i="1"/>
  <c r="BI124" i="1"/>
  <c r="BH117" i="1"/>
  <c r="BH304" i="1"/>
  <c r="BI153" i="1"/>
  <c r="BI537" i="1"/>
  <c r="BI619" i="1"/>
  <c r="BI579" i="1"/>
  <c r="BH594" i="1"/>
  <c r="BH562" i="1"/>
  <c r="BI563" i="1"/>
  <c r="BI225" i="1"/>
  <c r="BI67" i="1"/>
  <c r="BH144" i="1"/>
  <c r="BH493" i="1"/>
  <c r="BH163" i="1"/>
  <c r="BH97" i="1"/>
  <c r="BI359" i="1"/>
  <c r="BI351" i="1"/>
  <c r="BI568" i="1"/>
  <c r="BH158" i="1"/>
  <c r="BH564" i="1"/>
  <c r="BH342" i="1"/>
  <c r="BI367" i="1"/>
  <c r="BH234" i="1"/>
  <c r="BI340" i="1"/>
  <c r="BI357" i="1"/>
  <c r="BI614" i="1"/>
  <c r="BI449" i="1"/>
  <c r="BI630" i="1"/>
  <c r="BH498" i="1"/>
  <c r="BH74" i="1"/>
  <c r="BH412" i="1"/>
  <c r="BH484" i="1"/>
  <c r="BI163" i="1"/>
  <c r="BH608" i="1"/>
  <c r="BI445" i="1"/>
  <c r="BH161" i="1"/>
  <c r="BI90" i="1"/>
  <c r="BI600" i="1"/>
  <c r="BH626" i="1"/>
  <c r="BH629" i="1"/>
  <c r="BI645" i="1"/>
  <c r="BH366" i="1"/>
  <c r="BH239" i="1"/>
  <c r="BH123" i="1"/>
  <c r="BI155" i="1"/>
  <c r="BI648" i="1"/>
  <c r="BI123" i="1"/>
  <c r="BI483" i="1"/>
  <c r="BH293" i="1"/>
  <c r="BH404" i="1"/>
  <c r="BH192" i="1"/>
  <c r="BH379" i="1"/>
  <c r="BH609" i="1"/>
  <c r="BI429" i="1"/>
  <c r="BH623" i="1"/>
  <c r="BI465" i="1"/>
  <c r="BI441" i="1"/>
  <c r="BH596" i="1"/>
  <c r="BI450" i="1"/>
  <c r="BH112" i="1"/>
  <c r="BH285" i="1"/>
  <c r="BH565" i="1"/>
  <c r="BI385" i="1"/>
  <c r="BI347" i="1"/>
  <c r="BI405" i="1"/>
  <c r="BI94" i="1"/>
  <c r="BI627" i="1"/>
  <c r="BI616" i="1"/>
  <c r="BH652" i="1"/>
  <c r="BI612" i="1"/>
  <c r="BH588" i="1"/>
  <c r="BH168" i="1"/>
  <c r="BI223" i="1"/>
  <c r="BI578" i="1"/>
  <c r="BH459" i="1"/>
  <c r="BH164" i="1"/>
  <c r="BI172" i="1"/>
  <c r="BH248" i="1"/>
  <c r="BH175" i="1"/>
  <c r="BI513" i="1"/>
  <c r="BH454" i="1"/>
  <c r="BH481" i="1"/>
  <c r="BH84" i="1"/>
  <c r="BI169" i="1"/>
  <c r="BI324" i="1"/>
  <c r="BH640" i="1"/>
  <c r="BH523" i="1"/>
  <c r="BI527" i="1"/>
  <c r="BI180" i="1"/>
  <c r="BI254" i="1"/>
  <c r="BI217" i="1"/>
  <c r="BI141" i="1"/>
  <c r="BH352" i="1"/>
  <c r="BI587" i="1"/>
  <c r="BH541" i="1"/>
  <c r="BH106" i="1"/>
  <c r="BI452" i="1"/>
  <c r="BH319" i="1"/>
  <c r="BI194" i="1"/>
  <c r="BI178" i="1"/>
  <c r="BI566" i="1"/>
  <c r="BI192" i="1"/>
  <c r="BI379" i="1"/>
  <c r="BI609" i="1"/>
  <c r="BH429" i="1"/>
  <c r="BI623" i="1"/>
  <c r="BH465" i="1"/>
  <c r="BH441" i="1"/>
  <c r="BH313" i="1"/>
  <c r="BI185" i="1"/>
  <c r="BI663" i="1"/>
  <c r="BH535" i="1"/>
  <c r="BI187" i="1"/>
  <c r="BH499" i="1"/>
  <c r="BH622" i="1"/>
  <c r="BH173" i="1"/>
  <c r="BH611" i="1"/>
  <c r="BH124" i="1"/>
  <c r="BI333" i="1"/>
  <c r="BH496" i="1"/>
  <c r="BI125" i="1"/>
  <c r="BH636" i="1"/>
  <c r="BH82" i="1"/>
  <c r="BI282" i="1"/>
  <c r="BI229" i="1"/>
  <c r="BH91" i="1"/>
  <c r="BI463" i="1"/>
  <c r="BH434" i="1"/>
  <c r="BI509" i="1"/>
  <c r="BH283" i="1"/>
  <c r="BH644" i="1"/>
  <c r="BI375" i="1"/>
  <c r="BH414" i="1"/>
  <c r="BH633" i="1"/>
  <c r="BH632" i="1"/>
  <c r="BI369" i="1"/>
  <c r="BI607" i="1"/>
  <c r="BH134" i="1"/>
  <c r="BH329" i="1"/>
  <c r="BI510" i="1"/>
  <c r="BI520" i="1"/>
  <c r="BI467" i="1"/>
  <c r="BI496" i="1"/>
  <c r="BH461" i="1"/>
  <c r="BH440" i="1"/>
  <c r="BI591" i="1"/>
  <c r="BI93" i="1"/>
  <c r="BH489" i="1"/>
  <c r="BH265" i="1"/>
  <c r="BI643" i="1"/>
  <c r="BH387" i="1"/>
  <c r="BH544" i="1"/>
  <c r="BH417" i="1"/>
  <c r="BI553" i="1"/>
  <c r="BH209" i="1"/>
  <c r="BH219" i="1"/>
  <c r="BH650" i="1"/>
  <c r="BI279" i="1"/>
  <c r="BI590" i="1"/>
  <c r="BI641" i="1"/>
  <c r="BI433" i="1"/>
  <c r="BH145" i="1"/>
  <c r="BI349" i="1"/>
  <c r="BH534" i="1"/>
  <c r="BH478" i="1"/>
  <c r="BI348" i="1"/>
  <c r="BH327" i="1"/>
  <c r="BI659" i="1"/>
  <c r="BI542" i="1"/>
  <c r="BH142" i="1"/>
  <c r="BH104" i="1"/>
  <c r="BH336" i="1"/>
  <c r="BH485" i="1"/>
  <c r="BI388" i="1"/>
  <c r="BI662" i="1"/>
  <c r="BI534" i="1"/>
  <c r="BI177" i="1"/>
  <c r="BI573" i="1"/>
  <c r="BH195" i="1"/>
  <c r="BH305" i="1"/>
  <c r="BI391" i="1"/>
  <c r="BH146" i="1"/>
  <c r="BI602" i="1"/>
  <c r="BI486" i="1"/>
  <c r="BI235" i="1"/>
  <c r="BH448" i="1"/>
  <c r="BH365" i="1"/>
  <c r="BI305" i="1"/>
  <c r="BH591" i="1"/>
  <c r="BI310" i="1"/>
  <c r="BI274" i="1"/>
  <c r="BH424" i="1"/>
  <c r="BI114" i="1"/>
  <c r="BI96" i="1"/>
  <c r="BH229" i="1"/>
  <c r="BH335" i="1"/>
  <c r="BI425" i="1"/>
  <c r="BI268" i="1"/>
  <c r="BI253" i="1"/>
  <c r="BI226" i="1"/>
  <c r="BH80" i="1"/>
  <c r="BI453" i="1"/>
  <c r="BI200" i="1"/>
  <c r="BI287" i="1"/>
  <c r="BH389" i="1"/>
  <c r="BI105" i="1"/>
  <c r="BH346" i="1"/>
  <c r="BI159" i="1"/>
  <c r="BH509" i="1"/>
  <c r="BH399" i="1"/>
  <c r="BH557" i="1"/>
  <c r="BI81" i="1"/>
  <c r="BI615" i="1"/>
  <c r="BH236" i="1"/>
  <c r="BH653" i="1"/>
  <c r="BI398" i="1"/>
  <c r="BI430" i="1"/>
  <c r="BI426" i="1"/>
  <c r="BI345" i="1"/>
  <c r="BH402" i="1"/>
  <c r="BH406" i="1"/>
  <c r="BH353" i="1"/>
  <c r="BI182" i="1"/>
  <c r="BH321" i="1"/>
  <c r="BH475" i="1"/>
  <c r="BH278" i="1"/>
  <c r="BH166" i="1"/>
  <c r="BI122" i="1"/>
  <c r="BI150" i="1"/>
  <c r="BI299" i="1"/>
  <c r="BH492" i="1"/>
  <c r="BI179" i="1"/>
  <c r="BH619" i="1"/>
  <c r="BI666" i="1"/>
  <c r="BH256" i="1"/>
  <c r="BH505" i="1"/>
  <c r="BI142" i="1"/>
  <c r="BI315" i="1"/>
  <c r="BI244" i="1"/>
  <c r="BI208" i="1"/>
  <c r="BH476" i="1"/>
  <c r="BH506" i="1"/>
  <c r="BH524" i="1"/>
  <c r="BH257" i="1"/>
  <c r="BI551" i="1"/>
  <c r="BH563" i="1"/>
  <c r="BI564" i="1"/>
  <c r="BI70" i="1"/>
  <c r="BI582" i="1"/>
  <c r="BI642" i="1"/>
  <c r="BH439" i="1"/>
  <c r="BI321" i="1"/>
  <c r="BI181" i="1"/>
  <c r="BH276" i="1"/>
  <c r="BI519" i="1"/>
  <c r="BH237" i="1"/>
  <c r="BH322" i="1"/>
  <c r="BH87" i="1"/>
  <c r="BH604" i="1"/>
  <c r="BH584" i="1"/>
  <c r="BI291" i="1"/>
  <c r="BI363" i="1"/>
  <c r="BI593" i="1"/>
  <c r="BH559" i="1"/>
  <c r="BH298" i="1"/>
  <c r="BI202" i="1"/>
  <c r="BH615" i="1"/>
  <c r="BH290" i="1"/>
  <c r="BH153" i="1"/>
  <c r="BH495" i="1"/>
  <c r="BH100" i="1"/>
  <c r="BH170" i="1"/>
  <c r="BI531" i="1"/>
  <c r="BI656" i="1"/>
  <c r="BI608" i="1"/>
  <c r="BH473" i="1"/>
  <c r="BI249" i="1"/>
  <c r="BI247" i="1"/>
  <c r="BH464" i="1"/>
  <c r="BI464" i="1"/>
  <c r="BI469" i="1"/>
  <c r="BI634" i="1"/>
  <c r="BH90" i="1"/>
  <c r="BI661" i="1"/>
  <c r="BI133" i="1"/>
  <c r="BI581" i="1"/>
  <c r="BI211" i="1"/>
  <c r="BH307" i="1"/>
  <c r="BH422" i="1"/>
  <c r="BI625" i="1"/>
  <c r="BH625" i="1"/>
  <c r="BI664" i="1"/>
  <c r="BI307" i="1"/>
  <c r="BI334" i="1"/>
  <c r="BI99" i="1"/>
  <c r="BI212" i="1"/>
  <c r="BI415" i="1"/>
  <c r="BH372" i="1"/>
  <c r="BH579" i="1"/>
  <c r="BI301" i="1"/>
  <c r="BH109" i="1"/>
  <c r="BH262" i="1"/>
  <c r="BH228" i="1"/>
  <c r="BI280" i="1"/>
  <c r="BI604" i="1"/>
  <c r="BH460" i="1"/>
  <c r="BH101" i="1"/>
  <c r="BH381" i="1"/>
  <c r="BI118" i="1"/>
  <c r="BI147" i="1"/>
  <c r="BI228" i="1"/>
  <c r="BI518" i="1"/>
  <c r="BH71" i="1"/>
  <c r="BH306" i="1"/>
  <c r="BH133" i="1"/>
  <c r="BI491" i="1"/>
  <c r="BI559" i="1"/>
  <c r="BH334" i="1"/>
  <c r="BH567" i="1"/>
  <c r="BH318" i="1"/>
  <c r="BH308" i="1"/>
  <c r="BH302" i="1"/>
  <c r="BH341" i="1"/>
  <c r="BH642" i="1"/>
  <c r="BH110" i="1"/>
  <c r="BH430" i="1"/>
  <c r="BI120" i="1"/>
  <c r="BH301" i="1"/>
  <c r="BI330" i="1"/>
  <c r="BI237" i="1"/>
  <c r="BI288" i="1"/>
  <c r="BI204" i="1"/>
  <c r="BI74" i="1"/>
  <c r="BH182" i="1"/>
  <c r="BH469" i="1"/>
  <c r="BI242" i="1"/>
  <c r="BH528" i="1"/>
  <c r="E2" i="1" l="1"/>
  <c r="DK2" i="1" s="1"/>
  <c r="E3" i="1"/>
  <c r="DL2" i="1" s="1"/>
  <c r="E4" i="1"/>
  <c r="DM2" i="1" s="1"/>
  <c r="F4" i="1"/>
  <c r="DM3" i="1" s="1"/>
  <c r="F2" i="1"/>
  <c r="DK3" i="1" s="1"/>
  <c r="F3" i="1"/>
  <c r="DL3" i="1" s="1"/>
</calcChain>
</file>

<file path=xl/sharedStrings.xml><?xml version="1.0" encoding="utf-8"?>
<sst xmlns="http://schemas.openxmlformats.org/spreadsheetml/2006/main" count="189" uniqueCount="107">
  <si>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</si>
  <si>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</si>
  <si>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</si>
  <si>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</si>
  <si>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</si>
  <si>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</si>
  <si>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</si>
  <si>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</si>
  <si>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</si>
  <si>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</si>
  <si>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</si>
  <si>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</si>
  <si>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</si>
  <si>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</si>
  <si>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</si>
  <si>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</si>
  <si>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</si>
  <si>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</si>
  <si>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</si>
  <si>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</si>
  <si>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</si>
  <si>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Yb correction</t>
  </si>
  <si>
    <t>Er correction</t>
  </si>
  <si>
    <t>162Er</t>
  </si>
  <si>
    <t>164Er</t>
  </si>
  <si>
    <t>166Er</t>
  </si>
  <si>
    <t>167Er</t>
  </si>
  <si>
    <t>168Er</t>
  </si>
  <si>
    <t>170Er</t>
  </si>
  <si>
    <t>Rb and Mass Bias correction (NO REE)</t>
  </si>
  <si>
    <t>Rb and Mass Bias correction (REE)</t>
  </si>
  <si>
    <t>2sigma filter (NO REE)</t>
  </si>
  <si>
    <t>2sigma filter (REE)</t>
  </si>
  <si>
    <t>REE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</si>
  <si>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</si>
  <si>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</si>
  <si>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</si>
  <si>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</si>
  <si>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</si>
  <si>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</si>
  <si>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</si>
  <si>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</si>
  <si>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</si>
  <si>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</si>
  <si>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</si>
  <si>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</si>
  <si>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</si>
  <si>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</si>
  <si>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</si>
  <si>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</si>
  <si>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</si>
  <si>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rPr>
        <b/>
        <vertAlign val="superscript"/>
        <sz val="10"/>
        <rFont val="Calibri"/>
        <family val="2"/>
      </rPr>
      <t>171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</si>
  <si>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</si>
  <si>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</si>
  <si>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</si>
  <si>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</si>
  <si>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</si>
  <si>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</si>
  <si>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</si>
  <si>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</si>
  <si>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</si>
  <si>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171</t>
    </r>
    <r>
      <rPr>
        <b/>
        <sz val="10"/>
        <rFont val="Calibri"/>
        <family val="2"/>
      </rPr>
      <t>Yb</t>
    </r>
  </si>
  <si>
    <r>
      <t>86</t>
    </r>
    <r>
      <rPr>
        <b/>
        <sz val="10"/>
        <rFont val="Calibri"/>
        <family val="2"/>
      </rPr>
      <t>Sr</t>
    </r>
  </si>
  <si>
    <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</si>
  <si>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</si>
  <si>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</si>
  <si>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</si>
  <si>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</si>
  <si>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</si>
  <si>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</si>
  <si>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</si>
  <si>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</si>
  <si>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</si>
  <si>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</si>
  <si>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rPr>
        <b/>
        <vertAlign val="superscript"/>
        <sz val="10"/>
        <rFont val="Calibri"/>
        <family val="2"/>
      </rPr>
      <t>171</t>
    </r>
    <r>
      <rPr>
        <b/>
        <sz val="10"/>
        <rFont val="Calibri"/>
        <family val="2"/>
      </rPr>
      <t>Yb/</t>
    </r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</si>
  <si>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</si>
  <si>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</si>
  <si>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</si>
  <si>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</si>
  <si>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r>
      <t>167</t>
    </r>
    <r>
      <rPr>
        <b/>
        <sz val="10"/>
        <rFont val="Calibri"/>
        <family val="2"/>
      </rPr>
      <t>Er</t>
    </r>
  </si>
  <si>
    <t>Neptune Analysis Data Report</t>
  </si>
  <si>
    <t>Run-Number-View</t>
  </si>
  <si>
    <t>Filename: C:\Neptune\User\MIN12\Data\29-6-17\Line17-roan.dat</t>
  </si>
  <si>
    <t>Date: 6/29/2017</t>
  </si>
  <si>
    <t xml:space="preserve">Sample ID: </t>
  </si>
  <si>
    <t>Method Name: C:\Neptune\User\MIN12\Methods\laserSr200.met</t>
  </si>
  <si>
    <t xml:space="preserve">Wheel ID: </t>
  </si>
  <si>
    <t>Run number: 0</t>
  </si>
  <si>
    <t>Analysis date: 6/29/2017</t>
  </si>
  <si>
    <t>Analysis time: 11:54:57 AM</t>
  </si>
  <si>
    <t xml:space="preserve">Operator: </t>
  </si>
  <si>
    <t xml:space="preserve">Instrument: </t>
  </si>
  <si>
    <t xml:space="preserve">Comment: </t>
  </si>
  <si>
    <t>Data Version: 3.2.1.14 Preview_19</t>
  </si>
  <si>
    <t>Export Version: 3.2.1.14 Preview_19</t>
  </si>
  <si>
    <t>Cycle</t>
  </si>
  <si>
    <t>Time</t>
  </si>
  <si>
    <t>83Kr</t>
  </si>
  <si>
    <t>85Rb</t>
  </si>
  <si>
    <t>86Sr</t>
  </si>
  <si>
    <t>87Sr</t>
  </si>
  <si>
    <t>88Sr</t>
  </si>
  <si>
    <r>
      <t>Unc.</t>
    </r>
    <r>
      <rPr>
        <b/>
        <sz val="10"/>
        <rFont val="Calibri"/>
        <family val="2"/>
      </rPr>
      <t>†</t>
    </r>
  </si>
  <si>
    <t>†Corrected for background (and Kr), Rb and Sr. Not corrected for REE.</t>
  </si>
  <si>
    <t>Neptune - Version 5</t>
  </si>
  <si>
    <t>Type of correction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</si>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</sst>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00000000000000%"/>
  </numFmts>
  <fonts count="28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13" fillId="7" borderId="8" applyNumberFormat="0" applyAlignment="0" applyProtection="0"/>
    <xf numFmtId="0" fontId="12" fillId="0" borderId="0"/>
    <xf numFmtId="0" fontId="12" fillId="8" borderId="9" applyNumberFormat="0" applyFont="0" applyAlignment="0" applyProtection="0"/>
    <xf numFmtId="0" fontId="14" fillId="6" borderId="10" applyNumberFormat="0" applyAlignment="0" applyProtection="0"/>
  </cellStyleXfs>
  <cellXfs count="103">
    <xf numFmtId="0" fontId="0" fillId="0" borderId="0" xfId="0"/>
    <xf numFmtId="0" fontId="15" fillId="0" borderId="0" xfId="1" applyFont="1" applyFill="1" applyBorder="1" applyAlignment="1">
      <alignment horizontal="center"/>
    </xf>
    <xf numFmtId="0" fontId="16" fillId="0" borderId="0" xfId="0" applyFont="1"/>
    <xf numFmtId="0" fontId="17" fillId="2" borderId="1" xfId="0" applyFont="1" applyFill="1" applyBorder="1" applyAlignment="1">
      <alignment horizontal="center" vertical="center"/>
    </xf>
    <xf numFmtId="0" fontId="16" fillId="0" borderId="0" xfId="0" applyFont="1" applyBorder="1" applyAlignment="1"/>
    <xf numFmtId="0" fontId="15" fillId="3" borderId="2" xfId="0" applyFont="1" applyFill="1" applyBorder="1" applyAlignment="1">
      <alignment horizontal="center"/>
    </xf>
    <xf numFmtId="165" fontId="18" fillId="3" borderId="2" xfId="0" applyNumberFormat="1" applyFont="1" applyFill="1" applyBorder="1" applyAlignment="1">
      <alignment horizontal="center"/>
    </xf>
    <xf numFmtId="0" fontId="15" fillId="4" borderId="2" xfId="0" applyFont="1" applyFill="1" applyBorder="1" applyAlignment="1">
      <alignment horizontal="center"/>
    </xf>
    <xf numFmtId="165" fontId="18" fillId="4" borderId="2" xfId="0" applyNumberFormat="1" applyFont="1" applyFill="1" applyBorder="1" applyAlignment="1">
      <alignment horizontal="center"/>
    </xf>
    <xf numFmtId="164" fontId="16" fillId="0" borderId="0" xfId="0" applyNumberFormat="1" applyFont="1"/>
    <xf numFmtId="0" fontId="12" fillId="0" borderId="0" xfId="3" applyFont="1"/>
    <xf numFmtId="11" fontId="16" fillId="0" borderId="0" xfId="0" applyNumberFormat="1" applyFont="1"/>
    <xf numFmtId="0" fontId="15" fillId="0" borderId="0" xfId="0" applyFont="1"/>
    <xf numFmtId="0" fontId="19" fillId="0" borderId="0" xfId="0" applyFont="1" applyAlignment="1">
      <alignment horizontal="center"/>
    </xf>
    <xf numFmtId="0" fontId="19" fillId="2" borderId="0" xfId="0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11" fontId="12" fillId="0" borderId="0" xfId="3" applyNumberFormat="1" applyFont="1"/>
    <xf numFmtId="2" fontId="16" fillId="0" borderId="0" xfId="0" applyNumberFormat="1" applyFont="1"/>
    <xf numFmtId="0" fontId="19" fillId="0" borderId="0" xfId="0" applyFont="1" applyFill="1" applyAlignment="1">
      <alignment horizontal="center"/>
    </xf>
    <xf numFmtId="0" fontId="16" fillId="9" borderId="0" xfId="0" applyFont="1" applyFill="1"/>
    <xf numFmtId="0" fontId="16" fillId="9" borderId="0" xfId="1" applyFont="1" applyFill="1" applyBorder="1" applyAlignment="1">
      <alignment horizontal="center"/>
    </xf>
    <xf numFmtId="0" fontId="15" fillId="9" borderId="2" xfId="0" applyFont="1" applyFill="1" applyBorder="1" applyAlignment="1">
      <alignment horizontal="center"/>
    </xf>
    <xf numFmtId="167" fontId="16" fillId="9" borderId="0" xfId="0" applyNumberFormat="1" applyFont="1" applyFill="1" applyBorder="1" applyAlignment="1">
      <alignment horizontal="right"/>
    </xf>
    <xf numFmtId="168" fontId="16" fillId="9" borderId="0" xfId="1" applyNumberFormat="1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 wrapText="1"/>
    </xf>
    <xf numFmtId="164" fontId="15" fillId="9" borderId="0" xfId="0" applyNumberFormat="1" applyFont="1" applyFill="1" applyBorder="1" applyAlignment="1">
      <alignment horizontal="right"/>
    </xf>
    <xf numFmtId="0" fontId="15" fillId="9" borderId="0" xfId="0" applyFont="1" applyFill="1" applyBorder="1" applyAlignment="1">
      <alignment horizontal="left"/>
    </xf>
    <xf numFmtId="164" fontId="16" fillId="9" borderId="0" xfId="0" applyNumberFormat="1" applyFont="1" applyFill="1" applyBorder="1"/>
    <xf numFmtId="0" fontId="15" fillId="9" borderId="3" xfId="0" applyFont="1" applyFill="1" applyBorder="1" applyAlignment="1">
      <alignment vertical="center" textRotation="180"/>
    </xf>
    <xf numFmtId="1" fontId="16" fillId="9" borderId="0" xfId="0" applyNumberFormat="1" applyFont="1" applyFill="1" applyBorder="1" applyAlignment="1">
      <alignment horizontal="right"/>
    </xf>
    <xf numFmtId="0" fontId="16" fillId="9" borderId="0" xfId="0" applyFont="1" applyFill="1" applyBorder="1"/>
    <xf numFmtId="2" fontId="16" fillId="9" borderId="0" xfId="0" applyNumberFormat="1" applyFont="1" applyFill="1" applyBorder="1"/>
    <xf numFmtId="0" fontId="16" fillId="9" borderId="0" xfId="0" applyFont="1" applyFill="1" applyBorder="1" applyAlignment="1">
      <alignment horizontal="left"/>
    </xf>
    <xf numFmtId="164" fontId="16" fillId="9" borderId="0" xfId="0" applyNumberFormat="1" applyFont="1" applyFill="1"/>
    <xf numFmtId="1" fontId="16" fillId="9" borderId="0" xfId="0" applyNumberFormat="1" applyFont="1" applyFill="1"/>
    <xf numFmtId="166" fontId="16" fillId="9" borderId="0" xfId="0" applyNumberFormat="1" applyFont="1" applyFill="1"/>
    <xf numFmtId="167" fontId="16" fillId="9" borderId="0" xfId="0" applyNumberFormat="1" applyFont="1" applyFill="1"/>
    <xf numFmtId="0" fontId="20" fillId="9" borderId="0" xfId="0" applyFont="1" applyFill="1" applyBorder="1" applyAlignment="1">
      <alignment horizontal="center" vertical="center"/>
    </xf>
    <xf numFmtId="164" fontId="15" fillId="9" borderId="0" xfId="0" applyNumberFormat="1" applyFont="1" applyFill="1" applyBorder="1"/>
    <xf numFmtId="1" fontId="15" fillId="9" borderId="0" xfId="0" applyNumberFormat="1" applyFont="1" applyFill="1" applyBorder="1"/>
    <xf numFmtId="0" fontId="15" fillId="9" borderId="0" xfId="0" applyFont="1" applyFill="1" applyBorder="1"/>
    <xf numFmtId="166" fontId="15" fillId="9" borderId="0" xfId="0" applyNumberFormat="1" applyFont="1" applyFill="1" applyBorder="1"/>
    <xf numFmtId="167" fontId="15" fillId="9" borderId="0" xfId="0" applyNumberFormat="1" applyFont="1" applyFill="1" applyBorder="1"/>
    <xf numFmtId="0" fontId="21" fillId="9" borderId="0" xfId="0" applyFont="1" applyFill="1" applyBorder="1" applyAlignment="1">
      <alignment horizontal="center" vertical="center"/>
    </xf>
    <xf numFmtId="0" fontId="15" fillId="9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164" fontId="16" fillId="9" borderId="2" xfId="0" applyNumberFormat="1" applyFont="1" applyFill="1" applyBorder="1"/>
    <xf numFmtId="0" fontId="16" fillId="9" borderId="2" xfId="0" applyFont="1" applyFill="1" applyBorder="1" applyAlignment="1">
      <alignment horizontal="center"/>
    </xf>
    <xf numFmtId="0" fontId="15" fillId="9" borderId="0" xfId="0" applyFont="1" applyFill="1" applyAlignment="1">
      <alignment horizontal="center"/>
    </xf>
    <xf numFmtId="165" fontId="22" fillId="9" borderId="4" xfId="0" applyNumberFormat="1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/>
    </xf>
    <xf numFmtId="0" fontId="15" fillId="9" borderId="2" xfId="1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/>
    </xf>
    <xf numFmtId="0" fontId="19" fillId="9" borderId="2" xfId="1" applyFont="1" applyFill="1" applyBorder="1" applyAlignment="1">
      <alignment horizontal="center"/>
    </xf>
    <xf numFmtId="0" fontId="15" fillId="9" borderId="2" xfId="1" applyFont="1" applyFill="1" applyBorder="1" applyAlignment="1">
      <alignment horizontal="center" wrapText="1"/>
    </xf>
    <xf numFmtId="168" fontId="16" fillId="9" borderId="2" xfId="1" applyNumberFormat="1" applyFont="1" applyFill="1" applyBorder="1" applyAlignment="1">
      <alignment horizontal="center" vertical="center"/>
    </xf>
    <xf numFmtId="0" fontId="15" fillId="9" borderId="0" xfId="0" applyFont="1" applyFill="1" applyBorder="1" applyAlignment="1">
      <alignment horizontal="center"/>
    </xf>
    <xf numFmtId="0" fontId="12" fillId="9" borderId="0" xfId="3" applyFont="1" applyFill="1"/>
    <xf numFmtId="0" fontId="15" fillId="2" borderId="2" xfId="0" applyFont="1" applyFill="1" applyBorder="1" applyAlignment="1">
      <alignment horizontal="center" vertical="center"/>
    </xf>
    <xf numFmtId="169" fontId="16" fillId="9" borderId="0" xfId="0" applyNumberFormat="1" applyFont="1" applyFill="1"/>
    <xf numFmtId="0" fontId="23" fillId="9" borderId="0" xfId="0" applyFont="1" applyFill="1" applyBorder="1" applyAlignment="1">
      <alignment horizontal="left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2" fontId="16" fillId="9" borderId="0" xfId="0" applyNumberFormat="1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12" fillId="0" borderId="0" xfId="3"/>
    <xf numFmtId="11" fontId="12" fillId="0" borderId="0" xfId="3" applyNumberFormat="1"/>
    <xf numFmtId="0" fontId="24" fillId="9" borderId="0" xfId="0" applyFont="1" applyFill="1" applyBorder="1" applyAlignment="1"/>
    <xf numFmtId="0" fontId="25" fillId="0" borderId="0" xfId="0" applyFont="1" applyBorder="1"/>
    <xf numFmtId="0" fontId="16" fillId="0" borderId="0" xfId="0" applyFont="1" applyBorder="1"/>
    <xf numFmtId="0" fontId="15" fillId="0" borderId="0" xfId="0" applyFont="1" applyFill="1" applyBorder="1" applyAlignment="1">
      <alignment horizontal="center"/>
    </xf>
    <xf numFmtId="0" fontId="19" fillId="10" borderId="2" xfId="0" applyFont="1" applyFill="1" applyBorder="1" applyAlignment="1">
      <alignment horizontal="center" vertical="center"/>
    </xf>
    <xf numFmtId="164" fontId="16" fillId="10" borderId="5" xfId="0" applyNumberFormat="1" applyFont="1" applyFill="1" applyBorder="1" applyAlignment="1">
      <alignment horizontal="center" vertical="center"/>
    </xf>
    <xf numFmtId="164" fontId="16" fillId="10" borderId="2" xfId="0" applyNumberFormat="1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166" fontId="16" fillId="10" borderId="5" xfId="0" applyNumberFormat="1" applyFont="1" applyFill="1" applyBorder="1" applyAlignment="1">
      <alignment horizontal="center" vertical="center"/>
    </xf>
    <xf numFmtId="166" fontId="16" fillId="10" borderId="2" xfId="0" applyNumberFormat="1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167" fontId="16" fillId="10" borderId="5" xfId="0" applyNumberFormat="1" applyFont="1" applyFill="1" applyBorder="1" applyAlignment="1">
      <alignment horizontal="center" vertical="center"/>
    </xf>
    <xf numFmtId="167" fontId="16" fillId="10" borderId="2" xfId="0" applyNumberFormat="1" applyFont="1" applyFill="1" applyBorder="1" applyAlignment="1">
      <alignment horizontal="center" vertical="center"/>
    </xf>
    <xf numFmtId="167" fontId="16" fillId="10" borderId="2" xfId="0" applyNumberFormat="1" applyFont="1" applyFill="1" applyBorder="1" applyAlignment="1">
      <alignment horizontal="center" vertical="center" wrapText="1"/>
    </xf>
    <xf numFmtId="0" fontId="19" fillId="11" borderId="2" xfId="0" applyFont="1" applyFill="1" applyBorder="1" applyAlignment="1">
      <alignment horizontal="center" vertical="center"/>
    </xf>
    <xf numFmtId="164" fontId="15" fillId="11" borderId="5" xfId="0" applyNumberFormat="1" applyFont="1" applyFill="1" applyBorder="1" applyAlignment="1">
      <alignment horizontal="center" vertical="center"/>
    </xf>
    <xf numFmtId="164" fontId="15" fillId="11" borderId="2" xfId="0" applyNumberFormat="1" applyFont="1" applyFill="1" applyBorder="1" applyAlignment="1">
      <alignment horizontal="center" vertical="center"/>
    </xf>
    <xf numFmtId="0" fontId="25" fillId="0" borderId="0" xfId="0" applyFont="1" applyFill="1" applyBorder="1"/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27" fillId="0" borderId="0" xfId="1" applyFont="1" applyFill="1" applyBorder="1" applyAlignment="1">
      <alignment horizontal="left"/>
    </xf>
    <xf numFmtId="168" fontId="23" fillId="9" borderId="0" xfId="0" applyNumberFormat="1" applyFont="1" applyFill="1" applyAlignment="1"/>
    <xf numFmtId="0" fontId="25" fillId="0" borderId="0" xfId="0" applyFont="1" applyFill="1"/>
    <xf numFmtId="0" fontId="16" fillId="0" borderId="0" xfId="0" applyFont="1" applyFill="1"/>
    <xf numFmtId="166" fontId="16" fillId="0" borderId="0" xfId="0" applyNumberFormat="1" applyFont="1"/>
    <xf numFmtId="167" fontId="16" fillId="0" borderId="0" xfId="0" applyNumberFormat="1" applyFont="1"/>
    <xf numFmtId="165" fontId="16" fillId="0" borderId="0" xfId="0" applyNumberFormat="1" applyFont="1"/>
    <xf numFmtId="0" fontId="15" fillId="0" borderId="0" xfId="0" applyFont="1" applyFill="1" applyBorder="1" applyAlignment="1">
      <alignment horizontal="center"/>
    </xf>
    <xf numFmtId="0" fontId="15" fillId="2" borderId="2" xfId="1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12" borderId="2" xfId="0" applyFont="1" applyFill="1" applyBorder="1" applyAlignment="1">
      <alignment horizontal="center"/>
    </xf>
    <xf numFmtId="0" fontId="15" fillId="9" borderId="0" xfId="0" applyFont="1" applyFill="1" applyBorder="1" applyAlignment="1">
      <alignment horizontal="center"/>
    </xf>
  </cellXfs>
  <cellStyles count="6">
    <cellStyle name="Excel Built-in Explanatory Text" xfId="1"/>
    <cellStyle name="Input" xfId="2" builtinId="20" customBuiltin="1"/>
    <cellStyle name="Normale" xfId="0" builtinId="0"/>
    <cellStyle name="Normale 2" xfId="3"/>
    <cellStyle name="Nota 2" xfId="4"/>
    <cellStyle name="Output" xfId="5" builtinId="2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686689485531135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5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Data!$H$4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Data!$I$4</c:f>
              <c:numCache>
                <c:formatCode>#</c:formatCode>
                <c:ptCount val="1"/>
                <c:pt idx="0">
                  <c:v>284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Data!$H$5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Data!$K$5</c:f>
              <c:numCache>
                <c:formatCode>General</c:formatCode>
                <c:ptCount val="1"/>
                <c:pt idx="0">
                  <c:v>384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Data!$K$67:$K$1067</c:f>
              <c:numCache>
                <c:formatCode>0.00E+00</c:formatCode>
                <c:ptCount val="1001"/>
                <c:pt idx="0">
                  <c:v>7.2755430393622103E-3</c:v>
                </c:pt>
                <c:pt idx="1">
                  <c:v>7.2633622645115496E-3</c:v>
                </c:pt>
                <c:pt idx="2">
                  <c:v>7.2597797118233703E-3</c:v>
                </c:pt>
                <c:pt idx="3">
                  <c:v>7.2048488395096604E-3</c:v>
                </c:pt>
                <c:pt idx="4">
                  <c:v>7.1487269247098896E-3</c:v>
                </c:pt>
                <c:pt idx="5">
                  <c:v>7.1972065217418401E-3</c:v>
                </c:pt>
                <c:pt idx="6">
                  <c:v>7.1575629327999797E-3</c:v>
                </c:pt>
                <c:pt idx="7">
                  <c:v>7.2280149710170502E-3</c:v>
                </c:pt>
                <c:pt idx="8">
                  <c:v>7.2270596560480502E-3</c:v>
                </c:pt>
                <c:pt idx="9">
                  <c:v>7.24616612830274E-3</c:v>
                </c:pt>
                <c:pt idx="10">
                  <c:v>7.1176821080810096E-3</c:v>
                </c:pt>
                <c:pt idx="11">
                  <c:v>7.1107568569947601E-3</c:v>
                </c:pt>
                <c:pt idx="12">
                  <c:v>7.0866382523307198E-3</c:v>
                </c:pt>
                <c:pt idx="13">
                  <c:v>7.2227607499468598E-3</c:v>
                </c:pt>
                <c:pt idx="14">
                  <c:v>7.2024606089523E-3</c:v>
                </c:pt>
                <c:pt idx="15">
                  <c:v>7.2361351849891996E-3</c:v>
                </c:pt>
                <c:pt idx="16">
                  <c:v>7.1680707194213596E-3</c:v>
                </c:pt>
                <c:pt idx="17">
                  <c:v>7.2657506400788099E-3</c:v>
                </c:pt>
                <c:pt idx="18">
                  <c:v>7.2628845900805598E-3</c:v>
                </c:pt>
                <c:pt idx="19">
                  <c:v>7.0821011538913896E-3</c:v>
                </c:pt>
                <c:pt idx="20">
                  <c:v>7.1859819730869402E-3</c:v>
                </c:pt>
                <c:pt idx="21">
                  <c:v>7.1816832430369503E-3</c:v>
                </c:pt>
                <c:pt idx="22">
                  <c:v>7.08520548218519E-3</c:v>
                </c:pt>
                <c:pt idx="23">
                  <c:v>7.14633882777736E-3</c:v>
                </c:pt>
                <c:pt idx="24">
                  <c:v>7.2791256483513596E-3</c:v>
                </c:pt>
                <c:pt idx="25">
                  <c:v>7.1269954521753298E-3</c:v>
                </c:pt>
                <c:pt idx="26">
                  <c:v>7.1511150273284802E-3</c:v>
                </c:pt>
                <c:pt idx="27">
                  <c:v>7.2755430393622103E-3</c:v>
                </c:pt>
                <c:pt idx="28">
                  <c:v>7.0969064982695203E-3</c:v>
                </c:pt>
                <c:pt idx="29">
                  <c:v>6.9486241260927903E-3</c:v>
                </c:pt>
                <c:pt idx="30">
                  <c:v>7.1066972492784004E-3</c:v>
                </c:pt>
                <c:pt idx="31">
                  <c:v>7.1150552830748E-3</c:v>
                </c:pt>
                <c:pt idx="32">
                  <c:v>7.1176821080810096E-3</c:v>
                </c:pt>
                <c:pt idx="33">
                  <c:v>7.1499209753085498E-3</c:v>
                </c:pt>
                <c:pt idx="34">
                  <c:v>7.0959513081661502E-3</c:v>
                </c:pt>
                <c:pt idx="35">
                  <c:v>7.1100404544391102E-3</c:v>
                </c:pt>
                <c:pt idx="36">
                  <c:v>7.0071226045782097E-3</c:v>
                </c:pt>
                <c:pt idx="37">
                  <c:v>7.1195925305886998E-3</c:v>
                </c:pt>
                <c:pt idx="38">
                  <c:v>7.0935633368875003E-3</c:v>
                </c:pt>
                <c:pt idx="39">
                  <c:v>7.1367864969056199E-3</c:v>
                </c:pt>
                <c:pt idx="40">
                  <c:v>7.0553565696386197E-3</c:v>
                </c:pt>
                <c:pt idx="41">
                  <c:v>7.0942797276740896E-3</c:v>
                </c:pt>
                <c:pt idx="42">
                  <c:v>7.1064584493361E-3</c:v>
                </c:pt>
                <c:pt idx="43">
                  <c:v>7.0510583994006304E-3</c:v>
                </c:pt>
                <c:pt idx="44">
                  <c:v>7.1386969558019696E-3</c:v>
                </c:pt>
                <c:pt idx="45">
                  <c:v>7.0821011538913896E-3</c:v>
                </c:pt>
                <c:pt idx="46">
                  <c:v>7.0064062760433702E-3</c:v>
                </c:pt>
                <c:pt idx="47">
                  <c:v>7.1021600600988301E-3</c:v>
                </c:pt>
                <c:pt idx="48">
                  <c:v>7.1468164467088403E-3</c:v>
                </c:pt>
                <c:pt idx="49">
                  <c:v>7.0443723934204101E-3</c:v>
                </c:pt>
                <c:pt idx="50">
                  <c:v>7.03625373179316E-3</c:v>
                </c:pt>
                <c:pt idx="51">
                  <c:v>7.1205477432070398E-3</c:v>
                </c:pt>
                <c:pt idx="52">
                  <c:v>7.0314780791818996E-3</c:v>
                </c:pt>
                <c:pt idx="53">
                  <c:v>6.9450426974392802E-3</c:v>
                </c:pt>
                <c:pt idx="54">
                  <c:v>6.9782310928353302E-3</c:v>
                </c:pt>
                <c:pt idx="55">
                  <c:v>7.0591771808694E-3</c:v>
                </c:pt>
                <c:pt idx="56">
                  <c:v>6.9696354318050501E-3</c:v>
                </c:pt>
                <c:pt idx="57">
                  <c:v>6.9920798127882204E-3</c:v>
                </c:pt>
                <c:pt idx="58">
                  <c:v>7.0419845449433E-3</c:v>
                </c:pt>
                <c:pt idx="59">
                  <c:v>7.01022670080756E-3</c:v>
                </c:pt>
                <c:pt idx="60">
                  <c:v>6.99613895659965E-3</c:v>
                </c:pt>
                <c:pt idx="61">
                  <c:v>7.0195390471400002E-3</c:v>
                </c:pt>
                <c:pt idx="62">
                  <c:v>6.99995934225327E-3</c:v>
                </c:pt>
                <c:pt idx="63">
                  <c:v>6.8490651736350001E-3</c:v>
                </c:pt>
                <c:pt idx="64">
                  <c:v>7.0044960691185596E-3</c:v>
                </c:pt>
                <c:pt idx="65">
                  <c:v>6.8944265401708303E-3</c:v>
                </c:pt>
                <c:pt idx="66">
                  <c:v>6.9810963295500001E-3</c:v>
                </c:pt>
                <c:pt idx="67">
                  <c:v>7.0415069759299804E-3</c:v>
                </c:pt>
                <c:pt idx="68">
                  <c:v>6.9123329075680001E-3</c:v>
                </c:pt>
                <c:pt idx="69">
                  <c:v>6.9779923234786403E-3</c:v>
                </c:pt>
                <c:pt idx="70">
                  <c:v>6.9371635994204296E-3</c:v>
                </c:pt>
                <c:pt idx="71">
                  <c:v>6.9966165040105501E-3</c:v>
                </c:pt>
                <c:pt idx="72">
                  <c:v>7.0419845449433E-3</c:v>
                </c:pt>
                <c:pt idx="73">
                  <c:v>7.1420402676270296E-3</c:v>
                </c:pt>
                <c:pt idx="74">
                  <c:v>6.9913634949974497E-3</c:v>
                </c:pt>
                <c:pt idx="75">
                  <c:v>6.9462365055692398E-3</c:v>
                </c:pt>
                <c:pt idx="76">
                  <c:v>6.9335822116928002E-3</c:v>
                </c:pt>
                <c:pt idx="77">
                  <c:v>6.9672477612597698E-3</c:v>
                </c:pt>
                <c:pt idx="78">
                  <c:v>6.8519300413477802E-3</c:v>
                </c:pt>
                <c:pt idx="79">
                  <c:v>6.8832053795561303E-3</c:v>
                </c:pt>
                <c:pt idx="80">
                  <c:v>6.9369248398406403E-3</c:v>
                </c:pt>
                <c:pt idx="81">
                  <c:v>6.9300008367546703E-3</c:v>
                </c:pt>
                <c:pt idx="82">
                  <c:v>6.9600847837299699E-3</c:v>
                </c:pt>
                <c:pt idx="83">
                  <c:v>6.9125716612930699E-3</c:v>
                </c:pt>
                <c:pt idx="84">
                  <c:v>7.02407586257378E-3</c:v>
                </c:pt>
                <c:pt idx="85">
                  <c:v>6.8877415783028702E-3</c:v>
                </c:pt>
                <c:pt idx="86">
                  <c:v>7.01213691864717E-3</c:v>
                </c:pt>
                <c:pt idx="87">
                  <c:v>6.8602859522561696E-3</c:v>
                </c:pt>
                <c:pt idx="88">
                  <c:v>6.9247481766460898E-3</c:v>
                </c:pt>
                <c:pt idx="89">
                  <c:v>6.9942287692302497E-3</c:v>
                </c:pt>
                <c:pt idx="90">
                  <c:v>6.8547949172445503E-3</c:v>
                </c:pt>
                <c:pt idx="91">
                  <c:v>6.9039765629956701E-3</c:v>
                </c:pt>
                <c:pt idx="92">
                  <c:v>6.9252256900645404E-3</c:v>
                </c:pt>
                <c:pt idx="93">
                  <c:v>6.8268627263499198E-3</c:v>
                </c:pt>
                <c:pt idx="94">
                  <c:v>6.8046607706048999E-3</c:v>
                </c:pt>
                <c:pt idx="95">
                  <c:v>6.9428938463860102E-3</c:v>
                </c:pt>
                <c:pt idx="96">
                  <c:v>6.8022734928031396E-3</c:v>
                </c:pt>
                <c:pt idx="97">
                  <c:v>6.8247141285053201E-3</c:v>
                </c:pt>
                <c:pt idx="98">
                  <c:v>6.7760138120587197E-3</c:v>
                </c:pt>
                <c:pt idx="99">
                  <c:v>6.7958278711254304E-3</c:v>
                </c:pt>
                <c:pt idx="100">
                  <c:v>6.90875160851105E-3</c:v>
                </c:pt>
                <c:pt idx="101">
                  <c:v>6.7853239838252402E-3</c:v>
                </c:pt>
                <c:pt idx="102">
                  <c:v>6.8953815383610197E-3</c:v>
                </c:pt>
                <c:pt idx="103">
                  <c:v>6.8213718743413698E-3</c:v>
                </c:pt>
                <c:pt idx="104">
                  <c:v>6.9562645499657303E-3</c:v>
                </c:pt>
                <c:pt idx="105">
                  <c:v>2.4336663843899198E-2</c:v>
                </c:pt>
                <c:pt idx="106">
                  <c:v>9.66136893123343E-2</c:v>
                </c:pt>
                <c:pt idx="107">
                  <c:v>0.13763983685638201</c:v>
                </c:pt>
                <c:pt idx="108">
                  <c:v>0.43302679167533198</c:v>
                </c:pt>
                <c:pt idx="109">
                  <c:v>1.25258501022776</c:v>
                </c:pt>
                <c:pt idx="110">
                  <c:v>2.0075674523867701</c:v>
                </c:pt>
                <c:pt idx="111">
                  <c:v>2.2979797942313001</c:v>
                </c:pt>
                <c:pt idx="112">
                  <c:v>2.4237531036446902</c:v>
                </c:pt>
                <c:pt idx="113">
                  <c:v>2.6405922579020999</c:v>
                </c:pt>
                <c:pt idx="114">
                  <c:v>2.6145485909523898</c:v>
                </c:pt>
                <c:pt idx="115">
                  <c:v>2.5789127301950701</c:v>
                </c:pt>
                <c:pt idx="116">
                  <c:v>2.6190806681018799</c:v>
                </c:pt>
                <c:pt idx="117">
                  <c:v>2.6092578631737</c:v>
                </c:pt>
                <c:pt idx="118">
                  <c:v>2.7072712453707699</c:v>
                </c:pt>
                <c:pt idx="119">
                  <c:v>2.8709921721614702</c:v>
                </c:pt>
                <c:pt idx="120">
                  <c:v>2.8756414255552198</c:v>
                </c:pt>
                <c:pt idx="121">
                  <c:v>2.9488293553915002</c:v>
                </c:pt>
                <c:pt idx="122">
                  <c:v>2.9405318209695301</c:v>
                </c:pt>
                <c:pt idx="123">
                  <c:v>2.9322177113524601</c:v>
                </c:pt>
                <c:pt idx="124">
                  <c:v>2.8831617117714798</c:v>
                </c:pt>
                <c:pt idx="125">
                  <c:v>2.8957291437707302</c:v>
                </c:pt>
                <c:pt idx="126">
                  <c:v>3.0069831477893998</c:v>
                </c:pt>
                <c:pt idx="127">
                  <c:v>3.12665792834976</c:v>
                </c:pt>
                <c:pt idx="128">
                  <c:v>3.1044199758756399</c:v>
                </c:pt>
                <c:pt idx="129">
                  <c:v>3.09628277776268</c:v>
                </c:pt>
                <c:pt idx="130">
                  <c:v>2.99861380733604</c:v>
                </c:pt>
                <c:pt idx="131">
                  <c:v>2.88773220220722</c:v>
                </c:pt>
                <c:pt idx="132">
                  <c:v>2.9058268170271999</c:v>
                </c:pt>
                <c:pt idx="133">
                  <c:v>2.94158084387501</c:v>
                </c:pt>
                <c:pt idx="134">
                  <c:v>2.9627069629634799</c:v>
                </c:pt>
                <c:pt idx="135">
                  <c:v>3.02568377664049</c:v>
                </c:pt>
                <c:pt idx="136">
                  <c:v>3.0081183134302401</c:v>
                </c:pt>
                <c:pt idx="137">
                  <c:v>2.9981909874800801</c:v>
                </c:pt>
                <c:pt idx="138">
                  <c:v>3.0463798330104899</c:v>
                </c:pt>
                <c:pt idx="139">
                  <c:v>3.0177840180448401</c:v>
                </c:pt>
                <c:pt idx="140">
                  <c:v>2.91991401507611</c:v>
                </c:pt>
                <c:pt idx="141">
                  <c:v>2.9179458693105702</c:v>
                </c:pt>
                <c:pt idx="142">
                  <c:v>2.7963045876572599</c:v>
                </c:pt>
                <c:pt idx="143">
                  <c:v>2.6798706759945201</c:v>
                </c:pt>
                <c:pt idx="144">
                  <c:v>2.6700031445812198</c:v>
                </c:pt>
                <c:pt idx="145">
                  <c:v>2.6762716229506101</c:v>
                </c:pt>
                <c:pt idx="146">
                  <c:v>2.6852644144865598</c:v>
                </c:pt>
                <c:pt idx="147">
                  <c:v>2.60425619751945</c:v>
                </c:pt>
                <c:pt idx="148">
                  <c:v>2.64533902151158</c:v>
                </c:pt>
                <c:pt idx="149">
                  <c:v>2.5899833297340402</c:v>
                </c:pt>
                <c:pt idx="150">
                  <c:v>2.5578975489109199</c:v>
                </c:pt>
                <c:pt idx="151">
                  <c:v>2.5163019577165899</c:v>
                </c:pt>
                <c:pt idx="152">
                  <c:v>2.5165671779969299</c:v>
                </c:pt>
                <c:pt idx="153">
                  <c:v>2.6008470879037402</c:v>
                </c:pt>
                <c:pt idx="154">
                  <c:v>2.6072860638263702</c:v>
                </c:pt>
                <c:pt idx="155">
                  <c:v>2.6150772975813199</c:v>
                </c:pt>
                <c:pt idx="156">
                  <c:v>2.6892378255115101</c:v>
                </c:pt>
                <c:pt idx="157">
                  <c:v>2.6610675058745699</c:v>
                </c:pt>
                <c:pt idx="158">
                  <c:v>2.6911808878749701</c:v>
                </c:pt>
                <c:pt idx="159">
                  <c:v>2.8110461579267301</c:v>
                </c:pt>
                <c:pt idx="160">
                  <c:v>2.85326695072012</c:v>
                </c:pt>
                <c:pt idx="161">
                  <c:v>3.2047491467314502</c:v>
                </c:pt>
                <c:pt idx="162">
                  <c:v>3.4247218399605401</c:v>
                </c:pt>
                <c:pt idx="163">
                  <c:v>3.4496755169953701</c:v>
                </c:pt>
                <c:pt idx="164">
                  <c:v>3.1171546178118299</c:v>
                </c:pt>
                <c:pt idx="165">
                  <c:v>2.9441999570775401</c:v>
                </c:pt>
                <c:pt idx="166">
                  <c:v>2.7326455722863399</c:v>
                </c:pt>
                <c:pt idx="167">
                  <c:v>2.5194360812379202</c:v>
                </c:pt>
                <c:pt idx="168">
                  <c:v>2.6806845672713999</c:v>
                </c:pt>
                <c:pt idx="169">
                  <c:v>2.7997095036784598</c:v>
                </c:pt>
                <c:pt idx="170">
                  <c:v>2.7149447492548999</c:v>
                </c:pt>
                <c:pt idx="171">
                  <c:v>2.7963948808546801</c:v>
                </c:pt>
                <c:pt idx="172">
                  <c:v>2.74544334540749</c:v>
                </c:pt>
                <c:pt idx="173">
                  <c:v>2.7322075791223202</c:v>
                </c:pt>
                <c:pt idx="174">
                  <c:v>2.7771500974273899</c:v>
                </c:pt>
                <c:pt idx="175">
                  <c:v>2.8295387408964201</c:v>
                </c:pt>
                <c:pt idx="176">
                  <c:v>2.78375112672457</c:v>
                </c:pt>
                <c:pt idx="177">
                  <c:v>2.7267286039081502</c:v>
                </c:pt>
                <c:pt idx="178">
                  <c:v>2.6835893173117702</c:v>
                </c:pt>
                <c:pt idx="179">
                  <c:v>2.7021401321254599</c:v>
                </c:pt>
                <c:pt idx="180">
                  <c:v>2.6664908148361901</c:v>
                </c:pt>
                <c:pt idx="181">
                  <c:v>2.4683629026368901</c:v>
                </c:pt>
                <c:pt idx="182">
                  <c:v>2.4481384931607799</c:v>
                </c:pt>
                <c:pt idx="183">
                  <c:v>2.45931960467591</c:v>
                </c:pt>
                <c:pt idx="184">
                  <c:v>2.5225675347281502</c:v>
                </c:pt>
                <c:pt idx="185">
                  <c:v>2.4351711899027202</c:v>
                </c:pt>
                <c:pt idx="186">
                  <c:v>2.4352937259109102</c:v>
                </c:pt>
                <c:pt idx="187">
                  <c:v>2.3776736433201102</c:v>
                </c:pt>
                <c:pt idx="188">
                  <c:v>2.4037945510976102</c:v>
                </c:pt>
                <c:pt idx="189">
                  <c:v>2.6297101488424399</c:v>
                </c:pt>
                <c:pt idx="190">
                  <c:v>2.6273022390026002</c:v>
                </c:pt>
                <c:pt idx="191">
                  <c:v>2.6083046892718902</c:v>
                </c:pt>
                <c:pt idx="192">
                  <c:v>2.6503718836400401</c:v>
                </c:pt>
                <c:pt idx="193">
                  <c:v>2.59143022455173</c:v>
                </c:pt>
                <c:pt idx="194">
                  <c:v>2.5869023250403198</c:v>
                </c:pt>
                <c:pt idx="195">
                  <c:v>2.4224166469531601</c:v>
                </c:pt>
                <c:pt idx="196">
                  <c:v>2.3129608757709001</c:v>
                </c:pt>
                <c:pt idx="197">
                  <c:v>2.4605289064954201</c:v>
                </c:pt>
                <c:pt idx="198">
                  <c:v>2.4816996448379798</c:v>
                </c:pt>
                <c:pt idx="199">
                  <c:v>2.5681930207397499</c:v>
                </c:pt>
                <c:pt idx="200">
                  <c:v>2.52446458163887</c:v>
                </c:pt>
                <c:pt idx="201">
                  <c:v>2.48617922906086</c:v>
                </c:pt>
                <c:pt idx="202">
                  <c:v>2.54576353055882</c:v>
                </c:pt>
                <c:pt idx="203">
                  <c:v>2.4588532742564602</c:v>
                </c:pt>
                <c:pt idx="204">
                  <c:v>2.4449863883448901</c:v>
                </c:pt>
                <c:pt idx="205">
                  <c:v>2.3492574180817098</c:v>
                </c:pt>
                <c:pt idx="206">
                  <c:v>2.5073869807581799</c:v>
                </c:pt>
                <c:pt idx="207">
                  <c:v>2.48611296435499</c:v>
                </c:pt>
                <c:pt idx="208">
                  <c:v>2.4123007114152299</c:v>
                </c:pt>
                <c:pt idx="209">
                  <c:v>2.4798755067608198</c:v>
                </c:pt>
                <c:pt idx="210">
                  <c:v>2.7915756218592098</c:v>
                </c:pt>
                <c:pt idx="211">
                  <c:v>2.4968590257225101</c:v>
                </c:pt>
                <c:pt idx="212">
                  <c:v>2.3507932262823199</c:v>
                </c:pt>
                <c:pt idx="213">
                  <c:v>2.2315247816394002</c:v>
                </c:pt>
                <c:pt idx="214">
                  <c:v>2.1773978225912098</c:v>
                </c:pt>
                <c:pt idx="215">
                  <c:v>2.15342502343313</c:v>
                </c:pt>
                <c:pt idx="216">
                  <c:v>2.2450428210214501</c:v>
                </c:pt>
                <c:pt idx="217">
                  <c:v>2.3840248013736698</c:v>
                </c:pt>
                <c:pt idx="218">
                  <c:v>2.4313547998879801</c:v>
                </c:pt>
                <c:pt idx="219">
                  <c:v>2.5157355773492198</c:v>
                </c:pt>
                <c:pt idx="220">
                  <c:v>2.4833624775677601</c:v>
                </c:pt>
                <c:pt idx="221">
                  <c:v>2.54088375412503</c:v>
                </c:pt>
                <c:pt idx="222">
                  <c:v>2.4297866854857602</c:v>
                </c:pt>
                <c:pt idx="223">
                  <c:v>2.5426049753378202</c:v>
                </c:pt>
                <c:pt idx="224">
                  <c:v>2.42107599735886</c:v>
                </c:pt>
                <c:pt idx="225">
                  <c:v>2.2956217094359199</c:v>
                </c:pt>
                <c:pt idx="226">
                  <c:v>2.46478948416806</c:v>
                </c:pt>
                <c:pt idx="227">
                  <c:v>2.45549152410682</c:v>
                </c:pt>
                <c:pt idx="228">
                  <c:v>2.33762409015918</c:v>
                </c:pt>
                <c:pt idx="229">
                  <c:v>2.2250059445404</c:v>
                </c:pt>
                <c:pt idx="230">
                  <c:v>2.3294932646837099</c:v>
                </c:pt>
                <c:pt idx="231">
                  <c:v>2.4297977689836499</c:v>
                </c:pt>
                <c:pt idx="232">
                  <c:v>2.27022871296536</c:v>
                </c:pt>
                <c:pt idx="233">
                  <c:v>2.2808654703053501</c:v>
                </c:pt>
                <c:pt idx="234">
                  <c:v>2.30733022572629</c:v>
                </c:pt>
                <c:pt idx="235">
                  <c:v>2.3862617707794498</c:v>
                </c:pt>
                <c:pt idx="236">
                  <c:v>2.3806521671795</c:v>
                </c:pt>
                <c:pt idx="237">
                  <c:v>2.34993784873642</c:v>
                </c:pt>
                <c:pt idx="238">
                  <c:v>2.2834298532108099</c:v>
                </c:pt>
                <c:pt idx="239">
                  <c:v>2.3763906764256602</c:v>
                </c:pt>
                <c:pt idx="240">
                  <c:v>2.3355586430806698</c:v>
                </c:pt>
                <c:pt idx="241">
                  <c:v>2.29646264743619</c:v>
                </c:pt>
                <c:pt idx="242">
                  <c:v>2.4914253382454699</c:v>
                </c:pt>
                <c:pt idx="243">
                  <c:v>2.4089594626297401</c:v>
                </c:pt>
                <c:pt idx="244">
                  <c:v>2.2884218264629301</c:v>
                </c:pt>
                <c:pt idx="245">
                  <c:v>2.24409909442261</c:v>
                </c:pt>
                <c:pt idx="246">
                  <c:v>2.1697336726238099</c:v>
                </c:pt>
                <c:pt idx="247">
                  <c:v>2.3860152047454402</c:v>
                </c:pt>
                <c:pt idx="248">
                  <c:v>2.5220674175609998</c:v>
                </c:pt>
                <c:pt idx="249">
                  <c:v>2.4220673149157101</c:v>
                </c:pt>
                <c:pt idx="250">
                  <c:v>2.4411157376047701</c:v>
                </c:pt>
                <c:pt idx="251">
                  <c:v>2.4071639607957298</c:v>
                </c:pt>
                <c:pt idx="252">
                  <c:v>2.3331315700972701</c:v>
                </c:pt>
                <c:pt idx="253">
                  <c:v>2.3306797205696701</c:v>
                </c:pt>
                <c:pt idx="254">
                  <c:v>2.27579959219341</c:v>
                </c:pt>
                <c:pt idx="255">
                  <c:v>2.3246579561930201</c:v>
                </c:pt>
                <c:pt idx="256">
                  <c:v>2.4742979440867598</c:v>
                </c:pt>
                <c:pt idx="257">
                  <c:v>2.41847384520951</c:v>
                </c:pt>
                <c:pt idx="258">
                  <c:v>2.4132209428132398</c:v>
                </c:pt>
                <c:pt idx="259">
                  <c:v>2.3368930305529201</c:v>
                </c:pt>
                <c:pt idx="260">
                  <c:v>2.4714601665658402</c:v>
                </c:pt>
                <c:pt idx="261">
                  <c:v>2.3528249548266902</c:v>
                </c:pt>
                <c:pt idx="262">
                  <c:v>2.1286025616200401</c:v>
                </c:pt>
                <c:pt idx="263">
                  <c:v>2.2305811525251298</c:v>
                </c:pt>
                <c:pt idx="264">
                  <c:v>2.2733780794454099</c:v>
                </c:pt>
                <c:pt idx="265">
                  <c:v>2.2238554904825198</c:v>
                </c:pt>
                <c:pt idx="266">
                  <c:v>2.1774595329081601</c:v>
                </c:pt>
                <c:pt idx="267">
                  <c:v>2.1847529877199001</c:v>
                </c:pt>
                <c:pt idx="268">
                  <c:v>2.2818010760116998</c:v>
                </c:pt>
                <c:pt idx="269">
                  <c:v>2.2869263614551101</c:v>
                </c:pt>
                <c:pt idx="270">
                  <c:v>2.24020623306488</c:v>
                </c:pt>
                <c:pt idx="271">
                  <c:v>2.1696457515485901</c:v>
                </c:pt>
                <c:pt idx="272">
                  <c:v>2.15681272668989</c:v>
                </c:pt>
                <c:pt idx="273">
                  <c:v>2.14871621873215</c:v>
                </c:pt>
                <c:pt idx="274">
                  <c:v>2.0350447647901602</c:v>
                </c:pt>
                <c:pt idx="275">
                  <c:v>2.02991688069676</c:v>
                </c:pt>
                <c:pt idx="276">
                  <c:v>2.0795270416893898</c:v>
                </c:pt>
                <c:pt idx="277">
                  <c:v>2.0684768124493602</c:v>
                </c:pt>
                <c:pt idx="278">
                  <c:v>2.1031711357203702</c:v>
                </c:pt>
                <c:pt idx="279">
                  <c:v>2.1106045776592199</c:v>
                </c:pt>
                <c:pt idx="280">
                  <c:v>2.11122874827208</c:v>
                </c:pt>
                <c:pt idx="281">
                  <c:v>2.0702957098518402</c:v>
                </c:pt>
                <c:pt idx="282">
                  <c:v>1.99602487422555</c:v>
                </c:pt>
                <c:pt idx="283">
                  <c:v>1.99405978855726</c:v>
                </c:pt>
                <c:pt idx="284">
                  <c:v>2.1043847118388799</c:v>
                </c:pt>
                <c:pt idx="285">
                  <c:v>2.2714426260084202</c:v>
                </c:pt>
                <c:pt idx="286">
                  <c:v>2.2515966651278401</c:v>
                </c:pt>
                <c:pt idx="287">
                  <c:v>2.2669698989892901</c:v>
                </c:pt>
                <c:pt idx="288">
                  <c:v>2.1966309128105999</c:v>
                </c:pt>
                <c:pt idx="289">
                  <c:v>2.17313097970223</c:v>
                </c:pt>
                <c:pt idx="290">
                  <c:v>2.19397904178423</c:v>
                </c:pt>
                <c:pt idx="291">
                  <c:v>2.1629672635908102</c:v>
                </c:pt>
                <c:pt idx="292">
                  <c:v>2.1075602423636002</c:v>
                </c:pt>
                <c:pt idx="293">
                  <c:v>2.0719395924269799</c:v>
                </c:pt>
                <c:pt idx="294">
                  <c:v>2.10759986798791</c:v>
                </c:pt>
                <c:pt idx="295">
                  <c:v>2.11515084624821</c:v>
                </c:pt>
                <c:pt idx="296">
                  <c:v>2.0448732442317801</c:v>
                </c:pt>
                <c:pt idx="297">
                  <c:v>2.0327811749357698</c:v>
                </c:pt>
                <c:pt idx="298">
                  <c:v>1.87818783276289</c:v>
                </c:pt>
                <c:pt idx="299">
                  <c:v>1.92369705980789</c:v>
                </c:pt>
                <c:pt idx="300">
                  <c:v>1.9002105652285199</c:v>
                </c:pt>
                <c:pt idx="301">
                  <c:v>2.0289734126197798</c:v>
                </c:pt>
                <c:pt idx="302">
                  <c:v>2.2330862501511399</c:v>
                </c:pt>
                <c:pt idx="303">
                  <c:v>2.1463699285603601</c:v>
                </c:pt>
                <c:pt idx="304">
                  <c:v>2.3050333775140102</c:v>
                </c:pt>
                <c:pt idx="305">
                  <c:v>2.2798201572582801</c:v>
                </c:pt>
                <c:pt idx="306">
                  <c:v>2.2222159708784601</c:v>
                </c:pt>
                <c:pt idx="307">
                  <c:v>2.1912819188952199</c:v>
                </c:pt>
                <c:pt idx="308">
                  <c:v>2.4175006483707899</c:v>
                </c:pt>
                <c:pt idx="309">
                  <c:v>2.3477925980814902</c:v>
                </c:pt>
                <c:pt idx="310">
                  <c:v>2.10587639456595</c:v>
                </c:pt>
                <c:pt idx="311">
                  <c:v>2.0967429588617601</c:v>
                </c:pt>
                <c:pt idx="312">
                  <c:v>1.8856041943926101</c:v>
                </c:pt>
                <c:pt idx="313">
                  <c:v>2.2704750169069001</c:v>
                </c:pt>
                <c:pt idx="314">
                  <c:v>2.1900226147314998</c:v>
                </c:pt>
                <c:pt idx="315">
                  <c:v>1.8754817630348899</c:v>
                </c:pt>
                <c:pt idx="316">
                  <c:v>1.9703328786437899</c:v>
                </c:pt>
                <c:pt idx="317">
                  <c:v>2.0614502825825198</c:v>
                </c:pt>
                <c:pt idx="318">
                  <c:v>2.0852083655384299</c:v>
                </c:pt>
                <c:pt idx="319">
                  <c:v>2.06054234208825</c:v>
                </c:pt>
                <c:pt idx="320">
                  <c:v>2.4285288051121499</c:v>
                </c:pt>
                <c:pt idx="321">
                  <c:v>2.2260445760479799</c:v>
                </c:pt>
                <c:pt idx="322">
                  <c:v>1.9963075258113501</c:v>
                </c:pt>
                <c:pt idx="323">
                  <c:v>1.8768459239395101</c:v>
                </c:pt>
                <c:pt idx="324">
                  <c:v>1.9534340588782899</c:v>
                </c:pt>
                <c:pt idx="325">
                  <c:v>1.8823496442929799</c:v>
                </c:pt>
                <c:pt idx="326">
                  <c:v>1.77594111581943</c:v>
                </c:pt>
                <c:pt idx="327">
                  <c:v>1.8673873768976701</c:v>
                </c:pt>
                <c:pt idx="328">
                  <c:v>1.93309974243592</c:v>
                </c:pt>
                <c:pt idx="329">
                  <c:v>1.87526988245474</c:v>
                </c:pt>
                <c:pt idx="330">
                  <c:v>1.9066736735947301</c:v>
                </c:pt>
                <c:pt idx="331">
                  <c:v>1.9137435344357201</c:v>
                </c:pt>
                <c:pt idx="332">
                  <c:v>1.8899753607854</c:v>
                </c:pt>
                <c:pt idx="333">
                  <c:v>1.8967104903135401</c:v>
                </c:pt>
                <c:pt idx="334">
                  <c:v>2.0268628935601498</c:v>
                </c:pt>
                <c:pt idx="335">
                  <c:v>2.06136515843458</c:v>
                </c:pt>
                <c:pt idx="336">
                  <c:v>2.0539629523143499</c:v>
                </c:pt>
                <c:pt idx="337">
                  <c:v>1.98526485408502</c:v>
                </c:pt>
                <c:pt idx="338">
                  <c:v>1.8959385396075299</c:v>
                </c:pt>
                <c:pt idx="339">
                  <c:v>1.90625622446121</c:v>
                </c:pt>
                <c:pt idx="340">
                  <c:v>2.0062982768395998</c:v>
                </c:pt>
                <c:pt idx="341">
                  <c:v>2.0529281032325501</c:v>
                </c:pt>
                <c:pt idx="342">
                  <c:v>2.05370950056815</c:v>
                </c:pt>
                <c:pt idx="343">
                  <c:v>2.0175959637929899</c:v>
                </c:pt>
                <c:pt idx="344">
                  <c:v>2.0419794978799302</c:v>
                </c:pt>
                <c:pt idx="345">
                  <c:v>2.04768314066557</c:v>
                </c:pt>
                <c:pt idx="346">
                  <c:v>2.5050117462355201</c:v>
                </c:pt>
                <c:pt idx="347">
                  <c:v>2.4086628038451598</c:v>
                </c:pt>
                <c:pt idx="348">
                  <c:v>2.2282710001544701</c:v>
                </c:pt>
                <c:pt idx="349">
                  <c:v>2.1051582951942498</c:v>
                </c:pt>
                <c:pt idx="350">
                  <c:v>2.3539779751044501</c:v>
                </c:pt>
                <c:pt idx="351">
                  <c:v>2.2471283929388601</c:v>
                </c:pt>
                <c:pt idx="352">
                  <c:v>2.2945048920686899</c:v>
                </c:pt>
                <c:pt idx="353">
                  <c:v>2.4672211341618402</c:v>
                </c:pt>
                <c:pt idx="354">
                  <c:v>2.4927258525388001</c:v>
                </c:pt>
                <c:pt idx="355">
                  <c:v>2.5771707978936398</c:v>
                </c:pt>
                <c:pt idx="356">
                  <c:v>2.5706499105498501</c:v>
                </c:pt>
                <c:pt idx="357">
                  <c:v>2.57986908278244</c:v>
                </c:pt>
                <c:pt idx="358">
                  <c:v>2.30595232880572</c:v>
                </c:pt>
                <c:pt idx="359">
                  <c:v>2.2219213042877501</c:v>
                </c:pt>
                <c:pt idx="360">
                  <c:v>1.97033713449508</c:v>
                </c:pt>
                <c:pt idx="361">
                  <c:v>2.1465670043889702</c:v>
                </c:pt>
                <c:pt idx="362">
                  <c:v>2.1283767730709</c:v>
                </c:pt>
                <c:pt idx="363">
                  <c:v>2.0615470189015102</c:v>
                </c:pt>
                <c:pt idx="364">
                  <c:v>1.9403224772221801</c:v>
                </c:pt>
                <c:pt idx="365">
                  <c:v>1.73831513135007</c:v>
                </c:pt>
                <c:pt idx="366">
                  <c:v>1.92493744352583</c:v>
                </c:pt>
                <c:pt idx="367">
                  <c:v>1.94069330552805</c:v>
                </c:pt>
                <c:pt idx="368">
                  <c:v>1.87528926925698</c:v>
                </c:pt>
                <c:pt idx="369">
                  <c:v>1.87289181484533</c:v>
                </c:pt>
                <c:pt idx="370">
                  <c:v>1.9310977232353801</c:v>
                </c:pt>
                <c:pt idx="371">
                  <c:v>2.0692399406474302</c:v>
                </c:pt>
                <c:pt idx="372">
                  <c:v>2.1950451210496</c:v>
                </c:pt>
                <c:pt idx="373">
                  <c:v>2.2442264502636702</c:v>
                </c:pt>
                <c:pt idx="374">
                  <c:v>2.0553113656174902</c:v>
                </c:pt>
                <c:pt idx="375">
                  <c:v>2.3263932114296302</c:v>
                </c:pt>
                <c:pt idx="376">
                  <c:v>2.28148933205448</c:v>
                </c:pt>
                <c:pt idx="377">
                  <c:v>1.82015638714826</c:v>
                </c:pt>
                <c:pt idx="378">
                  <c:v>1.7564334774425401</c:v>
                </c:pt>
                <c:pt idx="379">
                  <c:v>1.8464676101914099</c:v>
                </c:pt>
                <c:pt idx="380">
                  <c:v>1.8314706163752199</c:v>
                </c:pt>
                <c:pt idx="381">
                  <c:v>1.8169724060764501</c:v>
                </c:pt>
                <c:pt idx="382">
                  <c:v>1.96477328581939</c:v>
                </c:pt>
                <c:pt idx="383">
                  <c:v>1.7631295227582799</c:v>
                </c:pt>
                <c:pt idx="384">
                  <c:v>1.8029213371820501</c:v>
                </c:pt>
                <c:pt idx="385">
                  <c:v>1.98118076143708</c:v>
                </c:pt>
                <c:pt idx="386">
                  <c:v>1.9275782525646801</c:v>
                </c:pt>
                <c:pt idx="387">
                  <c:v>1.96159337091911</c:v>
                </c:pt>
                <c:pt idx="388">
                  <c:v>1.9241390960750999</c:v>
                </c:pt>
                <c:pt idx="389">
                  <c:v>1.87251113426972</c:v>
                </c:pt>
                <c:pt idx="390">
                  <c:v>1.87378367716065</c:v>
                </c:pt>
                <c:pt idx="391">
                  <c:v>1.8927351374966299</c:v>
                </c:pt>
                <c:pt idx="392">
                  <c:v>1.84704967524839</c:v>
                </c:pt>
                <c:pt idx="393">
                  <c:v>1.87332195860893</c:v>
                </c:pt>
                <c:pt idx="394">
                  <c:v>1.9043158160510101</c:v>
                </c:pt>
                <c:pt idx="395">
                  <c:v>1.92006385433106</c:v>
                </c:pt>
                <c:pt idx="396">
                  <c:v>1.93452484843602</c:v>
                </c:pt>
                <c:pt idx="397">
                  <c:v>1.6989427683528699</c:v>
                </c:pt>
                <c:pt idx="398">
                  <c:v>1.63755374340754</c:v>
                </c:pt>
                <c:pt idx="399">
                  <c:v>1.7318358430049501</c:v>
                </c:pt>
                <c:pt idx="400">
                  <c:v>1.6512296229706001</c:v>
                </c:pt>
                <c:pt idx="401">
                  <c:v>1.66581230744196</c:v>
                </c:pt>
                <c:pt idx="402">
                  <c:v>1.7691587229805299</c:v>
                </c:pt>
                <c:pt idx="403">
                  <c:v>1.77001253423768</c:v>
                </c:pt>
                <c:pt idx="404">
                  <c:v>1.78629019248535</c:v>
                </c:pt>
                <c:pt idx="405">
                  <c:v>1.7961902532124401</c:v>
                </c:pt>
                <c:pt idx="406">
                  <c:v>1.8531635261410699</c:v>
                </c:pt>
                <c:pt idx="407">
                  <c:v>1.8702332303503799</c:v>
                </c:pt>
                <c:pt idx="408">
                  <c:v>1.8440292906348801</c:v>
                </c:pt>
                <c:pt idx="409">
                  <c:v>1.86898085530999</c:v>
                </c:pt>
                <c:pt idx="410">
                  <c:v>1.91727839842023</c:v>
                </c:pt>
                <c:pt idx="411">
                  <c:v>2.02363637989929</c:v>
                </c:pt>
                <c:pt idx="412">
                  <c:v>2.05343049892431</c:v>
                </c:pt>
                <c:pt idx="413">
                  <c:v>2.0698753724427799</c:v>
                </c:pt>
                <c:pt idx="414">
                  <c:v>2.0759258440864601</c:v>
                </c:pt>
                <c:pt idx="415">
                  <c:v>2.0737184003411202</c:v>
                </c:pt>
                <c:pt idx="416">
                  <c:v>2.0483776401134</c:v>
                </c:pt>
                <c:pt idx="417">
                  <c:v>2.0496610751366302</c:v>
                </c:pt>
                <c:pt idx="418">
                  <c:v>2.0350466870358299</c:v>
                </c:pt>
                <c:pt idx="419">
                  <c:v>2.0145256395220001</c:v>
                </c:pt>
                <c:pt idx="420">
                  <c:v>2.0658289951627702</c:v>
                </c:pt>
                <c:pt idx="421">
                  <c:v>2.10430453403993</c:v>
                </c:pt>
                <c:pt idx="422">
                  <c:v>2.0409406770374501</c:v>
                </c:pt>
                <c:pt idx="423">
                  <c:v>1.9613262558914299</c:v>
                </c:pt>
                <c:pt idx="424">
                  <c:v>1.84308237312657</c:v>
                </c:pt>
                <c:pt idx="425">
                  <c:v>1.86975078806546</c:v>
                </c:pt>
                <c:pt idx="426">
                  <c:v>1.92355689997709</c:v>
                </c:pt>
                <c:pt idx="427">
                  <c:v>1.83698182322542</c:v>
                </c:pt>
                <c:pt idx="428">
                  <c:v>1.8402862875400301</c:v>
                </c:pt>
                <c:pt idx="429">
                  <c:v>1.8679867356537601</c:v>
                </c:pt>
                <c:pt idx="430">
                  <c:v>1.81908845065664</c:v>
                </c:pt>
                <c:pt idx="431">
                  <c:v>1.7255401365593801</c:v>
                </c:pt>
                <c:pt idx="432">
                  <c:v>1.67919584694318</c:v>
                </c:pt>
                <c:pt idx="433">
                  <c:v>1.6455429431785999</c:v>
                </c:pt>
                <c:pt idx="434">
                  <c:v>1.6969233238358601</c:v>
                </c:pt>
                <c:pt idx="435">
                  <c:v>1.8109971321306999</c:v>
                </c:pt>
                <c:pt idx="436">
                  <c:v>1.8558235890196499</c:v>
                </c:pt>
                <c:pt idx="437">
                  <c:v>1.92432556619196</c:v>
                </c:pt>
                <c:pt idx="438">
                  <c:v>1.893219994114</c:v>
                </c:pt>
                <c:pt idx="439">
                  <c:v>1.9062394725124501</c:v>
                </c:pt>
                <c:pt idx="440">
                  <c:v>1.96923706429233</c:v>
                </c:pt>
                <c:pt idx="441">
                  <c:v>2.0275247414283002</c:v>
                </c:pt>
                <c:pt idx="442">
                  <c:v>1.9636968494918701</c:v>
                </c:pt>
                <c:pt idx="443">
                  <c:v>1.82902313196789</c:v>
                </c:pt>
                <c:pt idx="444">
                  <c:v>1.8511525644897999</c:v>
                </c:pt>
                <c:pt idx="445">
                  <c:v>2.0297473599712998</c:v>
                </c:pt>
                <c:pt idx="446">
                  <c:v>1.9785900112345201</c:v>
                </c:pt>
                <c:pt idx="447">
                  <c:v>1.8644263806111001</c:v>
                </c:pt>
                <c:pt idx="448">
                  <c:v>1.7769114605193099</c:v>
                </c:pt>
                <c:pt idx="449">
                  <c:v>1.77244424950516</c:v>
                </c:pt>
                <c:pt idx="450">
                  <c:v>1.82126328957838</c:v>
                </c:pt>
                <c:pt idx="451">
                  <c:v>1.94689497306229</c:v>
                </c:pt>
                <c:pt idx="452">
                  <c:v>2.08169534361513</c:v>
                </c:pt>
                <c:pt idx="453">
                  <c:v>1.9263956866276299</c:v>
                </c:pt>
                <c:pt idx="454">
                  <c:v>1.68470689102612</c:v>
                </c:pt>
                <c:pt idx="455">
                  <c:v>1.71634564451696</c:v>
                </c:pt>
                <c:pt idx="456">
                  <c:v>1.85994903982832</c:v>
                </c:pt>
                <c:pt idx="457">
                  <c:v>2.0432784740115602</c:v>
                </c:pt>
                <c:pt idx="458">
                  <c:v>1.94598627724535</c:v>
                </c:pt>
                <c:pt idx="459">
                  <c:v>1.9025788393594001</c:v>
                </c:pt>
                <c:pt idx="460">
                  <c:v>1.8539560078227799</c:v>
                </c:pt>
                <c:pt idx="461">
                  <c:v>1.8645400950037101</c:v>
                </c:pt>
                <c:pt idx="462">
                  <c:v>1.82447655723129</c:v>
                </c:pt>
                <c:pt idx="463">
                  <c:v>1.6171577526712699</c:v>
                </c:pt>
                <c:pt idx="464">
                  <c:v>1.4856125077828399</c:v>
                </c:pt>
                <c:pt idx="465">
                  <c:v>1.4294504727614199</c:v>
                </c:pt>
                <c:pt idx="466">
                  <c:v>1.40499094424161</c:v>
                </c:pt>
                <c:pt idx="467">
                  <c:v>1.3601575041866101</c:v>
                </c:pt>
                <c:pt idx="468">
                  <c:v>1.3404566418013999</c:v>
                </c:pt>
                <c:pt idx="469">
                  <c:v>1.34490836312623</c:v>
                </c:pt>
                <c:pt idx="470">
                  <c:v>1.4948055091402399</c:v>
                </c:pt>
                <c:pt idx="471">
                  <c:v>1.6483654438853701</c:v>
                </c:pt>
                <c:pt idx="472">
                  <c:v>1.7428092870095799</c:v>
                </c:pt>
                <c:pt idx="473">
                  <c:v>1.8525384027859999</c:v>
                </c:pt>
                <c:pt idx="474">
                  <c:v>1.98302156562344</c:v>
                </c:pt>
                <c:pt idx="475">
                  <c:v>1.9776068496989301</c:v>
                </c:pt>
                <c:pt idx="476">
                  <c:v>2.0085196865878601</c:v>
                </c:pt>
                <c:pt idx="477">
                  <c:v>1.98189534718732</c:v>
                </c:pt>
                <c:pt idx="478">
                  <c:v>1.96258324254179</c:v>
                </c:pt>
                <c:pt idx="479">
                  <c:v>1.96318080201437</c:v>
                </c:pt>
                <c:pt idx="480">
                  <c:v>1.9738171635964601</c:v>
                </c:pt>
                <c:pt idx="481">
                  <c:v>1.8724742237711001</c:v>
                </c:pt>
                <c:pt idx="482">
                  <c:v>1.80666085028184</c:v>
                </c:pt>
                <c:pt idx="483">
                  <c:v>1.8435161855670601</c:v>
                </c:pt>
                <c:pt idx="484">
                  <c:v>2.0839090628858199</c:v>
                </c:pt>
                <c:pt idx="485">
                  <c:v>2.1881864927679802</c:v>
                </c:pt>
                <c:pt idx="486">
                  <c:v>2.2851233319359001</c:v>
                </c:pt>
                <c:pt idx="487">
                  <c:v>2.3345999164313298</c:v>
                </c:pt>
                <c:pt idx="488">
                  <c:v>2.3454689214367801</c:v>
                </c:pt>
                <c:pt idx="489">
                  <c:v>2.1239097123233601</c:v>
                </c:pt>
                <c:pt idx="490">
                  <c:v>2.0144299617375698</c:v>
                </c:pt>
                <c:pt idx="491">
                  <c:v>1.9126724804875199</c:v>
                </c:pt>
                <c:pt idx="492">
                  <c:v>1.8767373654744099</c:v>
                </c:pt>
                <c:pt idx="493">
                  <c:v>1.9217030256299401</c:v>
                </c:pt>
                <c:pt idx="494">
                  <c:v>1.90441018726397</c:v>
                </c:pt>
                <c:pt idx="495">
                  <c:v>1.93385565428843</c:v>
                </c:pt>
                <c:pt idx="496">
                  <c:v>1.94952363919136</c:v>
                </c:pt>
                <c:pt idx="497">
                  <c:v>1.9543668880123199</c:v>
                </c:pt>
                <c:pt idx="498">
                  <c:v>1.93267341075765</c:v>
                </c:pt>
                <c:pt idx="499">
                  <c:v>1.9514972962828301</c:v>
                </c:pt>
                <c:pt idx="500">
                  <c:v>1.8677213548193601</c:v>
                </c:pt>
                <c:pt idx="501">
                  <c:v>1.9092003842981899</c:v>
                </c:pt>
                <c:pt idx="502">
                  <c:v>1.8466894707218</c:v>
                </c:pt>
                <c:pt idx="503">
                  <c:v>1.8700198718837</c:v>
                </c:pt>
                <c:pt idx="504">
                  <c:v>1.8339628361905</c:v>
                </c:pt>
                <c:pt idx="505">
                  <c:v>1.8098983065498999</c:v>
                </c:pt>
                <c:pt idx="506">
                  <c:v>1.8445663439283499</c:v>
                </c:pt>
                <c:pt idx="507">
                  <c:v>1.8559921331200999</c:v>
                </c:pt>
                <c:pt idx="508">
                  <c:v>1.8379289861753001</c:v>
                </c:pt>
                <c:pt idx="509">
                  <c:v>1.8370526614135001</c:v>
                </c:pt>
                <c:pt idx="510">
                  <c:v>1.86138677395093</c:v>
                </c:pt>
                <c:pt idx="511">
                  <c:v>1.9606224946775901</c:v>
                </c:pt>
                <c:pt idx="512">
                  <c:v>1.91170307191851</c:v>
                </c:pt>
                <c:pt idx="513">
                  <c:v>1.8537190556088301</c:v>
                </c:pt>
                <c:pt idx="514">
                  <c:v>1.75057136460725</c:v>
                </c:pt>
                <c:pt idx="515">
                  <c:v>1.66341892265777</c:v>
                </c:pt>
                <c:pt idx="516">
                  <c:v>1.68018130426274</c:v>
                </c:pt>
                <c:pt idx="517">
                  <c:v>1.7949206357854699</c:v>
                </c:pt>
                <c:pt idx="518">
                  <c:v>1.88508559201951</c:v>
                </c:pt>
                <c:pt idx="519">
                  <c:v>1.9151370616985299</c:v>
                </c:pt>
                <c:pt idx="520">
                  <c:v>1.9277756260698899</c:v>
                </c:pt>
                <c:pt idx="521">
                  <c:v>1.91545620155152</c:v>
                </c:pt>
                <c:pt idx="522">
                  <c:v>1.8063425725532101</c:v>
                </c:pt>
                <c:pt idx="523">
                  <c:v>1.6458177694729099</c:v>
                </c:pt>
                <c:pt idx="524">
                  <c:v>1.5478986551262901</c:v>
                </c:pt>
                <c:pt idx="525">
                  <c:v>1.57920198641965</c:v>
                </c:pt>
                <c:pt idx="526">
                  <c:v>1.62994211594861</c:v>
                </c:pt>
                <c:pt idx="527">
                  <c:v>1.79382171039339</c:v>
                </c:pt>
                <c:pt idx="528">
                  <c:v>1.8491789397735201</c:v>
                </c:pt>
                <c:pt idx="529">
                  <c:v>1.8635284102316501</c:v>
                </c:pt>
                <c:pt idx="530">
                  <c:v>1.93421285695125</c:v>
                </c:pt>
                <c:pt idx="531">
                  <c:v>1.96177356809459</c:v>
                </c:pt>
                <c:pt idx="532">
                  <c:v>1.9616820522966301</c:v>
                </c:pt>
                <c:pt idx="533">
                  <c:v>2.0559617450657601</c:v>
                </c:pt>
                <c:pt idx="534">
                  <c:v>2.08424463281299</c:v>
                </c:pt>
                <c:pt idx="535">
                  <c:v>1.9534246365222401</c:v>
                </c:pt>
                <c:pt idx="536">
                  <c:v>1.9151650543402301</c:v>
                </c:pt>
                <c:pt idx="537">
                  <c:v>1.9023942778742799</c:v>
                </c:pt>
                <c:pt idx="538">
                  <c:v>1.84854807247124</c:v>
                </c:pt>
                <c:pt idx="539">
                  <c:v>1.8601127200649901</c:v>
                </c:pt>
                <c:pt idx="540">
                  <c:v>1.91592853475044</c:v>
                </c:pt>
                <c:pt idx="541">
                  <c:v>1.8749772576280299</c:v>
                </c:pt>
                <c:pt idx="542">
                  <c:v>1.8507889529123001</c:v>
                </c:pt>
                <c:pt idx="543">
                  <c:v>1.86401807681544</c:v>
                </c:pt>
                <c:pt idx="544">
                  <c:v>1.87992231370146</c:v>
                </c:pt>
                <c:pt idx="545">
                  <c:v>1.8994814258161301</c:v>
                </c:pt>
                <c:pt idx="546">
                  <c:v>2.0002614916245798</c:v>
                </c:pt>
                <c:pt idx="547">
                  <c:v>1.9153689461594201</c:v>
                </c:pt>
                <c:pt idx="548">
                  <c:v>1.82854618907232</c:v>
                </c:pt>
                <c:pt idx="549">
                  <c:v>1.8172846854284399</c:v>
                </c:pt>
                <c:pt idx="550">
                  <c:v>1.7730820053368701</c:v>
                </c:pt>
                <c:pt idx="551">
                  <c:v>1.78699003283402</c:v>
                </c:pt>
                <c:pt idx="552">
                  <c:v>1.8533384317742501</c:v>
                </c:pt>
                <c:pt idx="553">
                  <c:v>1.96450872774548</c:v>
                </c:pt>
                <c:pt idx="554">
                  <c:v>1.9362424016255</c:v>
                </c:pt>
                <c:pt idx="555">
                  <c:v>1.9855771725909399</c:v>
                </c:pt>
                <c:pt idx="556">
                  <c:v>1.8961432800551601</c:v>
                </c:pt>
                <c:pt idx="557">
                  <c:v>1.8407139525654399</c:v>
                </c:pt>
                <c:pt idx="558">
                  <c:v>1.82602872318876</c:v>
                </c:pt>
                <c:pt idx="559">
                  <c:v>1.8135280328947401</c:v>
                </c:pt>
                <c:pt idx="560">
                  <c:v>1.8493055049290399</c:v>
                </c:pt>
                <c:pt idx="561">
                  <c:v>2.0058257567992301</c:v>
                </c:pt>
                <c:pt idx="562">
                  <c:v>1.9594232315387199</c:v>
                </c:pt>
                <c:pt idx="563">
                  <c:v>1.9840781523567299</c:v>
                </c:pt>
                <c:pt idx="564">
                  <c:v>2.0251037674863301</c:v>
                </c:pt>
                <c:pt idx="565">
                  <c:v>1.96131634202469</c:v>
                </c:pt>
                <c:pt idx="566">
                  <c:v>1.9415431880990699</c:v>
                </c:pt>
                <c:pt idx="567">
                  <c:v>1.75718833924757</c:v>
                </c:pt>
                <c:pt idx="568">
                  <c:v>1.7422769095445201</c:v>
                </c:pt>
                <c:pt idx="569">
                  <c:v>1.72233363820542</c:v>
                </c:pt>
                <c:pt idx="570">
                  <c:v>1.6938143550131199</c:v>
                </c:pt>
                <c:pt idx="571">
                  <c:v>1.6514132158677901</c:v>
                </c:pt>
                <c:pt idx="572">
                  <c:v>1.6652272386501901</c:v>
                </c:pt>
                <c:pt idx="573">
                  <c:v>1.6585336374280499</c:v>
                </c:pt>
                <c:pt idx="574">
                  <c:v>1.6869605597678901</c:v>
                </c:pt>
                <c:pt idx="575">
                  <c:v>1.6982513282554399</c:v>
                </c:pt>
                <c:pt idx="576">
                  <c:v>1.6985265520892501</c:v>
                </c:pt>
                <c:pt idx="577">
                  <c:v>1.74454782224183</c:v>
                </c:pt>
                <c:pt idx="578">
                  <c:v>1.68016596406556</c:v>
                </c:pt>
                <c:pt idx="579">
                  <c:v>1.6633652249944499</c:v>
                </c:pt>
                <c:pt idx="580">
                  <c:v>1.75832097723074</c:v>
                </c:pt>
                <c:pt idx="581">
                  <c:v>1.84190688663791</c:v>
                </c:pt>
                <c:pt idx="582">
                  <c:v>1.86169598531543</c:v>
                </c:pt>
                <c:pt idx="583">
                  <c:v>1.84042258112965</c:v>
                </c:pt>
                <c:pt idx="584">
                  <c:v>1.81802126709555</c:v>
                </c:pt>
                <c:pt idx="585">
                  <c:v>1.7915094778348599</c:v>
                </c:pt>
                <c:pt idx="586">
                  <c:v>1.8489299608874299</c:v>
                </c:pt>
                <c:pt idx="587">
                  <c:v>1.84920553610801</c:v>
                </c:pt>
                <c:pt idx="588">
                  <c:v>1.8846605363120701</c:v>
                </c:pt>
                <c:pt idx="589">
                  <c:v>2.0184012601549601</c:v>
                </c:pt>
                <c:pt idx="590">
                  <c:v>2.1926764974161701</c:v>
                </c:pt>
                <c:pt idx="591">
                  <c:v>2.3193700099189498</c:v>
                </c:pt>
                <c:pt idx="592">
                  <c:v>2.23854068723056</c:v>
                </c:pt>
                <c:pt idx="593">
                  <c:v>1.64808786447652</c:v>
                </c:pt>
                <c:pt idx="594">
                  <c:v>1.17209092598485</c:v>
                </c:pt>
                <c:pt idx="595">
                  <c:v>0.80033233511559498</c:v>
                </c:pt>
                <c:pt idx="596">
                  <c:v>0.57108765764746405</c:v>
                </c:pt>
                <c:pt idx="597">
                  <c:v>0.42261873344803502</c:v>
                </c:pt>
                <c:pt idx="598">
                  <c:v>0.337341296787534</c:v>
                </c:pt>
                <c:pt idx="599">
                  <c:v>0.29000551286726201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2336"/>
        <c:axId val="87142912"/>
      </c:scatterChart>
      <c:valAx>
        <c:axId val="87142336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4012279012"/>
              <c:y val="0.8766956761983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142912"/>
        <c:crossesAt val="0"/>
        <c:crossBetween val="midCat"/>
        <c:majorUnit val="100"/>
        <c:minorUnit val="25"/>
      </c:valAx>
      <c:valAx>
        <c:axId val="8714291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581760821044E-2"/>
              <c:y val="0.346678008739212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142336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5.6502937132858401E-2"/>
          <c:w val="0.78341681866037949"/>
          <c:h val="0.721342773329804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0.00E+00</c:formatCode>
                <c:ptCount val="1001"/>
                <c:pt idx="0">
                  <c:v>-1.02144842559526E-4</c:v>
                </c:pt>
                <c:pt idx="1">
                  <c:v>-8.5490942029847205E-5</c:v>
                </c:pt>
                <c:pt idx="2">
                  <c:v>1.27941483564668E-4</c:v>
                </c:pt>
                <c:pt idx="3">
                  <c:v>8.7588272942773404E-7</c:v>
                </c:pt>
                <c:pt idx="4">
                  <c:v>1.7055622766485799E-5</c:v>
                </c:pt>
                <c:pt idx="5">
                  <c:v>-5.8130359616032903E-5</c:v>
                </c:pt>
                <c:pt idx="6">
                  <c:v>-5.5172880605543898E-7</c:v>
                </c:pt>
                <c:pt idx="7">
                  <c:v>3.53771154689378E-5</c:v>
                </c:pt>
                <c:pt idx="8">
                  <c:v>1.7055622766485799E-5</c:v>
                </c:pt>
                <c:pt idx="9">
                  <c:v>-2.4582883329817301E-5</c:v>
                </c:pt>
                <c:pt idx="10">
                  <c:v>1.27227586714771E-4</c:v>
                </c:pt>
                <c:pt idx="11">
                  <c:v>1.6030534337925701E-4</c:v>
                </c:pt>
                <c:pt idx="12">
                  <c:v>2.01488382100095E-5</c:v>
                </c:pt>
                <c:pt idx="13">
                  <c:v>-7.8591387584652205E-5</c:v>
                </c:pt>
                <c:pt idx="14">
                  <c:v>-5.6702830391643699E-5</c:v>
                </c:pt>
                <c:pt idx="15">
                  <c:v>-6.5030055432141196E-5</c:v>
                </c:pt>
                <c:pt idx="16">
                  <c:v>-3.3862085266323897E-5</c:v>
                </c:pt>
                <c:pt idx="17">
                  <c:v>-7.3595128744629096E-5</c:v>
                </c:pt>
                <c:pt idx="18">
                  <c:v>6.2503059552917103E-5</c:v>
                </c:pt>
                <c:pt idx="19">
                  <c:v>6.1104758202676702E-6</c:v>
                </c:pt>
                <c:pt idx="20">
                  <c:v>3.1570024383927899E-5</c:v>
                </c:pt>
                <c:pt idx="21">
                  <c:v>9.2009309022014798E-5</c:v>
                </c:pt>
                <c:pt idx="22">
                  <c:v>6.0361510863145698E-5</c:v>
                </c:pt>
                <c:pt idx="23">
                  <c:v>9.6768463161832E-5</c:v>
                </c:pt>
                <c:pt idx="24">
                  <c:v>1.03431317059239E-4</c:v>
                </c:pt>
                <c:pt idx="25">
                  <c:v>1.27727248926355E-5</c:v>
                </c:pt>
                <c:pt idx="26">
                  <c:v>-1.2686344458702E-5</c:v>
                </c:pt>
                <c:pt idx="27">
                  <c:v>-5.4323610482940297E-5</c:v>
                </c:pt>
                <c:pt idx="28">
                  <c:v>-2.1251866731575702E-5</c:v>
                </c:pt>
                <c:pt idx="29">
                  <c:v>-8.8794220879735401E-6</c:v>
                </c:pt>
                <c:pt idx="30">
                  <c:v>-3.4100012387497199E-5</c:v>
                </c:pt>
                <c:pt idx="31">
                  <c:v>2.75250060088324E-5</c:v>
                </c:pt>
                <c:pt idx="32">
                  <c:v>-2.8865602629942E-5</c:v>
                </c:pt>
                <c:pt idx="33">
                  <c:v>-5.0278923628788498E-5</c:v>
                </c:pt>
                <c:pt idx="34">
                  <c:v>1.8007380344022901E-5</c:v>
                </c:pt>
                <c:pt idx="35">
                  <c:v>1.0057580280286601E-4</c:v>
                </c:pt>
                <c:pt idx="36">
                  <c:v>3.9898054982785499E-5</c:v>
                </c:pt>
                <c:pt idx="37">
                  <c:v>-4.5996296162286398E-5</c:v>
                </c:pt>
                <c:pt idx="38">
                  <c:v>-1.67311835762377E-5</c:v>
                </c:pt>
                <c:pt idx="39">
                  <c:v>1.4676232791064199E-5</c:v>
                </c:pt>
                <c:pt idx="40">
                  <c:v>2.30349630572875E-6</c:v>
                </c:pt>
                <c:pt idx="41">
                  <c:v>6.5834366642728297E-5</c:v>
                </c:pt>
                <c:pt idx="42">
                  <c:v>-6.0985411942584902E-5</c:v>
                </c:pt>
                <c:pt idx="43">
                  <c:v>-5.33719209323632E-5</c:v>
                </c:pt>
                <c:pt idx="44">
                  <c:v>2.8000889673102898E-5</c:v>
                </c:pt>
                <c:pt idx="45">
                  <c:v>3.4663284785007998E-5</c:v>
                </c:pt>
                <c:pt idx="46">
                  <c:v>-1.9824284788065799E-5</c:v>
                </c:pt>
                <c:pt idx="47">
                  <c:v>2.6097356376414701E-5</c:v>
                </c:pt>
                <c:pt idx="48">
                  <c:v>1.1583034298582601E-5</c:v>
                </c:pt>
                <c:pt idx="49">
                  <c:v>6.5863492799940199E-6</c:v>
                </c:pt>
                <c:pt idx="50">
                  <c:v>-4.1713650329105202E-5</c:v>
                </c:pt>
                <c:pt idx="51">
                  <c:v>-1.8396700803737901E-5</c:v>
                </c:pt>
                <c:pt idx="52">
                  <c:v>6.9879540191368294E-5</c:v>
                </c:pt>
                <c:pt idx="53">
                  <c:v>-5.4323610482940297E-5</c:v>
                </c:pt>
                <c:pt idx="54">
                  <c:v>4.9177942316513102E-5</c:v>
                </c:pt>
                <c:pt idx="55">
                  <c:v>1.1651919520290699E-4</c:v>
                </c:pt>
                <c:pt idx="56">
                  <c:v>-3.3862085266323897E-5</c:v>
                </c:pt>
                <c:pt idx="57">
                  <c:v>1.1583034298582601E-5</c:v>
                </c:pt>
                <c:pt idx="58">
                  <c:v>1.3936390256650901E-4</c:v>
                </c:pt>
                <c:pt idx="59">
                  <c:v>-4.83755359110498E-5</c:v>
                </c:pt>
                <c:pt idx="60">
                  <c:v>-3.7668912400399502E-5</c:v>
                </c:pt>
                <c:pt idx="61">
                  <c:v>3.8708332073698701E-5</c:v>
                </c:pt>
                <c:pt idx="62">
                  <c:v>-1.29242766249716E-5</c:v>
                </c:pt>
                <c:pt idx="63">
                  <c:v>-2.6248387462391398E-5</c:v>
                </c:pt>
                <c:pt idx="64">
                  <c:v>-5.21823077184318E-5</c:v>
                </c:pt>
                <c:pt idx="65">
                  <c:v>3.4187397945727799E-5</c:v>
                </c:pt>
                <c:pt idx="66">
                  <c:v>-5.26581531741445E-5</c:v>
                </c:pt>
                <c:pt idx="67">
                  <c:v>9.8672131167960303E-5</c:v>
                </c:pt>
                <c:pt idx="68">
                  <c:v>4.4419014963238103E-5</c:v>
                </c:pt>
                <c:pt idx="69">
                  <c:v>4.8939995410295802E-5</c:v>
                </c:pt>
                <c:pt idx="70">
                  <c:v>1.01554074563968E-5</c:v>
                </c:pt>
                <c:pt idx="71">
                  <c:v>1.58877503920312E-4</c:v>
                </c:pt>
                <c:pt idx="72">
                  <c:v>9.9148048736588299E-5</c:v>
                </c:pt>
                <c:pt idx="73">
                  <c:v>-7.6925970748933196E-5</c:v>
                </c:pt>
                <c:pt idx="74">
                  <c:v>6.79759270686235E-5</c:v>
                </c:pt>
                <c:pt idx="75">
                  <c:v>-9.3552881778396907E-6</c:v>
                </c:pt>
                <c:pt idx="76">
                  <c:v>3.7042722382393502E-5</c:v>
                </c:pt>
                <c:pt idx="77">
                  <c:v>-7.6212219826041195E-5</c:v>
                </c:pt>
                <c:pt idx="78">
                  <c:v>-8.4301367078125307E-5</c:v>
                </c:pt>
                <c:pt idx="79">
                  <c:v>1.1057013842062301E-4</c:v>
                </c:pt>
                <c:pt idx="80">
                  <c:v>3.0856196421467603E-5</c:v>
                </c:pt>
                <c:pt idx="81">
                  <c:v>-2.6931422828318799E-6</c:v>
                </c:pt>
                <c:pt idx="82">
                  <c:v>-1.8634631609613801E-5</c:v>
                </c:pt>
                <c:pt idx="83">
                  <c:v>1.11284023363438E-4</c:v>
                </c:pt>
                <c:pt idx="84">
                  <c:v>-4.4092900281730801E-5</c:v>
                </c:pt>
                <c:pt idx="85">
                  <c:v>7.8921752077667394E-5</c:v>
                </c:pt>
                <c:pt idx="86">
                  <c:v>8.72778265525644E-6</c:v>
                </c:pt>
                <c:pt idx="87">
                  <c:v>7.7969936444919694E-5</c:v>
                </c:pt>
                <c:pt idx="88">
                  <c:v>1.6339900254369599E-4</c:v>
                </c:pt>
                <c:pt idx="89">
                  <c:v>1.0128968060156701E-4</c:v>
                </c:pt>
                <c:pt idx="90">
                  <c:v>-3.1958666257483897E-5</c:v>
                </c:pt>
                <c:pt idx="91">
                  <c:v>3.0380311396348801E-5</c:v>
                </c:pt>
                <c:pt idx="92">
                  <c:v>2.27661818379189E-5</c:v>
                </c:pt>
                <c:pt idx="93">
                  <c:v>1.1532938101149301E-4</c:v>
                </c:pt>
                <c:pt idx="94">
                  <c:v>4.9415889279337702E-5</c:v>
                </c:pt>
                <c:pt idx="95">
                  <c:v>3.6804778367467501E-5</c:v>
                </c:pt>
                <c:pt idx="96">
                  <c:v>-4.2427425910269698E-5</c:v>
                </c:pt>
                <c:pt idx="97">
                  <c:v>-8.6680515564340599E-5</c:v>
                </c:pt>
                <c:pt idx="98">
                  <c:v>-2.2172730181832599E-6</c:v>
                </c:pt>
                <c:pt idx="99">
                  <c:v>-1.0782885087271801E-5</c:v>
                </c:pt>
                <c:pt idx="100">
                  <c:v>-6.1937094237425806E-5</c:v>
                </c:pt>
                <c:pt idx="101">
                  <c:v>-5.1706462036289798E-5</c:v>
                </c:pt>
                <c:pt idx="102">
                  <c:v>-4.0999874238020401E-5</c:v>
                </c:pt>
                <c:pt idx="103">
                  <c:v>4.6798475805077902E-5</c:v>
                </c:pt>
                <c:pt idx="104">
                  <c:v>4.4449204969696802E-6</c:v>
                </c:pt>
                <c:pt idx="105">
                  <c:v>-2.6010458470676699E-5</c:v>
                </c:pt>
                <c:pt idx="106">
                  <c:v>-9.8311540410493994E-6</c:v>
                </c:pt>
                <c:pt idx="107">
                  <c:v>6.8242860951090903E-6</c:v>
                </c:pt>
                <c:pt idx="108">
                  <c:v>1.9409813976802999E-4</c:v>
                </c:pt>
                <c:pt idx="109">
                  <c:v>3.9426060819565298E-4</c:v>
                </c:pt>
                <c:pt idx="110">
                  <c:v>6.9469858985536995E-4</c:v>
                </c:pt>
                <c:pt idx="111">
                  <c:v>5.4684895624115197E-4</c:v>
                </c:pt>
                <c:pt idx="112">
                  <c:v>7.6803631745817405E-4</c:v>
                </c:pt>
                <c:pt idx="113">
                  <c:v>6.0493863400615201E-4</c:v>
                </c:pt>
                <c:pt idx="114">
                  <c:v>7.7589425045705002E-4</c:v>
                </c:pt>
                <c:pt idx="115">
                  <c:v>6.9660339779480996E-4</c:v>
                </c:pt>
                <c:pt idx="116">
                  <c:v>5.6994157935305102E-4</c:v>
                </c:pt>
                <c:pt idx="117">
                  <c:v>4.7352746476216501E-4</c:v>
                </c:pt>
                <c:pt idx="118">
                  <c:v>6.2850876992152905E-4</c:v>
                </c:pt>
                <c:pt idx="119">
                  <c:v>5.7017965041269904E-4</c:v>
                </c:pt>
                <c:pt idx="120">
                  <c:v>5.3994507979514804E-4</c:v>
                </c:pt>
                <c:pt idx="121">
                  <c:v>6.9493669064930603E-4</c:v>
                </c:pt>
                <c:pt idx="122">
                  <c:v>9.5878724104972305E-4</c:v>
                </c:pt>
                <c:pt idx="123">
                  <c:v>6.4707957174029796E-4</c:v>
                </c:pt>
                <c:pt idx="124">
                  <c:v>6.5922220574804197E-4</c:v>
                </c:pt>
                <c:pt idx="125">
                  <c:v>7.6827443573171297E-4</c:v>
                </c:pt>
                <c:pt idx="126">
                  <c:v>5.6803701291804898E-4</c:v>
                </c:pt>
                <c:pt idx="127">
                  <c:v>7.0112733120715302E-4</c:v>
                </c:pt>
                <c:pt idx="128">
                  <c:v>6.4779384024343497E-4</c:v>
                </c:pt>
                <c:pt idx="129">
                  <c:v>5.53276746170315E-4</c:v>
                </c:pt>
                <c:pt idx="130">
                  <c:v>5.8946359468030904E-4</c:v>
                </c:pt>
                <c:pt idx="131">
                  <c:v>5.3304125106454496E-4</c:v>
                </c:pt>
                <c:pt idx="132">
                  <c:v>5.4161152836150104E-4</c:v>
                </c:pt>
                <c:pt idx="133">
                  <c:v>4.4567623077653698E-4</c:v>
                </c:pt>
                <c:pt idx="134">
                  <c:v>5.89225519024558E-4</c:v>
                </c:pt>
                <c:pt idx="135">
                  <c:v>6.8874608845437898E-4</c:v>
                </c:pt>
                <c:pt idx="136">
                  <c:v>5.8327364607453397E-4</c:v>
                </c:pt>
                <c:pt idx="137">
                  <c:v>8.1280355059114404E-4</c:v>
                </c:pt>
                <c:pt idx="138">
                  <c:v>6.5850792907345003E-4</c:v>
                </c:pt>
                <c:pt idx="139">
                  <c:v>7.0946094638516997E-4</c:v>
                </c:pt>
                <c:pt idx="140">
                  <c:v>6.10414474575002E-4</c:v>
                </c:pt>
                <c:pt idx="141">
                  <c:v>5.9232050697355398E-4</c:v>
                </c:pt>
                <c:pt idx="142">
                  <c:v>5.9755820073265195E-4</c:v>
                </c:pt>
                <c:pt idx="143">
                  <c:v>5.6160912800935303E-4</c:v>
                </c:pt>
                <c:pt idx="144">
                  <c:v>5.6041878349127796E-4</c:v>
                </c:pt>
                <c:pt idx="145">
                  <c:v>5.1923373674794598E-4</c:v>
                </c:pt>
                <c:pt idx="146">
                  <c:v>6.5755556096876795E-4</c:v>
                </c:pt>
                <c:pt idx="147">
                  <c:v>5.1947179572273301E-4</c:v>
                </c:pt>
                <c:pt idx="148">
                  <c:v>5.9208243063715101E-4</c:v>
                </c:pt>
                <c:pt idx="149">
                  <c:v>5.6232333540116701E-4</c:v>
                </c:pt>
                <c:pt idx="150">
                  <c:v>5.7851217324776801E-4</c:v>
                </c:pt>
                <c:pt idx="151">
                  <c:v>5.5637162273980401E-4</c:v>
                </c:pt>
                <c:pt idx="152">
                  <c:v>5.4803928458886501E-4</c:v>
                </c:pt>
                <c:pt idx="153">
                  <c:v>6.3017536624018799E-4</c:v>
                </c:pt>
                <c:pt idx="154">
                  <c:v>5.1899567782999305E-4</c:v>
                </c:pt>
                <c:pt idx="155">
                  <c:v>5.5184834483376004E-4</c:v>
                </c:pt>
                <c:pt idx="156">
                  <c:v>5.63989821301052E-4</c:v>
                </c:pt>
                <c:pt idx="157">
                  <c:v>5.5518128446285396E-4</c:v>
                </c:pt>
                <c:pt idx="158">
                  <c:v>4.4543818938865801E-4</c:v>
                </c:pt>
                <c:pt idx="159">
                  <c:v>6.0041513617645995E-4</c:v>
                </c:pt>
                <c:pt idx="160">
                  <c:v>5.8232134969356502E-4</c:v>
                </c:pt>
                <c:pt idx="161">
                  <c:v>7.4732024490700103E-4</c:v>
                </c:pt>
                <c:pt idx="162">
                  <c:v>6.5826983696225499E-4</c:v>
                </c:pt>
                <c:pt idx="163">
                  <c:v>6.2850876992152905E-4</c:v>
                </c:pt>
                <c:pt idx="164">
                  <c:v>6.5398418866218996E-4</c:v>
                </c:pt>
                <c:pt idx="165">
                  <c:v>5.5946650889820504E-4</c:v>
                </c:pt>
                <c:pt idx="166">
                  <c:v>4.26871135912406E-4</c:v>
                </c:pt>
                <c:pt idx="167">
                  <c:v>6.10414474575002E-4</c:v>
                </c:pt>
                <c:pt idx="168">
                  <c:v>4.0640016929726502E-4</c:v>
                </c:pt>
                <c:pt idx="169">
                  <c:v>5.1899567782999305E-4</c:v>
                </c:pt>
                <c:pt idx="170">
                  <c:v>4.8352553305153998E-4</c:v>
                </c:pt>
                <c:pt idx="171">
                  <c:v>5.81845201843519E-4</c:v>
                </c:pt>
                <c:pt idx="172">
                  <c:v>5.9398704291792098E-4</c:v>
                </c:pt>
                <c:pt idx="173">
                  <c:v>4.8995291551187105E-4</c:v>
                </c:pt>
                <c:pt idx="174">
                  <c:v>6.5969839048126203E-4</c:v>
                </c:pt>
                <c:pt idx="175">
                  <c:v>5.7541722808092703E-4</c:v>
                </c:pt>
                <c:pt idx="176">
                  <c:v>6.4088926610778897E-4</c:v>
                </c:pt>
                <c:pt idx="177">
                  <c:v>4.8352553305153998E-4</c:v>
                </c:pt>
                <c:pt idx="178">
                  <c:v>4.7614599678422903E-4</c:v>
                </c:pt>
                <c:pt idx="179">
                  <c:v>5.1494868490481699E-4</c:v>
                </c:pt>
                <c:pt idx="180">
                  <c:v>3.8830989683816399E-4</c:v>
                </c:pt>
                <c:pt idx="181">
                  <c:v>4.1187492159639198E-4</c:v>
                </c:pt>
                <c:pt idx="182">
                  <c:v>5.02569749502984E-4</c:v>
                </c:pt>
                <c:pt idx="183">
                  <c:v>4.6138708780512299E-4</c:v>
                </c:pt>
                <c:pt idx="184">
                  <c:v>5.7970253932662804E-4</c:v>
                </c:pt>
                <c:pt idx="185">
                  <c:v>4.9733255378347498E-4</c:v>
                </c:pt>
                <c:pt idx="186">
                  <c:v>4.8995291551187105E-4</c:v>
                </c:pt>
                <c:pt idx="187">
                  <c:v>4.3996325312424501E-4</c:v>
                </c:pt>
                <c:pt idx="188">
                  <c:v>4.9185733307219705E-4</c:v>
                </c:pt>
                <c:pt idx="189">
                  <c:v>5.3780250715176696E-4</c:v>
                </c:pt>
                <c:pt idx="190">
                  <c:v>4.3567854132839102E-4</c:v>
                </c:pt>
                <c:pt idx="191">
                  <c:v>3.6664960688139099E-4</c:v>
                </c:pt>
                <c:pt idx="192">
                  <c:v>4.5829250551375299E-4</c:v>
                </c:pt>
                <c:pt idx="193">
                  <c:v>5.3304125106454496E-4</c:v>
                </c:pt>
                <c:pt idx="194">
                  <c:v>7.3851009137342397E-4</c:v>
                </c:pt>
                <c:pt idx="195">
                  <c:v>4.2996562085787502E-4</c:v>
                </c:pt>
                <c:pt idx="196">
                  <c:v>4.4615231372257202E-4</c:v>
                </c:pt>
                <c:pt idx="197">
                  <c:v>4.0116347778572202E-4</c:v>
                </c:pt>
                <c:pt idx="198">
                  <c:v>5.6756087187679195E-4</c:v>
                </c:pt>
                <c:pt idx="199">
                  <c:v>4.7519380252758801E-4</c:v>
                </c:pt>
                <c:pt idx="200">
                  <c:v>5.1590091705924399E-4</c:v>
                </c:pt>
                <c:pt idx="201">
                  <c:v>4.8614409128369001E-4</c:v>
                </c:pt>
                <c:pt idx="202">
                  <c:v>3.8021698628537098E-4</c:v>
                </c:pt>
                <c:pt idx="203">
                  <c:v>4.3877305355948502E-4</c:v>
                </c:pt>
                <c:pt idx="204">
                  <c:v>3.6926785873123499E-4</c:v>
                </c:pt>
                <c:pt idx="205">
                  <c:v>3.12381932119258E-4</c:v>
                </c:pt>
                <c:pt idx="206">
                  <c:v>4.5019902792503899E-4</c:v>
                </c:pt>
                <c:pt idx="207">
                  <c:v>5.8232134969356502E-4</c:v>
                </c:pt>
                <c:pt idx="208">
                  <c:v>4.8971486357207402E-4</c:v>
                </c:pt>
                <c:pt idx="209">
                  <c:v>4.49008816163567E-4</c:v>
                </c:pt>
                <c:pt idx="210">
                  <c:v>4.3663069791685899E-4</c:v>
                </c:pt>
                <c:pt idx="211">
                  <c:v>4.5186532677351702E-4</c:v>
                </c:pt>
                <c:pt idx="212">
                  <c:v>4.4710448029529202E-4</c:v>
                </c:pt>
                <c:pt idx="213">
                  <c:v>4.2115826581555997E-4</c:v>
                </c:pt>
                <c:pt idx="214">
                  <c:v>4.1663560016147602E-4</c:v>
                </c:pt>
                <c:pt idx="215">
                  <c:v>3.6141312377106999E-4</c:v>
                </c:pt>
                <c:pt idx="216">
                  <c:v>4.8114503152465701E-4</c:v>
                </c:pt>
                <c:pt idx="217">
                  <c:v>3.6783972050764401E-4</c:v>
                </c:pt>
                <c:pt idx="218">
                  <c:v>4.2496684224952803E-4</c:v>
                </c:pt>
                <c:pt idx="219">
                  <c:v>4.7328941673691099E-4</c:v>
                </c:pt>
                <c:pt idx="220">
                  <c:v>3.9473666663595902E-4</c:v>
                </c:pt>
                <c:pt idx="221">
                  <c:v>4.8328748264355099E-4</c:v>
                </c:pt>
                <c:pt idx="222">
                  <c:v>5.4803928458886501E-4</c:v>
                </c:pt>
                <c:pt idx="223">
                  <c:v>4.6948065604802698E-4</c:v>
                </c:pt>
                <c:pt idx="224">
                  <c:v>4.3353619232268598E-4</c:v>
                </c:pt>
                <c:pt idx="225">
                  <c:v>3.4332366607435602E-4</c:v>
                </c:pt>
                <c:pt idx="226">
                  <c:v>4.5853054996501902E-4</c:v>
                </c:pt>
                <c:pt idx="227">
                  <c:v>4.25918988627313E-4</c:v>
                </c:pt>
                <c:pt idx="228">
                  <c:v>5.4327797970820301E-4</c:v>
                </c:pt>
                <c:pt idx="229">
                  <c:v>4.0663820138199698E-4</c:v>
                </c:pt>
                <c:pt idx="230">
                  <c:v>4.8542993835786499E-4</c:v>
                </c:pt>
                <c:pt idx="231">
                  <c:v>5.0733086034885396E-4</c:v>
                </c:pt>
                <c:pt idx="232">
                  <c:v>3.8616764942799698E-4</c:v>
                </c:pt>
                <c:pt idx="233">
                  <c:v>3.6212718803327998E-4</c:v>
                </c:pt>
                <c:pt idx="234">
                  <c:v>3.8830989683816399E-4</c:v>
                </c:pt>
                <c:pt idx="235">
                  <c:v>5.2923226253472305E-4</c:v>
                </c:pt>
                <c:pt idx="236">
                  <c:v>4.77574289871502E-4</c:v>
                </c:pt>
                <c:pt idx="237">
                  <c:v>4.7828843718092899E-4</c:v>
                </c:pt>
                <c:pt idx="238">
                  <c:v>4.4400994225263799E-4</c:v>
                </c:pt>
                <c:pt idx="239">
                  <c:v>5.1518674285817205E-4</c:v>
                </c:pt>
                <c:pt idx="240">
                  <c:v>4.1949201819213398E-4</c:v>
                </c:pt>
                <c:pt idx="241">
                  <c:v>4.0901852534862997E-4</c:v>
                </c:pt>
                <c:pt idx="242">
                  <c:v>4.4591427222125102E-4</c:v>
                </c:pt>
                <c:pt idx="243">
                  <c:v>4.2496684224952803E-4</c:v>
                </c:pt>
                <c:pt idx="244">
                  <c:v>4.2996562085787502E-4</c:v>
                </c:pt>
                <c:pt idx="245">
                  <c:v>3.7736068056949001E-4</c:v>
                </c:pt>
                <c:pt idx="246">
                  <c:v>3.8354935327760499E-4</c:v>
                </c:pt>
                <c:pt idx="247">
                  <c:v>4.7043284485877502E-4</c:v>
                </c:pt>
                <c:pt idx="248">
                  <c:v>4.8638214237255802E-4</c:v>
                </c:pt>
                <c:pt idx="249">
                  <c:v>4.4162953489755401E-4</c:v>
                </c:pt>
                <c:pt idx="250">
                  <c:v>4.6519581763257401E-4</c:v>
                </c:pt>
                <c:pt idx="251">
                  <c:v>3.7212414130450899E-4</c:v>
                </c:pt>
                <c:pt idx="252">
                  <c:v>4.39487173128155E-4</c:v>
                </c:pt>
                <c:pt idx="253">
                  <c:v>3.7617055559858997E-4</c:v>
                </c:pt>
                <c:pt idx="254">
                  <c:v>4.4734252208033099E-4</c:v>
                </c:pt>
                <c:pt idx="255">
                  <c:v>5.95891658830424E-4</c:v>
                </c:pt>
                <c:pt idx="256">
                  <c:v>3.8521554094276899E-4</c:v>
                </c:pt>
                <c:pt idx="257">
                  <c:v>4.0973262364478002E-4</c:v>
                </c:pt>
                <c:pt idx="258">
                  <c:v>5.0280780450639398E-4</c:v>
                </c:pt>
                <c:pt idx="259">
                  <c:v>4.74955754105173E-4</c:v>
                </c:pt>
                <c:pt idx="260">
                  <c:v>4.7638404549036202E-4</c:v>
                </c:pt>
                <c:pt idx="261">
                  <c:v>3.8592962222172301E-4</c:v>
                </c:pt>
                <c:pt idx="262">
                  <c:v>3.6188916655593599E-4</c:v>
                </c:pt>
                <c:pt idx="263">
                  <c:v>4.0782836265613098E-4</c:v>
                </c:pt>
                <c:pt idx="264">
                  <c:v>5.2470910752038002E-4</c:v>
                </c:pt>
                <c:pt idx="265">
                  <c:v>4.7019479757100599E-4</c:v>
                </c:pt>
                <c:pt idx="266">
                  <c:v>3.5855687182779702E-4</c:v>
                </c:pt>
                <c:pt idx="267">
                  <c:v>4.3139384791217501E-4</c:v>
                </c:pt>
                <c:pt idx="268">
                  <c:v>4.3496442448255401E-4</c:v>
                </c:pt>
                <c:pt idx="269">
                  <c:v>4.6614800235873099E-4</c:v>
                </c:pt>
                <c:pt idx="270">
                  <c:v>3.5831885120115399E-4</c:v>
                </c:pt>
                <c:pt idx="271">
                  <c:v>3.54748548608701E-4</c:v>
                </c:pt>
                <c:pt idx="272">
                  <c:v>4.1068475550040798E-4</c:v>
                </c:pt>
                <c:pt idx="273">
                  <c:v>3.2571056153301301E-4</c:v>
                </c:pt>
                <c:pt idx="274">
                  <c:v>4.3139384791217501E-4</c:v>
                </c:pt>
                <c:pt idx="275">
                  <c:v>3.5974697581148699E-4</c:v>
                </c:pt>
                <c:pt idx="276">
                  <c:v>4.7281332085645099E-4</c:v>
                </c:pt>
                <c:pt idx="277">
                  <c:v>3.7974093476547601E-4</c:v>
                </c:pt>
                <c:pt idx="278">
                  <c:v>5.3518381349542505E-4</c:v>
                </c:pt>
                <c:pt idx="279">
                  <c:v>5.4922961435516996E-4</c:v>
                </c:pt>
                <c:pt idx="280">
                  <c:v>3.9783105202761699E-4</c:v>
                </c:pt>
                <c:pt idx="281">
                  <c:v>4.1615953128405899E-4</c:v>
                </c:pt>
                <c:pt idx="282">
                  <c:v>3.44037717404187E-4</c:v>
                </c:pt>
                <c:pt idx="283">
                  <c:v>4.55197932809704E-4</c:v>
                </c:pt>
                <c:pt idx="284">
                  <c:v>3.7974093476547601E-4</c:v>
                </c:pt>
                <c:pt idx="285">
                  <c:v>4.3829697413083201E-4</c:v>
                </c:pt>
                <c:pt idx="286">
                  <c:v>4.3091777200044898E-4</c:v>
                </c:pt>
                <c:pt idx="287">
                  <c:v>4.6019686271229202E-4</c:v>
                </c:pt>
                <c:pt idx="288">
                  <c:v>4.7852648639766401E-4</c:v>
                </c:pt>
                <c:pt idx="289">
                  <c:v>4.3924913321524901E-4</c:v>
                </c:pt>
                <c:pt idx="290">
                  <c:v>4.6067295257919301E-4</c:v>
                </c:pt>
                <c:pt idx="291">
                  <c:v>4.3853501381685401E-4</c:v>
                </c:pt>
                <c:pt idx="292">
                  <c:v>4.4305777862986199E-4</c:v>
                </c:pt>
                <c:pt idx="293">
                  <c:v>2.5526124918215999E-4</c:v>
                </c:pt>
                <c:pt idx="294">
                  <c:v>3.59508954901353E-4</c:v>
                </c:pt>
                <c:pt idx="295">
                  <c:v>3.5593864805471501E-4</c:v>
                </c:pt>
                <c:pt idx="296">
                  <c:v>3.4332366607435602E-4</c:v>
                </c:pt>
                <c:pt idx="297">
                  <c:v>3.9354652096088602E-4</c:v>
                </c:pt>
                <c:pt idx="298">
                  <c:v>4.64719725609822E-4</c:v>
                </c:pt>
                <c:pt idx="299">
                  <c:v>2.50501339726706E-4</c:v>
                </c:pt>
                <c:pt idx="300">
                  <c:v>3.3546913513823602E-4</c:v>
                </c:pt>
                <c:pt idx="301">
                  <c:v>4.1377919029954698E-4</c:v>
                </c:pt>
                <c:pt idx="302">
                  <c:v>3.8450146017464598E-4</c:v>
                </c:pt>
                <c:pt idx="303">
                  <c:v>5.4280185046831696E-4</c:v>
                </c:pt>
                <c:pt idx="304">
                  <c:v>5.1494868490481699E-4</c:v>
                </c:pt>
                <c:pt idx="305">
                  <c:v>3.7688463041089901E-4</c:v>
                </c:pt>
                <c:pt idx="306">
                  <c:v>5.5899037194199401E-4</c:v>
                </c:pt>
                <c:pt idx="307">
                  <c:v>4.9876087716565196E-4</c:v>
                </c:pt>
                <c:pt idx="308">
                  <c:v>5.1423451138462304E-4</c:v>
                </c:pt>
                <c:pt idx="309">
                  <c:v>5.3589800199359001E-4</c:v>
                </c:pt>
                <c:pt idx="310">
                  <c:v>3.9568878419699602E-4</c:v>
                </c:pt>
                <c:pt idx="311">
                  <c:v>5.2470910752038002E-4</c:v>
                </c:pt>
                <c:pt idx="312">
                  <c:v>2.9310333641159299E-4</c:v>
                </c:pt>
                <c:pt idx="313">
                  <c:v>7.60416562667228E-4</c:v>
                </c:pt>
                <c:pt idx="314">
                  <c:v>4.9780866135049897E-4</c:v>
                </c:pt>
                <c:pt idx="315">
                  <c:v>3.4022944954406701E-4</c:v>
                </c:pt>
                <c:pt idx="316">
                  <c:v>3.5522458821696701E-4</c:v>
                </c:pt>
                <c:pt idx="317">
                  <c:v>4.6590995609194002E-4</c:v>
                </c:pt>
                <c:pt idx="318">
                  <c:v>4.2663309900605102E-4</c:v>
                </c:pt>
                <c:pt idx="319">
                  <c:v>4.8066893190016003E-4</c:v>
                </c:pt>
                <c:pt idx="320">
                  <c:v>5.0233169455640801E-4</c:v>
                </c:pt>
                <c:pt idx="321">
                  <c:v>5.4351604441328497E-4</c:v>
                </c:pt>
                <c:pt idx="322">
                  <c:v>3.86405676691107E-4</c:v>
                </c:pt>
                <c:pt idx="323">
                  <c:v>3.0857378495611403E-4</c:v>
                </c:pt>
                <c:pt idx="324">
                  <c:v>3.2428248558812701E-4</c:v>
                </c:pt>
                <c:pt idx="325">
                  <c:v>4.0497197798035399E-4</c:v>
                </c:pt>
                <c:pt idx="326">
                  <c:v>3.53082411766427E-4</c:v>
                </c:pt>
                <c:pt idx="327">
                  <c:v>2.8524920039840198E-4</c:v>
                </c:pt>
                <c:pt idx="328">
                  <c:v>3.89023980329121E-4</c:v>
                </c:pt>
                <c:pt idx="329">
                  <c:v>4.2925150809640199E-4</c:v>
                </c:pt>
                <c:pt idx="330">
                  <c:v>3.8235922093275303E-4</c:v>
                </c:pt>
                <c:pt idx="331">
                  <c:v>3.8688173138760201E-4</c:v>
                </c:pt>
                <c:pt idx="332">
                  <c:v>3.67125652161752E-4</c:v>
                </c:pt>
                <c:pt idx="333">
                  <c:v>4.6257731431609099E-4</c:v>
                </c:pt>
                <c:pt idx="334">
                  <c:v>4.2139630141721903E-4</c:v>
                </c:pt>
                <c:pt idx="335">
                  <c:v>3.9354652096088602E-4</c:v>
                </c:pt>
                <c:pt idx="336">
                  <c:v>4.8781045009656698E-4</c:v>
                </c:pt>
                <c:pt idx="337">
                  <c:v>5.2470910752038002E-4</c:v>
                </c:pt>
                <c:pt idx="338">
                  <c:v>3.4498978663782798E-4</c:v>
                </c:pt>
                <c:pt idx="339">
                  <c:v>3.9330849199614698E-4</c:v>
                </c:pt>
                <c:pt idx="340">
                  <c:v>4.6638604868190102E-4</c:v>
                </c:pt>
                <c:pt idx="341">
                  <c:v>4.19253983044242E-4</c:v>
                </c:pt>
                <c:pt idx="342">
                  <c:v>4.7709819194886101E-4</c:v>
                </c:pt>
                <c:pt idx="343">
                  <c:v>3.9259440544203098E-4</c:v>
                </c:pt>
                <c:pt idx="344">
                  <c:v>4.7471770573936499E-4</c:v>
                </c:pt>
                <c:pt idx="345">
                  <c:v>5.0066531151879195E-4</c:v>
                </c:pt>
                <c:pt idx="346">
                  <c:v>5.5280061216450398E-4</c:v>
                </c:pt>
                <c:pt idx="347">
                  <c:v>6.4660339302222798E-4</c:v>
                </c:pt>
                <c:pt idx="348">
                  <c:v>5.43039915059957E-4</c:v>
                </c:pt>
                <c:pt idx="349">
                  <c:v>4.0425788308768798E-4</c:v>
                </c:pt>
                <c:pt idx="350">
                  <c:v>5.1923373674794598E-4</c:v>
                </c:pt>
                <c:pt idx="351">
                  <c:v>6.9136518470109599E-4</c:v>
                </c:pt>
                <c:pt idx="352">
                  <c:v>5.9113012585852395E-4</c:v>
                </c:pt>
                <c:pt idx="353">
                  <c:v>7.5232063688135604E-4</c:v>
                </c:pt>
                <c:pt idx="354">
                  <c:v>6.2517558562571801E-4</c:v>
                </c:pt>
                <c:pt idx="355">
                  <c:v>6.2779451520760996E-4</c:v>
                </c:pt>
                <c:pt idx="356">
                  <c:v>6.5707937725675402E-4</c:v>
                </c:pt>
                <c:pt idx="357">
                  <c:v>5.5875230354902698E-4</c:v>
                </c:pt>
                <c:pt idx="358">
                  <c:v>5.7327457935211698E-4</c:v>
                </c:pt>
                <c:pt idx="359">
                  <c:v>4.9185733307219705E-4</c:v>
                </c:pt>
                <c:pt idx="360">
                  <c:v>5.3446962550786304E-4</c:v>
                </c:pt>
                <c:pt idx="361">
                  <c:v>4.9138122834167602E-4</c:v>
                </c:pt>
                <c:pt idx="362">
                  <c:v>5.3827863400869103E-4</c:v>
                </c:pt>
                <c:pt idx="363">
                  <c:v>4.5257945570239698E-4</c:v>
                </c:pt>
                <c:pt idx="364">
                  <c:v>5.1685315012120698E-4</c:v>
                </c:pt>
                <c:pt idx="365">
                  <c:v>4.7519380252758801E-4</c:v>
                </c:pt>
                <c:pt idx="366">
                  <c:v>4.1187492159639198E-4</c:v>
                </c:pt>
                <c:pt idx="367">
                  <c:v>5.4327797970820301E-4</c:v>
                </c:pt>
                <c:pt idx="368">
                  <c:v>5.3446962550786304E-4</c:v>
                </c:pt>
                <c:pt idx="369">
                  <c:v>3.2023628149942501E-4</c:v>
                </c:pt>
                <c:pt idx="370">
                  <c:v>4.45200148057614E-4</c:v>
                </c:pt>
                <c:pt idx="371">
                  <c:v>4.9757060753857004E-4</c:v>
                </c:pt>
                <c:pt idx="372">
                  <c:v>4.0306772606796699E-4</c:v>
                </c:pt>
                <c:pt idx="373">
                  <c:v>4.73765512844254E-4</c:v>
                </c:pt>
                <c:pt idx="374">
                  <c:v>5.16377033476784E-4</c:v>
                </c:pt>
                <c:pt idx="375">
                  <c:v>5.9946282345394299E-4</c:v>
                </c:pt>
                <c:pt idx="376">
                  <c:v>4.5138924110442197E-4</c:v>
                </c:pt>
                <c:pt idx="377">
                  <c:v>2.9453136777698601E-4</c:v>
                </c:pt>
                <c:pt idx="378">
                  <c:v>4.2282451621865401E-4</c:v>
                </c:pt>
                <c:pt idx="379">
                  <c:v>4.91619280678633E-4</c:v>
                </c:pt>
                <c:pt idx="380">
                  <c:v>3.9140426231951402E-4</c:v>
                </c:pt>
                <c:pt idx="381">
                  <c:v>4.6329145090355002E-4</c:v>
                </c:pt>
                <c:pt idx="382">
                  <c:v>6.3684177931923097E-4</c:v>
                </c:pt>
                <c:pt idx="383">
                  <c:v>3.9568878419699602E-4</c:v>
                </c:pt>
                <c:pt idx="384">
                  <c:v>3.5403448962165402E-4</c:v>
                </c:pt>
                <c:pt idx="385">
                  <c:v>4.24252733062043E-4</c:v>
                </c:pt>
                <c:pt idx="386">
                  <c:v>5.1209199388811005E-4</c:v>
                </c:pt>
                <c:pt idx="387">
                  <c:v>4.3115580992800798E-4</c:v>
                </c:pt>
                <c:pt idx="388">
                  <c:v>3.2142633982399201E-4</c:v>
                </c:pt>
                <c:pt idx="389">
                  <c:v>4.59244683659141E-4</c:v>
                </c:pt>
                <c:pt idx="390">
                  <c:v>4.3186992405078498E-4</c:v>
                </c:pt>
                <c:pt idx="391">
                  <c:v>4.2044415935090803E-4</c:v>
                </c:pt>
                <c:pt idx="392">
                  <c:v>4.2020612397613302E-4</c:v>
                </c:pt>
                <c:pt idx="393">
                  <c:v>3.1952224718542798E-4</c:v>
                </c:pt>
                <c:pt idx="394">
                  <c:v>5.0685474824301697E-4</c:v>
                </c:pt>
                <c:pt idx="395">
                  <c:v>4.4448602440435198E-4</c:v>
                </c:pt>
                <c:pt idx="396">
                  <c:v>4.4020129320742799E-4</c:v>
                </c:pt>
                <c:pt idx="397">
                  <c:v>4.5376967171850902E-4</c:v>
                </c:pt>
                <c:pt idx="398">
                  <c:v>3.0428963675268401E-4</c:v>
                </c:pt>
                <c:pt idx="399">
                  <c:v>4.4448602440435198E-4</c:v>
                </c:pt>
                <c:pt idx="400">
                  <c:v>4.4472406556534701E-4</c:v>
                </c:pt>
                <c:pt idx="401">
                  <c:v>3.4498978663782798E-4</c:v>
                </c:pt>
                <c:pt idx="402">
                  <c:v>3.9283243423672001E-4</c:v>
                </c:pt>
                <c:pt idx="403">
                  <c:v>4.4377190126191902E-4</c:v>
                </c:pt>
                <c:pt idx="404">
                  <c:v>3.8688173138760201E-4</c:v>
                </c:pt>
                <c:pt idx="405">
                  <c:v>3.7807475623272802E-4</c:v>
                </c:pt>
                <c:pt idx="406">
                  <c:v>3.4451375190756601E-4</c:v>
                </c:pt>
                <c:pt idx="407">
                  <c:v>3.6664960688139099E-4</c:v>
                </c:pt>
                <c:pt idx="408">
                  <c:v>4.0306772606796699E-4</c:v>
                </c:pt>
                <c:pt idx="409">
                  <c:v>4.4020129320742799E-4</c:v>
                </c:pt>
                <c:pt idx="410">
                  <c:v>4.6186317823923302E-4</c:v>
                </c:pt>
                <c:pt idx="411">
                  <c:v>5.4684895624115197E-4</c:v>
                </c:pt>
                <c:pt idx="412">
                  <c:v>4.7281332085645099E-4</c:v>
                </c:pt>
                <c:pt idx="413">
                  <c:v>5.9232050697355398E-4</c:v>
                </c:pt>
                <c:pt idx="414">
                  <c:v>4.9423786012851303E-4</c:v>
                </c:pt>
                <c:pt idx="415">
                  <c:v>5.0637863636429105E-4</c:v>
                </c:pt>
                <c:pt idx="416">
                  <c:v>5.1780538409116001E-4</c:v>
                </c:pt>
                <c:pt idx="417">
                  <c:v>4.3853501381685401E-4</c:v>
                </c:pt>
                <c:pt idx="418">
                  <c:v>4.3615461950918301E-4</c:v>
                </c:pt>
                <c:pt idx="419">
                  <c:v>4.2544291532497797E-4</c:v>
                </c:pt>
                <c:pt idx="420">
                  <c:v>4.0330575735837899E-4</c:v>
                </c:pt>
                <c:pt idx="421">
                  <c:v>4.2282451621865401E-4</c:v>
                </c:pt>
                <c:pt idx="422">
                  <c:v>4.77336240881878E-4</c:v>
                </c:pt>
                <c:pt idx="423">
                  <c:v>4.6043490761732501E-4</c:v>
                </c:pt>
                <c:pt idx="424">
                  <c:v>4.4781860582045901E-4</c:v>
                </c:pt>
                <c:pt idx="425">
                  <c:v>3.59508954901353E-4</c:v>
                </c:pt>
                <c:pt idx="426">
                  <c:v>3.4070548223260201E-4</c:v>
                </c:pt>
                <c:pt idx="427">
                  <c:v>5.4042120767327703E-4</c:v>
                </c:pt>
                <c:pt idx="428">
                  <c:v>5.4423023886862902E-4</c:v>
                </c:pt>
                <c:pt idx="429">
                  <c:v>4.7138503457705698E-4</c:v>
                </c:pt>
                <c:pt idx="430">
                  <c:v>3.9973529395665998E-4</c:v>
                </c:pt>
                <c:pt idx="431">
                  <c:v>4.9304759589117195E-4</c:v>
                </c:pt>
                <c:pt idx="432">
                  <c:v>3.7950290909055402E-4</c:v>
                </c:pt>
                <c:pt idx="433">
                  <c:v>4.9447591314634898E-4</c:v>
                </c:pt>
                <c:pt idx="434">
                  <c:v>4.9995114821087196E-4</c:v>
                </c:pt>
                <c:pt idx="435">
                  <c:v>4.6376754224542398E-4</c:v>
                </c:pt>
                <c:pt idx="436">
                  <c:v>5.4637282529918201E-4</c:v>
                </c:pt>
                <c:pt idx="437">
                  <c:v>6.9065088504371595E-4</c:v>
                </c:pt>
                <c:pt idx="438">
                  <c:v>4.8495383669095799E-4</c:v>
                </c:pt>
                <c:pt idx="439">
                  <c:v>6.53269915733E-4</c:v>
                </c:pt>
                <c:pt idx="440">
                  <c:v>5.5351481325835905E-4</c:v>
                </c:pt>
                <c:pt idx="441">
                  <c:v>6.3017536624018799E-4</c:v>
                </c:pt>
                <c:pt idx="442">
                  <c:v>5.6470403039472197E-4</c:v>
                </c:pt>
                <c:pt idx="443">
                  <c:v>5.3637412794275204E-4</c:v>
                </c:pt>
                <c:pt idx="444">
                  <c:v>5.6756087187679195E-4</c:v>
                </c:pt>
                <c:pt idx="445">
                  <c:v>6.44936769295865E-4</c:v>
                </c:pt>
                <c:pt idx="446">
                  <c:v>6.2112816250422197E-4</c:v>
                </c:pt>
                <c:pt idx="447">
                  <c:v>4.9566617908554595E-4</c:v>
                </c:pt>
                <c:pt idx="448">
                  <c:v>6.2469941734839699E-4</c:v>
                </c:pt>
                <c:pt idx="449">
                  <c:v>4.7876453567100702E-4</c:v>
                </c:pt>
                <c:pt idx="450">
                  <c:v>7.6327396390311105E-4</c:v>
                </c:pt>
                <c:pt idx="451">
                  <c:v>6.3065153712758197E-4</c:v>
                </c:pt>
                <c:pt idx="452">
                  <c:v>8.3066337891468602E-4</c:v>
                </c:pt>
                <c:pt idx="453">
                  <c:v>5.9422511970854601E-4</c:v>
                </c:pt>
                <c:pt idx="454">
                  <c:v>5.3208900257038804E-4</c:v>
                </c:pt>
                <c:pt idx="455">
                  <c:v>6.1779500283530998E-4</c:v>
                </c:pt>
                <c:pt idx="456">
                  <c:v>6.8326981849080499E-4</c:v>
                </c:pt>
                <c:pt idx="457">
                  <c:v>6.5993648293300995E-4</c:v>
                </c:pt>
                <c:pt idx="458">
                  <c:v>6.0112937131403198E-4</c:v>
                </c:pt>
                <c:pt idx="459">
                  <c:v>6.65174531229486E-4</c:v>
                </c:pt>
                <c:pt idx="460">
                  <c:v>6.6398406329592097E-4</c:v>
                </c:pt>
                <c:pt idx="461">
                  <c:v>7.0088922893779104E-4</c:v>
                </c:pt>
                <c:pt idx="462">
                  <c:v>6.8612699907419404E-4</c:v>
                </c:pt>
                <c:pt idx="463">
                  <c:v>6.4350823688614904E-4</c:v>
                </c:pt>
                <c:pt idx="464">
                  <c:v>6.3660369237180303E-4</c:v>
                </c:pt>
                <c:pt idx="465">
                  <c:v>5.6827508352392901E-4</c:v>
                </c:pt>
                <c:pt idx="466">
                  <c:v>5.0423613571765503E-4</c:v>
                </c:pt>
                <c:pt idx="467">
                  <c:v>4.84239684616062E-4</c:v>
                </c:pt>
                <c:pt idx="468">
                  <c:v>5.1399645365815202E-4</c:v>
                </c:pt>
                <c:pt idx="469">
                  <c:v>5.0328391468326401E-4</c:v>
                </c:pt>
                <c:pt idx="470">
                  <c:v>5.7827410020209102E-4</c:v>
                </c:pt>
                <c:pt idx="471">
                  <c:v>7.2350919791369704E-4</c:v>
                </c:pt>
                <c:pt idx="472">
                  <c:v>7.3755764699667001E-4</c:v>
                </c:pt>
                <c:pt idx="473">
                  <c:v>8.1637549071364196E-4</c:v>
                </c:pt>
                <c:pt idx="474">
                  <c:v>8.1327980853623295E-4</c:v>
                </c:pt>
                <c:pt idx="475">
                  <c:v>1.0107082796275901E-3</c:v>
                </c:pt>
                <c:pt idx="476">
                  <c:v>7.9256279779104299E-4</c:v>
                </c:pt>
                <c:pt idx="477">
                  <c:v>8.2137622834053102E-4</c:v>
                </c:pt>
                <c:pt idx="478">
                  <c:v>7.7637049080704699E-4</c:v>
                </c:pt>
                <c:pt idx="479">
                  <c:v>7.5946409740465601E-4</c:v>
                </c:pt>
                <c:pt idx="480">
                  <c:v>8.2613885887598002E-4</c:v>
                </c:pt>
                <c:pt idx="481">
                  <c:v>8.0780285587485595E-4</c:v>
                </c:pt>
                <c:pt idx="482">
                  <c:v>6.5612701051405702E-4</c:v>
                </c:pt>
                <c:pt idx="483">
                  <c:v>8.7733857109017696E-4</c:v>
                </c:pt>
                <c:pt idx="484">
                  <c:v>9.2377778856612698E-4</c:v>
                </c:pt>
                <c:pt idx="485">
                  <c:v>1.03905163637853E-3</c:v>
                </c:pt>
                <c:pt idx="486">
                  <c:v>9.5973989635752296E-4</c:v>
                </c:pt>
                <c:pt idx="487">
                  <c:v>9.9284523254320693E-4</c:v>
                </c:pt>
                <c:pt idx="488">
                  <c:v>1.10455406628073E-3</c:v>
                </c:pt>
                <c:pt idx="489">
                  <c:v>9.7998403639086096E-4</c:v>
                </c:pt>
                <c:pt idx="490">
                  <c:v>7.7613237060363102E-4</c:v>
                </c:pt>
                <c:pt idx="491">
                  <c:v>7.5779728538038897E-4</c:v>
                </c:pt>
                <c:pt idx="492">
                  <c:v>8.5257187103332597E-4</c:v>
                </c:pt>
                <c:pt idx="493">
                  <c:v>6.9731770170842198E-4</c:v>
                </c:pt>
                <c:pt idx="494">
                  <c:v>8.0851723930193398E-4</c:v>
                </c:pt>
                <c:pt idx="495">
                  <c:v>9.9213071730252698E-4</c:v>
                </c:pt>
                <c:pt idx="496">
                  <c:v>8.2828205002426897E-4</c:v>
                </c:pt>
                <c:pt idx="497">
                  <c:v>6.7350784648843203E-4</c:v>
                </c:pt>
                <c:pt idx="498">
                  <c:v>1.0752560850173199E-3</c:v>
                </c:pt>
                <c:pt idx="499">
                  <c:v>7.9827779232839497E-4</c:v>
                </c:pt>
                <c:pt idx="500">
                  <c:v>8.1804240047483E-4</c:v>
                </c:pt>
                <c:pt idx="501">
                  <c:v>6.3660369237180303E-4</c:v>
                </c:pt>
                <c:pt idx="502">
                  <c:v>7.5541613017000896E-4</c:v>
                </c:pt>
                <c:pt idx="503">
                  <c:v>9.4806993142873195E-4</c:v>
                </c:pt>
                <c:pt idx="504">
                  <c:v>8.11612906721663E-4</c:v>
                </c:pt>
                <c:pt idx="505">
                  <c:v>6.1874733303447598E-4</c:v>
                </c:pt>
                <c:pt idx="506">
                  <c:v>7.8708595870389804E-4</c:v>
                </c:pt>
                <c:pt idx="507">
                  <c:v>7.5565424543563202E-4</c:v>
                </c:pt>
                <c:pt idx="508">
                  <c:v>6.4136544210234298E-4</c:v>
                </c:pt>
                <c:pt idx="509">
                  <c:v>6.8017454874730202E-4</c:v>
                </c:pt>
                <c:pt idx="510">
                  <c:v>6.8660319663248898E-4</c:v>
                </c:pt>
                <c:pt idx="511">
                  <c:v>6.7684119205637099E-4</c:v>
                </c:pt>
                <c:pt idx="512">
                  <c:v>7.09937155066684E-4</c:v>
                </c:pt>
                <c:pt idx="513">
                  <c:v>7.7732297218837505E-4</c:v>
                </c:pt>
                <c:pt idx="514">
                  <c:v>8.6566956861197002E-4</c:v>
                </c:pt>
                <c:pt idx="515">
                  <c:v>6.5874602124147905E-4</c:v>
                </c:pt>
                <c:pt idx="516">
                  <c:v>5.0161753005700696E-4</c:v>
                </c:pt>
                <c:pt idx="517">
                  <c:v>6.5422227975217996E-4</c:v>
                </c:pt>
                <c:pt idx="518">
                  <c:v>5.9565358164263903E-4</c:v>
                </c:pt>
                <c:pt idx="519">
                  <c:v>5.9136820196804298E-4</c:v>
                </c:pt>
                <c:pt idx="520">
                  <c:v>6.7565071021969195E-4</c:v>
                </c:pt>
                <c:pt idx="521">
                  <c:v>7.5255875140903901E-4</c:v>
                </c:pt>
                <c:pt idx="522">
                  <c:v>6.8707939441789499E-4</c:v>
                </c:pt>
                <c:pt idx="523">
                  <c:v>5.8827321696944604E-4</c:v>
                </c:pt>
                <c:pt idx="524">
                  <c:v>5.3661219100235695E-4</c:v>
                </c:pt>
                <c:pt idx="525">
                  <c:v>5.0423613571765503E-4</c:v>
                </c:pt>
                <c:pt idx="526">
                  <c:v>7.3612898213407498E-4</c:v>
                </c:pt>
                <c:pt idx="527">
                  <c:v>8.4661842889735301E-4</c:v>
                </c:pt>
                <c:pt idx="528">
                  <c:v>7.4327232687864103E-4</c:v>
                </c:pt>
                <c:pt idx="529">
                  <c:v>6.6731737708511797E-4</c:v>
                </c:pt>
                <c:pt idx="530">
                  <c:v>8.2113809740969198E-4</c:v>
                </c:pt>
                <c:pt idx="531">
                  <c:v>7.9065780687705796E-4</c:v>
                </c:pt>
                <c:pt idx="532">
                  <c:v>8.3590232245365798E-4</c:v>
                </c:pt>
                <c:pt idx="533">
                  <c:v>8.1399419587967203E-4</c:v>
                </c:pt>
                <c:pt idx="534">
                  <c:v>8.06374090553416E-4</c:v>
                </c:pt>
                <c:pt idx="535">
                  <c:v>7.6517890260084805E-4</c:v>
                </c:pt>
                <c:pt idx="536">
                  <c:v>7.0684180269517697E-4</c:v>
                </c:pt>
                <c:pt idx="537">
                  <c:v>7.8375224526404104E-4</c:v>
                </c:pt>
                <c:pt idx="538">
                  <c:v>9.1306085448086295E-4</c:v>
                </c:pt>
                <c:pt idx="539">
                  <c:v>6.4446059159899995E-4</c:v>
                </c:pt>
                <c:pt idx="540">
                  <c:v>7.6327396390311105E-4</c:v>
                </c:pt>
                <c:pt idx="541">
                  <c:v>1.04595896281161E-3</c:v>
                </c:pt>
                <c:pt idx="542">
                  <c:v>8.6257373368762796E-4</c:v>
                </c:pt>
                <c:pt idx="543">
                  <c:v>7.2422352106583097E-4</c:v>
                </c:pt>
                <c:pt idx="544">
                  <c:v>8.2732952005751595E-4</c:v>
                </c:pt>
                <c:pt idx="545">
                  <c:v>8.8948400413547696E-4</c:v>
                </c:pt>
                <c:pt idx="546">
                  <c:v>6.7065070199707902E-4</c:v>
                </c:pt>
                <c:pt idx="547">
                  <c:v>7.0041302456957098E-4</c:v>
                </c:pt>
                <c:pt idx="548">
                  <c:v>7.4231987796148104E-4</c:v>
                </c:pt>
                <c:pt idx="549">
                  <c:v>7.1446114886172904E-4</c:v>
                </c:pt>
                <c:pt idx="550">
                  <c:v>6.4517485822932201E-4</c:v>
                </c:pt>
                <c:pt idx="551">
                  <c:v>7.0874663378881798E-4</c:v>
                </c:pt>
                <c:pt idx="552">
                  <c:v>7.5898786511403599E-4</c:v>
                </c:pt>
                <c:pt idx="553">
                  <c:v>8.5185745610372198E-4</c:v>
                </c:pt>
                <c:pt idx="554">
                  <c:v>6.6350787651960996E-4</c:v>
                </c:pt>
                <c:pt idx="555">
                  <c:v>6.5279373406407605E-4</c:v>
                </c:pt>
                <c:pt idx="556">
                  <c:v>7.9661091554447802E-4</c:v>
                </c:pt>
                <c:pt idx="557">
                  <c:v>7.3446220904312197E-4</c:v>
                </c:pt>
                <c:pt idx="558">
                  <c:v>6.8946038674977395E-4</c:v>
                </c:pt>
                <c:pt idx="559">
                  <c:v>5.7994061271263099E-4</c:v>
                </c:pt>
                <c:pt idx="560">
                  <c:v>7.4636779213054297E-4</c:v>
                </c:pt>
                <c:pt idx="561">
                  <c:v>7.5470178471346498E-4</c:v>
                </c:pt>
                <c:pt idx="562">
                  <c:v>8.9067474081249895E-4</c:v>
                </c:pt>
                <c:pt idx="563">
                  <c:v>8.0613596319861205E-4</c:v>
                </c:pt>
                <c:pt idx="564">
                  <c:v>8.0685034543352696E-4</c:v>
                </c:pt>
                <c:pt idx="565">
                  <c:v>8.1351793759403001E-4</c:v>
                </c:pt>
                <c:pt idx="566">
                  <c:v>8.7329012621889101E-4</c:v>
                </c:pt>
                <c:pt idx="567">
                  <c:v>7.7494177043793396E-4</c:v>
                </c:pt>
                <c:pt idx="568">
                  <c:v>8.4947607669504804E-4</c:v>
                </c:pt>
                <c:pt idx="569">
                  <c:v>7.3446220904312197E-4</c:v>
                </c:pt>
                <c:pt idx="570">
                  <c:v>8.11136649571122E-4</c:v>
                </c:pt>
                <c:pt idx="571">
                  <c:v>6.7469832577164495E-4</c:v>
                </c:pt>
                <c:pt idx="572">
                  <c:v>6.7350784648843203E-4</c:v>
                </c:pt>
                <c:pt idx="573">
                  <c:v>7.3946253665839695E-4</c:v>
                </c:pt>
                <c:pt idx="574">
                  <c:v>7.0160353591592597E-4</c:v>
                </c:pt>
                <c:pt idx="575">
                  <c:v>6.2850876992152905E-4</c:v>
                </c:pt>
                <c:pt idx="576">
                  <c:v>6.7088879705912803E-4</c:v>
                </c:pt>
                <c:pt idx="577">
                  <c:v>7.26842710327422E-4</c:v>
                </c:pt>
                <c:pt idx="578">
                  <c:v>7.6184526226350999E-4</c:v>
                </c:pt>
                <c:pt idx="579">
                  <c:v>6.8303172047767498E-4</c:v>
                </c:pt>
                <c:pt idx="580">
                  <c:v>5.4661089074175E-4</c:v>
                </c:pt>
                <c:pt idx="581">
                  <c:v>7.1327062219253003E-4</c:v>
                </c:pt>
                <c:pt idx="582">
                  <c:v>7.2874757955800897E-4</c:v>
                </c:pt>
                <c:pt idx="583">
                  <c:v>9.0663074920867303E-4</c:v>
                </c:pt>
                <c:pt idx="584">
                  <c:v>7.3446220904312197E-4</c:v>
                </c:pt>
                <c:pt idx="585">
                  <c:v>7.8232351433823696E-4</c:v>
                </c:pt>
                <c:pt idx="586">
                  <c:v>7.26366493587212E-4</c:v>
                </c:pt>
                <c:pt idx="587">
                  <c:v>9.4402119993494996E-4</c:v>
                </c:pt>
                <c:pt idx="588">
                  <c:v>8.5519139681207901E-4</c:v>
                </c:pt>
                <c:pt idx="589">
                  <c:v>8.9972438593751499E-4</c:v>
                </c:pt>
                <c:pt idx="590">
                  <c:v>1.0400043682200701E-3</c:v>
                </c:pt>
                <c:pt idx="591">
                  <c:v>9.3592378616753999E-4</c:v>
                </c:pt>
                <c:pt idx="592">
                  <c:v>9.2091992823646997E-4</c:v>
                </c:pt>
                <c:pt idx="593">
                  <c:v>7.2565216890281602E-4</c:v>
                </c:pt>
                <c:pt idx="594">
                  <c:v>3.8926200827288197E-4</c:v>
                </c:pt>
                <c:pt idx="595">
                  <c:v>3.48084017915339E-4</c:v>
                </c:pt>
                <c:pt idx="596">
                  <c:v>2.85963210210991E-4</c:v>
                </c:pt>
                <c:pt idx="597">
                  <c:v>1.9957172847358899E-4</c:v>
                </c:pt>
                <c:pt idx="598">
                  <c:v>1.39125934171573E-4</c:v>
                </c:pt>
                <c:pt idx="599">
                  <c:v>5.8695865057070497E-5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4064"/>
        <c:axId val="87144640"/>
      </c:scatterChart>
      <c:valAx>
        <c:axId val="8714406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492232256269"/>
              <c:y val="0.87710418550622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144640"/>
        <c:crossesAt val="0"/>
        <c:crossBetween val="midCat"/>
      </c:valAx>
      <c:valAx>
        <c:axId val="87144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897850339329E-2"/>
              <c:y val="0.34220398920723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144064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628016630674"/>
          <c:y val="0.13524700773659842"/>
          <c:w val="0.68688379439295755"/>
          <c:h val="0.6598062414972997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yVal>
            <c:numRef>
              <c:f>Data!$I$67:$I$1067</c:f>
              <c:numCache>
                <c:formatCode>0.00E+00</c:formatCode>
                <c:ptCount val="1001"/>
                <c:pt idx="0">
                  <c:v>-3.0190344872191701E-5</c:v>
                </c:pt>
                <c:pt idx="1">
                  <c:v>-4.5184264771313401E-5</c:v>
                </c:pt>
                <c:pt idx="2">
                  <c:v>8.2229981577971697E-5</c:v>
                </c:pt>
                <c:pt idx="3">
                  <c:v>-6.5732752627766196E-6</c:v>
                </c:pt>
                <c:pt idx="4">
                  <c:v>-8.3355397213798004E-5</c:v>
                </c:pt>
                <c:pt idx="5">
                  <c:v>1.19464412143437E-5</c:v>
                </c:pt>
                <c:pt idx="6">
                  <c:v>1.5995406410694301E-6</c:v>
                </c:pt>
                <c:pt idx="7">
                  <c:v>-1.0696900588165999E-6</c:v>
                </c:pt>
                <c:pt idx="8">
                  <c:v>3.05641312154905E-5</c:v>
                </c:pt>
                <c:pt idx="9">
                  <c:v>-2.96944442231371E-5</c:v>
                </c:pt>
                <c:pt idx="10">
                  <c:v>-1.40038620602529E-6</c:v>
                </c:pt>
                <c:pt idx="11">
                  <c:v>7.7414062163371206E-6</c:v>
                </c:pt>
                <c:pt idx="12">
                  <c:v>8.1902497674560592E-6</c:v>
                </c:pt>
                <c:pt idx="13">
                  <c:v>-2.5396534714211201E-5</c:v>
                </c:pt>
                <c:pt idx="14">
                  <c:v>-2.28696548094741E-5</c:v>
                </c:pt>
                <c:pt idx="15">
                  <c:v>-4.2209273564692101E-5</c:v>
                </c:pt>
                <c:pt idx="16">
                  <c:v>3.9617516208070303E-6</c:v>
                </c:pt>
                <c:pt idx="17">
                  <c:v>1.7592807934917099E-5</c:v>
                </c:pt>
                <c:pt idx="18">
                  <c:v>-1.23599775197575E-5</c:v>
                </c:pt>
                <c:pt idx="19">
                  <c:v>3.15565427391622E-5</c:v>
                </c:pt>
                <c:pt idx="20">
                  <c:v>3.4656826481071E-6</c:v>
                </c:pt>
                <c:pt idx="21">
                  <c:v>2.7988633343056199E-5</c:v>
                </c:pt>
                <c:pt idx="22">
                  <c:v>-1.030514640028E-5</c:v>
                </c:pt>
                <c:pt idx="23">
                  <c:v>-7.0692915439082698E-6</c:v>
                </c:pt>
                <c:pt idx="24">
                  <c:v>5.4833803131429798E-5</c:v>
                </c:pt>
                <c:pt idx="25">
                  <c:v>-4.6010635377094703E-5</c:v>
                </c:pt>
                <c:pt idx="26">
                  <c:v>-1.01870513640116E-5</c:v>
                </c:pt>
                <c:pt idx="27">
                  <c:v>3.0847676351973998E-5</c:v>
                </c:pt>
                <c:pt idx="28">
                  <c:v>-1.4036877113054001E-5</c:v>
                </c:pt>
                <c:pt idx="29">
                  <c:v>-4.1359259682419497E-5</c:v>
                </c:pt>
                <c:pt idx="30">
                  <c:v>-8.53370609041688E-6</c:v>
                </c:pt>
                <c:pt idx="31">
                  <c:v>-2.8490103750781E-5</c:v>
                </c:pt>
                <c:pt idx="32">
                  <c:v>-2.7231597681972399E-6</c:v>
                </c:pt>
                <c:pt idx="33">
                  <c:v>-5.7366630911003602E-5</c:v>
                </c:pt>
                <c:pt idx="34">
                  <c:v>1.5522969953252801E-6</c:v>
                </c:pt>
                <c:pt idx="35">
                  <c:v>3.9236253314698497E-5</c:v>
                </c:pt>
                <c:pt idx="36">
                  <c:v>-3.1418278663356302E-5</c:v>
                </c:pt>
                <c:pt idx="37">
                  <c:v>3.0034858359413697E-7</c:v>
                </c:pt>
                <c:pt idx="38">
                  <c:v>2.2294421290475399E-5</c:v>
                </c:pt>
                <c:pt idx="39">
                  <c:v>-2.6341146181876399E-5</c:v>
                </c:pt>
                <c:pt idx="40">
                  <c:v>-1.8964283593290501E-6</c:v>
                </c:pt>
                <c:pt idx="41">
                  <c:v>-3.2433673966602002E-5</c:v>
                </c:pt>
                <c:pt idx="42">
                  <c:v>-6.6677547456872304E-6</c:v>
                </c:pt>
                <c:pt idx="43">
                  <c:v>-2.3672595590266101E-5</c:v>
                </c:pt>
                <c:pt idx="44">
                  <c:v>5.4337479679768398E-5</c:v>
                </c:pt>
                <c:pt idx="45">
                  <c:v>3.1745574631292902E-5</c:v>
                </c:pt>
                <c:pt idx="46">
                  <c:v>-4.9434097377065302E-5</c:v>
                </c:pt>
                <c:pt idx="47">
                  <c:v>-2.5797995687406599E-5</c:v>
                </c:pt>
                <c:pt idx="48">
                  <c:v>9.7337753989858606E-5</c:v>
                </c:pt>
                <c:pt idx="49">
                  <c:v>2.0451551307678099E-5</c:v>
                </c:pt>
                <c:pt idx="50">
                  <c:v>4.8003665102501998E-5</c:v>
                </c:pt>
                <c:pt idx="51">
                  <c:v>3.8385548399333397E-5</c:v>
                </c:pt>
                <c:pt idx="52">
                  <c:v>3.9590715849299798E-5</c:v>
                </c:pt>
                <c:pt idx="53">
                  <c:v>-4.7002271013186199E-5</c:v>
                </c:pt>
                <c:pt idx="54">
                  <c:v>2.9595358114632001E-5</c:v>
                </c:pt>
                <c:pt idx="55">
                  <c:v>2.8278833290278098E-6</c:v>
                </c:pt>
                <c:pt idx="56">
                  <c:v>-5.00479470314486E-5</c:v>
                </c:pt>
                <c:pt idx="57">
                  <c:v>4.2497356409871901E-5</c:v>
                </c:pt>
                <c:pt idx="58">
                  <c:v>9.7172241673575694E-5</c:v>
                </c:pt>
                <c:pt idx="59">
                  <c:v>1.1592077453669201E-5</c:v>
                </c:pt>
                <c:pt idx="60">
                  <c:v>-7.5377735853082102E-5</c:v>
                </c:pt>
                <c:pt idx="61">
                  <c:v>-7.1401508101216296E-6</c:v>
                </c:pt>
                <c:pt idx="62">
                  <c:v>-7.9343044227448204E-5</c:v>
                </c:pt>
                <c:pt idx="63">
                  <c:v>-3.4081605720120901E-6</c:v>
                </c:pt>
                <c:pt idx="64">
                  <c:v>-4.5278707474829299E-5</c:v>
                </c:pt>
                <c:pt idx="65">
                  <c:v>1.20409384310279E-5</c:v>
                </c:pt>
                <c:pt idx="66">
                  <c:v>-2.5490996265891099E-5</c:v>
                </c:pt>
                <c:pt idx="67">
                  <c:v>-1.9893994048693701E-5</c:v>
                </c:pt>
                <c:pt idx="68">
                  <c:v>2.1940020557732799E-5</c:v>
                </c:pt>
                <c:pt idx="69">
                  <c:v>2.84375685268527E-5</c:v>
                </c:pt>
                <c:pt idx="70">
                  <c:v>5.7291822539091002E-5</c:v>
                </c:pt>
                <c:pt idx="71">
                  <c:v>-1.9232723976064E-5</c:v>
                </c:pt>
                <c:pt idx="72">
                  <c:v>1.1899192639761299E-5</c:v>
                </c:pt>
                <c:pt idx="73">
                  <c:v>4.4104316204886802E-5</c:v>
                </c:pt>
                <c:pt idx="74">
                  <c:v>-6.1481164758433096E-6</c:v>
                </c:pt>
                <c:pt idx="75">
                  <c:v>7.0291976398157105E-5</c:v>
                </c:pt>
                <c:pt idx="76">
                  <c:v>-7.4575213670544701E-5</c:v>
                </c:pt>
                <c:pt idx="77">
                  <c:v>-1.47690356482856E-5</c:v>
                </c:pt>
                <c:pt idx="78">
                  <c:v>-4.6577285526349097E-5</c:v>
                </c:pt>
                <c:pt idx="79">
                  <c:v>9.7966538574002802E-6</c:v>
                </c:pt>
                <c:pt idx="80">
                  <c:v>-2.9859744715053801E-5</c:v>
                </c:pt>
                <c:pt idx="81">
                  <c:v>-3.3756033657750903E-5</c:v>
                </c:pt>
                <c:pt idx="82">
                  <c:v>8.4973544201547898E-6</c:v>
                </c:pt>
                <c:pt idx="83">
                  <c:v>2.0073530927891701E-5</c:v>
                </c:pt>
                <c:pt idx="84">
                  <c:v>2.6949001770892598E-5</c:v>
                </c:pt>
                <c:pt idx="85">
                  <c:v>1.7616433575558501E-5</c:v>
                </c:pt>
                <c:pt idx="86">
                  <c:v>-1.46745638829664E-5</c:v>
                </c:pt>
                <c:pt idx="87">
                  <c:v>-3.3118469579565299E-5</c:v>
                </c:pt>
                <c:pt idx="88">
                  <c:v>1.7309300686255801E-5</c:v>
                </c:pt>
                <c:pt idx="89">
                  <c:v>8.2986497628638703E-5</c:v>
                </c:pt>
                <c:pt idx="90">
                  <c:v>3.7794785389280403E-5</c:v>
                </c:pt>
                <c:pt idx="91">
                  <c:v>2.24361819381341E-5</c:v>
                </c:pt>
                <c:pt idx="92">
                  <c:v>-2.6317531004841801E-5</c:v>
                </c:pt>
                <c:pt idx="93">
                  <c:v>-4.6034245864625297E-5</c:v>
                </c:pt>
                <c:pt idx="94">
                  <c:v>-3.8218867428757701E-5</c:v>
                </c:pt>
                <c:pt idx="95">
                  <c:v>-9.6201932324315995E-6</c:v>
                </c:pt>
                <c:pt idx="96">
                  <c:v>-2.9765287324851402E-5</c:v>
                </c:pt>
                <c:pt idx="97">
                  <c:v>-2.7923350232006299E-5</c:v>
                </c:pt>
                <c:pt idx="98">
                  <c:v>5.2872158262308699E-5</c:v>
                </c:pt>
                <c:pt idx="99">
                  <c:v>-1.8122725012681899E-5</c:v>
                </c:pt>
                <c:pt idx="100">
                  <c:v>9.7976161224528003E-5</c:v>
                </c:pt>
                <c:pt idx="101">
                  <c:v>1.8121373253286E-6</c:v>
                </c:pt>
                <c:pt idx="102">
                  <c:v>7.4106806889311301E-6</c:v>
                </c:pt>
                <c:pt idx="103">
                  <c:v>-6.1710368452440098E-5</c:v>
                </c:pt>
                <c:pt idx="104">
                  <c:v>-1.3588132113237501E-5</c:v>
                </c:pt>
                <c:pt idx="105">
                  <c:v>-4.8962494633796404E-6</c:v>
                </c:pt>
                <c:pt idx="106">
                  <c:v>5.3982964448837801E-5</c:v>
                </c:pt>
                <c:pt idx="107">
                  <c:v>1.0089966869829699E-6</c:v>
                </c:pt>
                <c:pt idx="108">
                  <c:v>-5.0685402265564297E-5</c:v>
                </c:pt>
                <c:pt idx="109">
                  <c:v>4.49787023231543E-5</c:v>
                </c:pt>
                <c:pt idx="110">
                  <c:v>8.5185155143150393E-5</c:v>
                </c:pt>
                <c:pt idx="111">
                  <c:v>-7.8776581312760995E-5</c:v>
                </c:pt>
                <c:pt idx="112">
                  <c:v>-3.5735048847897601E-6</c:v>
                </c:pt>
                <c:pt idx="113">
                  <c:v>-1.35172774539543E-5</c:v>
                </c:pt>
                <c:pt idx="114">
                  <c:v>6.0742880672245599E-7</c:v>
                </c:pt>
                <c:pt idx="115">
                  <c:v>2.3759291086328199E-5</c:v>
                </c:pt>
                <c:pt idx="116">
                  <c:v>-1.16986572080076E-5</c:v>
                </c:pt>
                <c:pt idx="117">
                  <c:v>3.9968810615636397E-5</c:v>
                </c:pt>
                <c:pt idx="118">
                  <c:v>-8.1066015698201595E-5</c:v>
                </c:pt>
                <c:pt idx="119">
                  <c:v>-6.4755592710700899E-5</c:v>
                </c:pt>
                <c:pt idx="120">
                  <c:v>-2.0720575438727001E-5</c:v>
                </c:pt>
                <c:pt idx="121">
                  <c:v>-1.9492509173342401E-5</c:v>
                </c:pt>
                <c:pt idx="122">
                  <c:v>-3.8691113218948403E-5</c:v>
                </c:pt>
                <c:pt idx="123">
                  <c:v>4.0798636466824597E-6</c:v>
                </c:pt>
                <c:pt idx="124">
                  <c:v>5.6625783641732797E-6</c:v>
                </c:pt>
                <c:pt idx="125">
                  <c:v>8.3222910077413803E-5</c:v>
                </c:pt>
                <c:pt idx="126">
                  <c:v>-1.7555912239382101E-5</c:v>
                </c:pt>
                <c:pt idx="127">
                  <c:v>-8.2340523271739403E-5</c:v>
                </c:pt>
                <c:pt idx="128">
                  <c:v>2.8154030279633E-5</c:v>
                </c:pt>
                <c:pt idx="129">
                  <c:v>8.9462013923259594E-6</c:v>
                </c:pt>
                <c:pt idx="130">
                  <c:v>8.7572129459349495E-6</c:v>
                </c:pt>
                <c:pt idx="131">
                  <c:v>3.3777690223085201E-5</c:v>
                </c:pt>
                <c:pt idx="132">
                  <c:v>2.49717418570679E-6</c:v>
                </c:pt>
                <c:pt idx="133">
                  <c:v>-7.5889249871456799E-6</c:v>
                </c:pt>
                <c:pt idx="134">
                  <c:v>1.91521122878158E-5</c:v>
                </c:pt>
                <c:pt idx="135">
                  <c:v>-7.3961515853535701E-5</c:v>
                </c:pt>
                <c:pt idx="136">
                  <c:v>2.0994958127649501E-5</c:v>
                </c:pt>
                <c:pt idx="137">
                  <c:v>-2.1562589732927699E-6</c:v>
                </c:pt>
                <c:pt idx="138">
                  <c:v>8.8044600237729494E-6</c:v>
                </c:pt>
                <c:pt idx="139">
                  <c:v>-2.75218978630674E-5</c:v>
                </c:pt>
                <c:pt idx="140">
                  <c:v>-1.6365970646375499E-6</c:v>
                </c:pt>
                <c:pt idx="141">
                  <c:v>-5.2928267734348701E-5</c:v>
                </c:pt>
                <c:pt idx="142">
                  <c:v>4.3962524587622802E-5</c:v>
                </c:pt>
                <c:pt idx="143">
                  <c:v>-2.7639972257935501E-5</c:v>
                </c:pt>
                <c:pt idx="144">
                  <c:v>-3.8148030366236199E-5</c:v>
                </c:pt>
                <c:pt idx="145">
                  <c:v>3.4893049238794802E-6</c:v>
                </c:pt>
                <c:pt idx="146">
                  <c:v>-2.2846038805743999E-5</c:v>
                </c:pt>
                <c:pt idx="147">
                  <c:v>-1.40038620602529E-6</c:v>
                </c:pt>
                <c:pt idx="148">
                  <c:v>-1.51469218096564E-5</c:v>
                </c:pt>
                <c:pt idx="149">
                  <c:v>1.13558356499156E-5</c:v>
                </c:pt>
                <c:pt idx="150">
                  <c:v>3.5644437743326497E-5</c:v>
                </c:pt>
                <c:pt idx="151">
                  <c:v>5.5377398332327601E-5</c:v>
                </c:pt>
                <c:pt idx="152">
                  <c:v>5.5306494441548199E-5</c:v>
                </c:pt>
                <c:pt idx="153">
                  <c:v>-6.20886381066658E-7</c:v>
                </c:pt>
                <c:pt idx="154">
                  <c:v>8.4028605795851396E-6</c:v>
                </c:pt>
                <c:pt idx="155">
                  <c:v>-1.5760983750794799E-5</c:v>
                </c:pt>
                <c:pt idx="156">
                  <c:v>-1.8524215433661999E-5</c:v>
                </c:pt>
                <c:pt idx="157">
                  <c:v>-9.0223224559863793E-5</c:v>
                </c:pt>
                <c:pt idx="158">
                  <c:v>-2.8885052230034902E-6</c:v>
                </c:pt>
                <c:pt idx="159">
                  <c:v>-4.5892582855054403E-5</c:v>
                </c:pt>
                <c:pt idx="160">
                  <c:v>2.99734147843982E-5</c:v>
                </c:pt>
                <c:pt idx="161">
                  <c:v>-3.1380901028909E-7</c:v>
                </c:pt>
                <c:pt idx="162">
                  <c:v>2.1632874280282399E-5</c:v>
                </c:pt>
                <c:pt idx="163">
                  <c:v>-3.4228300702459499E-5</c:v>
                </c:pt>
                <c:pt idx="164">
                  <c:v>1.7049419753499498E-5</c:v>
                </c:pt>
                <c:pt idx="165">
                  <c:v>-4.7686966021689498E-5</c:v>
                </c:pt>
                <c:pt idx="166">
                  <c:v>-5.93260578185308E-5</c:v>
                </c:pt>
                <c:pt idx="167">
                  <c:v>1.31040383223868E-5</c:v>
                </c:pt>
                <c:pt idx="168">
                  <c:v>1.04218581727796E-4</c:v>
                </c:pt>
                <c:pt idx="169">
                  <c:v>-5.8122077197049402E-5</c:v>
                </c:pt>
                <c:pt idx="170">
                  <c:v>1.9979026058052098E-5</c:v>
                </c:pt>
                <c:pt idx="171">
                  <c:v>-5.0000727962194501E-5</c:v>
                </c:pt>
                <c:pt idx="172">
                  <c:v>2.9051904176246001E-5</c:v>
                </c:pt>
                <c:pt idx="173">
                  <c:v>4.61366849904334E-5</c:v>
                </c:pt>
                <c:pt idx="174">
                  <c:v>2.7634212264747801E-5</c:v>
                </c:pt>
                <c:pt idx="175">
                  <c:v>6.7964790638740898E-6</c:v>
                </c:pt>
                <c:pt idx="176">
                  <c:v>2.2743330703107099E-5</c:v>
                </c:pt>
                <c:pt idx="177">
                  <c:v>1.46868970512839E-5</c:v>
                </c:pt>
                <c:pt idx="178">
                  <c:v>2.9264559710593001E-5</c:v>
                </c:pt>
                <c:pt idx="179">
                  <c:v>1.30804137565718E-5</c:v>
                </c:pt>
                <c:pt idx="180">
                  <c:v>-3.2929560917300098E-5</c:v>
                </c:pt>
                <c:pt idx="181">
                  <c:v>-2.30349666781669E-5</c:v>
                </c:pt>
                <c:pt idx="182">
                  <c:v>-3.4554018323744901E-6</c:v>
                </c:pt>
                <c:pt idx="183">
                  <c:v>-6.1191018545364996E-5</c:v>
                </c:pt>
                <c:pt idx="184">
                  <c:v>-3.7179918773530202E-5</c:v>
                </c:pt>
                <c:pt idx="185">
                  <c:v>7.5421596681063196E-5</c:v>
                </c:pt>
                <c:pt idx="186">
                  <c:v>-5.6658394790243803E-5</c:v>
                </c:pt>
                <c:pt idx="187">
                  <c:v>-2.1932347415096201E-7</c:v>
                </c:pt>
                <c:pt idx="188">
                  <c:v>-3.5314506369495597E-5</c:v>
                </c:pt>
                <c:pt idx="189">
                  <c:v>-2.3200278271271899E-5</c:v>
                </c:pt>
                <c:pt idx="190">
                  <c:v>5.7806924155453796E-6</c:v>
                </c:pt>
                <c:pt idx="191">
                  <c:v>-7.8328129209840702E-5</c:v>
                </c:pt>
                <c:pt idx="192">
                  <c:v>-5.0143507999861799E-6</c:v>
                </c:pt>
                <c:pt idx="193">
                  <c:v>5.9111741531252197E-5</c:v>
                </c:pt>
                <c:pt idx="194">
                  <c:v>-3.12529807694467E-5</c:v>
                </c:pt>
                <c:pt idx="195">
                  <c:v>8.0485094792387907E-6</c:v>
                </c:pt>
                <c:pt idx="196">
                  <c:v>-1.11318077165298E-5</c:v>
                </c:pt>
                <c:pt idx="197">
                  <c:v>-8.9066819590432296E-5</c:v>
                </c:pt>
                <c:pt idx="198">
                  <c:v>-1.9279957698924799E-5</c:v>
                </c:pt>
                <c:pt idx="199">
                  <c:v>1.02691306001073E-5</c:v>
                </c:pt>
                <c:pt idx="200">
                  <c:v>1.6198905098022998E-5</c:v>
                </c:pt>
                <c:pt idx="201">
                  <c:v>-4.3625947176085899E-5</c:v>
                </c:pt>
                <c:pt idx="202">
                  <c:v>-5.3187964669191998E-5</c:v>
                </c:pt>
                <c:pt idx="203">
                  <c:v>-4.3224558374490503E-5</c:v>
                </c:pt>
                <c:pt idx="204">
                  <c:v>-6.4850016774053301E-5</c:v>
                </c:pt>
                <c:pt idx="205">
                  <c:v>-1.02966385900245E-4</c:v>
                </c:pt>
                <c:pt idx="206">
                  <c:v>-2.7734431672614099E-5</c:v>
                </c:pt>
                <c:pt idx="207">
                  <c:v>-2.48297635145588E-5</c:v>
                </c:pt>
                <c:pt idx="208">
                  <c:v>4.1953831782368903E-5</c:v>
                </c:pt>
                <c:pt idx="209">
                  <c:v>2.80831458444669E-5</c:v>
                </c:pt>
                <c:pt idx="210">
                  <c:v>1.17338228060131E-5</c:v>
                </c:pt>
                <c:pt idx="211">
                  <c:v>-2.0578876261178599E-5</c:v>
                </c:pt>
                <c:pt idx="212">
                  <c:v>-1.6705687004994898E-5</c:v>
                </c:pt>
                <c:pt idx="213">
                  <c:v>6.2373498066623501E-5</c:v>
                </c:pt>
                <c:pt idx="214">
                  <c:v>5.7806924155453796E-6</c:v>
                </c:pt>
                <c:pt idx="215">
                  <c:v>5.61533278301163E-6</c:v>
                </c:pt>
                <c:pt idx="216">
                  <c:v>-4.9788241872231403E-5</c:v>
                </c:pt>
                <c:pt idx="217">
                  <c:v>-1.1155426510033299E-5</c:v>
                </c:pt>
                <c:pt idx="218">
                  <c:v>-1.1155426510033299E-5</c:v>
                </c:pt>
                <c:pt idx="219">
                  <c:v>1.4805021849922099E-5</c:v>
                </c:pt>
                <c:pt idx="220">
                  <c:v>-2.3979600641277101E-5</c:v>
                </c:pt>
                <c:pt idx="221">
                  <c:v>3.7534850779437802E-5</c:v>
                </c:pt>
                <c:pt idx="222">
                  <c:v>5.1335957435379401E-5</c:v>
                </c:pt>
                <c:pt idx="223">
                  <c:v>-8.4392283850985002E-6</c:v>
                </c:pt>
                <c:pt idx="224">
                  <c:v>6.0955329874385798E-5</c:v>
                </c:pt>
                <c:pt idx="225">
                  <c:v>2.08059467221774E-5</c:v>
                </c:pt>
                <c:pt idx="226">
                  <c:v>1.5230272289825E-5</c:v>
                </c:pt>
                <c:pt idx="227">
                  <c:v>2.76814683353631E-5</c:v>
                </c:pt>
                <c:pt idx="228">
                  <c:v>1.12707957933657E-4</c:v>
                </c:pt>
                <c:pt idx="229">
                  <c:v>6.3105040172157101E-7</c:v>
                </c:pt>
                <c:pt idx="230">
                  <c:v>6.9133711748119606E-5</c:v>
                </c:pt>
                <c:pt idx="231">
                  <c:v>5.7504538620312201E-5</c:v>
                </c:pt>
                <c:pt idx="232">
                  <c:v>-1.00937029131875E-4</c:v>
                </c:pt>
                <c:pt idx="233">
                  <c:v>7.5524200656340899E-6</c:v>
                </c:pt>
                <c:pt idx="234">
                  <c:v>6.3649866772710003E-5</c:v>
                </c:pt>
                <c:pt idx="235">
                  <c:v>-4.12175899936257E-5</c:v>
                </c:pt>
                <c:pt idx="236">
                  <c:v>4.1882937485286798E-5</c:v>
                </c:pt>
                <c:pt idx="237">
                  <c:v>4.4789645212099901E-5</c:v>
                </c:pt>
                <c:pt idx="238">
                  <c:v>-2.9670829844660699E-5</c:v>
                </c:pt>
                <c:pt idx="239">
                  <c:v>6.9630109228078699E-5</c:v>
                </c:pt>
                <c:pt idx="240">
                  <c:v>-2.5845226283281301E-5</c:v>
                </c:pt>
                <c:pt idx="241">
                  <c:v>1.6938546337019701E-4</c:v>
                </c:pt>
                <c:pt idx="242">
                  <c:v>9.3767478135869898E-5</c:v>
                </c:pt>
                <c:pt idx="243">
                  <c:v>3.6471489013728901E-5</c:v>
                </c:pt>
                <c:pt idx="244">
                  <c:v>-3.8431378312665603E-5</c:v>
                </c:pt>
                <c:pt idx="245">
                  <c:v>-9.8327654114837906E-6</c:v>
                </c:pt>
                <c:pt idx="246">
                  <c:v>1.2994906553471199E-4</c:v>
                </c:pt>
                <c:pt idx="247">
                  <c:v>-3.0538504021311698E-6</c:v>
                </c:pt>
                <c:pt idx="248">
                  <c:v>-2.2271217498663701E-6</c:v>
                </c:pt>
                <c:pt idx="249">
                  <c:v>-1.3092148435217499E-5</c:v>
                </c:pt>
                <c:pt idx="250">
                  <c:v>-2.92693845501316E-5</c:v>
                </c:pt>
                <c:pt idx="251">
                  <c:v>-2.2633494519009599E-5</c:v>
                </c:pt>
                <c:pt idx="252">
                  <c:v>-3.5031149516490603E-5</c:v>
                </c:pt>
                <c:pt idx="253">
                  <c:v>-3.4511659849656098E-5</c:v>
                </c:pt>
                <c:pt idx="254">
                  <c:v>2.6594584407271599E-5</c:v>
                </c:pt>
                <c:pt idx="255">
                  <c:v>5.5708283826028797E-5</c:v>
                </c:pt>
                <c:pt idx="256">
                  <c:v>-5.2101954780058002E-5</c:v>
                </c:pt>
                <c:pt idx="257">
                  <c:v>-4.3460669631029602E-5</c:v>
                </c:pt>
                <c:pt idx="258">
                  <c:v>-2.8560947712859701E-5</c:v>
                </c:pt>
                <c:pt idx="259">
                  <c:v>-7.0420877343876402E-5</c:v>
                </c:pt>
                <c:pt idx="260">
                  <c:v>4.5734934370463799E-5</c:v>
                </c:pt>
                <c:pt idx="261">
                  <c:v>-3.50264307022272E-6</c:v>
                </c:pt>
                <c:pt idx="262">
                  <c:v>-2.0437176881162201E-5</c:v>
                </c:pt>
                <c:pt idx="263">
                  <c:v>-3.7604944539125897E-5</c:v>
                </c:pt>
                <c:pt idx="264">
                  <c:v>2.34993932535906E-5</c:v>
                </c:pt>
                <c:pt idx="265">
                  <c:v>-6.4661168557451006E-5</c:v>
                </c:pt>
                <c:pt idx="266">
                  <c:v>-5.4392005206858697E-5</c:v>
                </c:pt>
                <c:pt idx="267">
                  <c:v>-4.4145389095653299E-5</c:v>
                </c:pt>
                <c:pt idx="268">
                  <c:v>-3.9278131982223797E-6</c:v>
                </c:pt>
                <c:pt idx="269">
                  <c:v>-4.6931440225201102E-5</c:v>
                </c:pt>
                <c:pt idx="270">
                  <c:v>-6.4991652700430204E-5</c:v>
                </c:pt>
                <c:pt idx="271">
                  <c:v>-3.2480901402093498E-5</c:v>
                </c:pt>
                <c:pt idx="272">
                  <c:v>-2.9198541094154899E-5</c:v>
                </c:pt>
                <c:pt idx="273">
                  <c:v>-7.7542623299443804E-6</c:v>
                </c:pt>
                <c:pt idx="274">
                  <c:v>5.7334467781098103E-6</c:v>
                </c:pt>
                <c:pt idx="275">
                  <c:v>-3.16071902047031E-5</c:v>
                </c:pt>
                <c:pt idx="276">
                  <c:v>5.8804480138165698E-5</c:v>
                </c:pt>
                <c:pt idx="277">
                  <c:v>5.4479286126852E-5</c:v>
                </c:pt>
                <c:pt idx="278">
                  <c:v>-5.5103748780188604E-6</c:v>
                </c:pt>
                <c:pt idx="279">
                  <c:v>3.0493245058031099E-5</c:v>
                </c:pt>
                <c:pt idx="280">
                  <c:v>5.8043152426973898E-6</c:v>
                </c:pt>
                <c:pt idx="281">
                  <c:v>3.0115186407025699E-5</c:v>
                </c:pt>
                <c:pt idx="282">
                  <c:v>-6.1686761697508702E-5</c:v>
                </c:pt>
                <c:pt idx="283">
                  <c:v>3.0587759945912002E-5</c:v>
                </c:pt>
                <c:pt idx="284">
                  <c:v>-8.1160424228515004E-5</c:v>
                </c:pt>
                <c:pt idx="285">
                  <c:v>-3.1748873624547902E-5</c:v>
                </c:pt>
                <c:pt idx="286">
                  <c:v>-1.5288628748940201E-5</c:v>
                </c:pt>
                <c:pt idx="287">
                  <c:v>2.3554420332809001E-6</c:v>
                </c:pt>
                <c:pt idx="288">
                  <c:v>1.7970818860375902E-5</c:v>
                </c:pt>
                <c:pt idx="289">
                  <c:v>-1.9672913215475398E-6</c:v>
                </c:pt>
                <c:pt idx="290">
                  <c:v>-6.6677547456872304E-6</c:v>
                </c:pt>
                <c:pt idx="291">
                  <c:v>5.3699353176251301E-5</c:v>
                </c:pt>
                <c:pt idx="292">
                  <c:v>5.7362727848824299E-5</c:v>
                </c:pt>
                <c:pt idx="293">
                  <c:v>2.96426151195706E-5</c:v>
                </c:pt>
                <c:pt idx="294">
                  <c:v>-7.9413851864200199E-5</c:v>
                </c:pt>
                <c:pt idx="295">
                  <c:v>-3.9352253546798999E-5</c:v>
                </c:pt>
                <c:pt idx="296">
                  <c:v>-8.1085557077435604E-6</c:v>
                </c:pt>
                <c:pt idx="297">
                  <c:v>-7.8487406877858499E-6</c:v>
                </c:pt>
                <c:pt idx="298">
                  <c:v>-1.212379220039E-5</c:v>
                </c:pt>
                <c:pt idx="299">
                  <c:v>2.69017460492567E-5</c:v>
                </c:pt>
                <c:pt idx="300">
                  <c:v>3.77277267198039E-6</c:v>
                </c:pt>
                <c:pt idx="301">
                  <c:v>-1.1065868666409099E-4</c:v>
                </c:pt>
                <c:pt idx="302">
                  <c:v>-1.7626764013212701E-5</c:v>
                </c:pt>
                <c:pt idx="303">
                  <c:v>4.47660130985578E-5</c:v>
                </c:pt>
                <c:pt idx="304">
                  <c:v>4.5049598832693002E-5</c:v>
                </c:pt>
                <c:pt idx="305">
                  <c:v>7.0191522050149904E-7</c:v>
                </c:pt>
                <c:pt idx="306">
                  <c:v>5.5448302273780701E-5</c:v>
                </c:pt>
                <c:pt idx="307">
                  <c:v>7.4050520128464805E-5</c:v>
                </c:pt>
                <c:pt idx="308">
                  <c:v>2.37829181957813E-5</c:v>
                </c:pt>
                <c:pt idx="309">
                  <c:v>6.9630109228078699E-5</c:v>
                </c:pt>
                <c:pt idx="310">
                  <c:v>3.1863719746815597E-5</c:v>
                </c:pt>
                <c:pt idx="311">
                  <c:v>8.0031389547085405E-5</c:v>
                </c:pt>
                <c:pt idx="312">
                  <c:v>-3.4440820138748502E-5</c:v>
                </c:pt>
                <c:pt idx="313">
                  <c:v>4.4246108024822699E-5</c:v>
                </c:pt>
                <c:pt idx="314">
                  <c:v>6.3957143172940095E-5</c:v>
                </c:pt>
                <c:pt idx="315">
                  <c:v>-2.5585457727582799E-5</c:v>
                </c:pt>
                <c:pt idx="316">
                  <c:v>-3.1380901028909E-7</c:v>
                </c:pt>
                <c:pt idx="317">
                  <c:v>3.41085036781622E-5</c:v>
                </c:pt>
                <c:pt idx="318">
                  <c:v>-1.7036331017864799E-5</c:v>
                </c:pt>
                <c:pt idx="319">
                  <c:v>8.6816448653993802E-5</c:v>
                </c:pt>
                <c:pt idx="320">
                  <c:v>3.51292720527474E-6</c:v>
                </c:pt>
                <c:pt idx="321">
                  <c:v>-2.65772976428529E-5</c:v>
                </c:pt>
                <c:pt idx="322">
                  <c:v>-1.5548424278391301E-5</c:v>
                </c:pt>
                <c:pt idx="323">
                  <c:v>8.6627188578011197E-6</c:v>
                </c:pt>
                <c:pt idx="324">
                  <c:v>-4.3248169525449502E-5</c:v>
                </c:pt>
                <c:pt idx="325">
                  <c:v>-1.0494098165789601E-5</c:v>
                </c:pt>
                <c:pt idx="326">
                  <c:v>1.9302467912645201E-6</c:v>
                </c:pt>
                <c:pt idx="327">
                  <c:v>-6.4873622775817204E-5</c:v>
                </c:pt>
                <c:pt idx="328">
                  <c:v>3.1958235940558697E-5</c:v>
                </c:pt>
                <c:pt idx="329">
                  <c:v>4.3869555722361603E-6</c:v>
                </c:pt>
                <c:pt idx="330">
                  <c:v>2.7894120931678999E-5</c:v>
                </c:pt>
                <c:pt idx="331">
                  <c:v>-7.9432189556162993E-6</c:v>
                </c:pt>
                <c:pt idx="332">
                  <c:v>-2.2940502786949499E-5</c:v>
                </c:pt>
                <c:pt idx="333">
                  <c:v>-3.2664366559538699E-6</c:v>
                </c:pt>
                <c:pt idx="334">
                  <c:v>-2.22556368844774E-5</c:v>
                </c:pt>
                <c:pt idx="335">
                  <c:v>-2.33419737031845E-5</c:v>
                </c:pt>
                <c:pt idx="336">
                  <c:v>3.0233329580691999E-5</c:v>
                </c:pt>
                <c:pt idx="337">
                  <c:v>-2.6199455035348198E-5</c:v>
                </c:pt>
                <c:pt idx="338">
                  <c:v>-3.7604944539125897E-5</c:v>
                </c:pt>
                <c:pt idx="339">
                  <c:v>-6.0766093870673801E-5</c:v>
                </c:pt>
                <c:pt idx="340">
                  <c:v>1.7356551838099601E-5</c:v>
                </c:pt>
                <c:pt idx="341">
                  <c:v>-2.8726250094258798E-5</c:v>
                </c:pt>
                <c:pt idx="342">
                  <c:v>-8.6281837057244092E-6</c:v>
                </c:pt>
                <c:pt idx="343">
                  <c:v>8.4973544201547898E-6</c:v>
                </c:pt>
                <c:pt idx="344">
                  <c:v>-2.47353013330061E-5</c:v>
                </c:pt>
                <c:pt idx="345">
                  <c:v>-3.04737155582298E-5</c:v>
                </c:pt>
                <c:pt idx="346">
                  <c:v>-4.5183242411191502E-6</c:v>
                </c:pt>
                <c:pt idx="347">
                  <c:v>1.1781071301807501E-5</c:v>
                </c:pt>
                <c:pt idx="348">
                  <c:v>4.5923993283052699E-5</c:v>
                </c:pt>
                <c:pt idx="349">
                  <c:v>4.3111779140062399E-5</c:v>
                </c:pt>
                <c:pt idx="350">
                  <c:v>-5.7909608510880103E-5</c:v>
                </c:pt>
                <c:pt idx="351">
                  <c:v>-3.15835762817232E-5</c:v>
                </c:pt>
                <c:pt idx="352">
                  <c:v>-9.7855271888447694E-6</c:v>
                </c:pt>
                <c:pt idx="353">
                  <c:v>2.2609540441962099E-6</c:v>
                </c:pt>
                <c:pt idx="354">
                  <c:v>5.5401032973863298E-5</c:v>
                </c:pt>
                <c:pt idx="355">
                  <c:v>-2.6364761353265501E-5</c:v>
                </c:pt>
                <c:pt idx="356">
                  <c:v>-1.49579789089589E-5</c:v>
                </c:pt>
                <c:pt idx="357">
                  <c:v>-2.7356593474060501E-5</c:v>
                </c:pt>
                <c:pt idx="358">
                  <c:v>-3.6495151208125301E-5</c:v>
                </c:pt>
                <c:pt idx="359">
                  <c:v>3.9853740147272997E-6</c:v>
                </c:pt>
                <c:pt idx="360">
                  <c:v>2.5035163051453598E-5</c:v>
                </c:pt>
                <c:pt idx="361">
                  <c:v>-4.3106502535375397E-5</c:v>
                </c:pt>
                <c:pt idx="362">
                  <c:v>4.3749837541722802E-5</c:v>
                </c:pt>
                <c:pt idx="363">
                  <c:v>8.7808364820424294E-6</c:v>
                </c:pt>
                <c:pt idx="364">
                  <c:v>-3.7152283620615202E-6</c:v>
                </c:pt>
                <c:pt idx="365">
                  <c:v>3.8436397355934802E-6</c:v>
                </c:pt>
                <c:pt idx="366">
                  <c:v>1.6458783802338399E-5</c:v>
                </c:pt>
                <c:pt idx="367">
                  <c:v>-2.81358831811432E-5</c:v>
                </c:pt>
                <c:pt idx="368">
                  <c:v>-2.1798799044327398E-6</c:v>
                </c:pt>
                <c:pt idx="369">
                  <c:v>1.8892226526661999E-5</c:v>
                </c:pt>
                <c:pt idx="370">
                  <c:v>-7.2214816658394403E-5</c:v>
                </c:pt>
                <c:pt idx="371">
                  <c:v>6.6311177377510203E-6</c:v>
                </c:pt>
                <c:pt idx="372">
                  <c:v>1.6907666804455299E-5</c:v>
                </c:pt>
                <c:pt idx="373">
                  <c:v>6.9145944655922899E-6</c:v>
                </c:pt>
                <c:pt idx="374">
                  <c:v>-3.4393593636718498E-5</c:v>
                </c:pt>
                <c:pt idx="375">
                  <c:v>3.3777690223085201E-5</c:v>
                </c:pt>
                <c:pt idx="376">
                  <c:v>5.0626949692358201E-5</c:v>
                </c:pt>
                <c:pt idx="377">
                  <c:v>-1.17005565113034E-4</c:v>
                </c:pt>
                <c:pt idx="378">
                  <c:v>8.8517071241249495E-6</c:v>
                </c:pt>
                <c:pt idx="379">
                  <c:v>1.6246155720887899E-5</c:v>
                </c:pt>
                <c:pt idx="380">
                  <c:v>5.8284501487004002E-5</c:v>
                </c:pt>
                <c:pt idx="381">
                  <c:v>9.8141674881770607E-5</c:v>
                </c:pt>
                <c:pt idx="382">
                  <c:v>5.1075987341234502E-5</c:v>
                </c:pt>
                <c:pt idx="383">
                  <c:v>3.71567652901274E-5</c:v>
                </c:pt>
                <c:pt idx="384">
                  <c:v>4.8594065451613902E-6</c:v>
                </c:pt>
                <c:pt idx="385">
                  <c:v>3.4510207213998503E-5</c:v>
                </c:pt>
                <c:pt idx="386">
                  <c:v>2.9831643364374501E-5</c:v>
                </c:pt>
                <c:pt idx="387">
                  <c:v>-4.2657889064867898E-5</c:v>
                </c:pt>
                <c:pt idx="388">
                  <c:v>8.6154718474827893E-6</c:v>
                </c:pt>
                <c:pt idx="389">
                  <c:v>-4.9316048930935401E-5</c:v>
                </c:pt>
                <c:pt idx="390">
                  <c:v>-3.1630804122060097E-5</c:v>
                </c:pt>
                <c:pt idx="391">
                  <c:v>4.8712654096960898E-5</c:v>
                </c:pt>
                <c:pt idx="392">
                  <c:v>-1.05868765821935E-4</c:v>
                </c:pt>
                <c:pt idx="393">
                  <c:v>-5.1842255000754198E-5</c:v>
                </c:pt>
                <c:pt idx="394">
                  <c:v>-3.0237573376116001E-5</c:v>
                </c:pt>
                <c:pt idx="395">
                  <c:v>-2.3200278271271899E-5</c:v>
                </c:pt>
                <c:pt idx="396">
                  <c:v>-7.6133044914141495E-5</c:v>
                </c:pt>
                <c:pt idx="397">
                  <c:v>6.7148146664535702E-5</c:v>
                </c:pt>
                <c:pt idx="398">
                  <c:v>2.14674882171457E-5</c:v>
                </c:pt>
                <c:pt idx="399">
                  <c:v>6.4657566873515001E-6</c:v>
                </c:pt>
                <c:pt idx="400">
                  <c:v>-4.0931566446500299E-6</c:v>
                </c:pt>
                <c:pt idx="401">
                  <c:v>1.4167149608592E-5</c:v>
                </c:pt>
                <c:pt idx="402">
                  <c:v>8.3412040442013799E-5</c:v>
                </c:pt>
                <c:pt idx="403">
                  <c:v>-9.4784781932927193E-6</c:v>
                </c:pt>
                <c:pt idx="404">
                  <c:v>4.02523826361109E-5</c:v>
                </c:pt>
                <c:pt idx="405">
                  <c:v>1.2159060078465399E-5</c:v>
                </c:pt>
                <c:pt idx="406">
                  <c:v>-2.6695373162450201E-5</c:v>
                </c:pt>
                <c:pt idx="407">
                  <c:v>-5.7177768440130502E-5</c:v>
                </c:pt>
                <c:pt idx="408">
                  <c:v>-5.5576151369920702E-6</c:v>
                </c:pt>
                <c:pt idx="409">
                  <c:v>-2.3058582636914099E-5</c:v>
                </c:pt>
                <c:pt idx="410">
                  <c:v>4.3348096588094001E-5</c:v>
                </c:pt>
                <c:pt idx="411">
                  <c:v>3.57153275820084E-5</c:v>
                </c:pt>
                <c:pt idx="412">
                  <c:v>-7.1010992543181595E-5</c:v>
                </c:pt>
                <c:pt idx="413">
                  <c:v>-7.0680528464308102E-5</c:v>
                </c:pt>
                <c:pt idx="414">
                  <c:v>-3.3944940745549398E-5</c:v>
                </c:pt>
                <c:pt idx="415">
                  <c:v>-2.3483668932628899E-5</c:v>
                </c:pt>
                <c:pt idx="416">
                  <c:v>-1.2336359013132699E-5</c:v>
                </c:pt>
                <c:pt idx="417">
                  <c:v>4.1788411834654297E-5</c:v>
                </c:pt>
                <c:pt idx="418">
                  <c:v>-3.7439656957867703E-5</c:v>
                </c:pt>
                <c:pt idx="419">
                  <c:v>3.8220134401888798E-5</c:v>
                </c:pt>
                <c:pt idx="420">
                  <c:v>-2.78288909973043E-5</c:v>
                </c:pt>
                <c:pt idx="421">
                  <c:v>-7.3135378177791393E-5</c:v>
                </c:pt>
                <c:pt idx="422">
                  <c:v>-5.1488117841868898E-5</c:v>
                </c:pt>
                <c:pt idx="423">
                  <c:v>3.1485655872475201E-5</c:v>
                </c:pt>
                <c:pt idx="424">
                  <c:v>-5.8646762719875904E-6</c:v>
                </c:pt>
                <c:pt idx="425">
                  <c:v>-2.9741672963243699E-5</c:v>
                </c:pt>
                <c:pt idx="426">
                  <c:v>-4.8041116757065499E-5</c:v>
                </c:pt>
                <c:pt idx="427">
                  <c:v>2.71380248826219E-5</c:v>
                </c:pt>
                <c:pt idx="428">
                  <c:v>-1.5194157478591E-5</c:v>
                </c:pt>
                <c:pt idx="429">
                  <c:v>2.69017460492567E-5</c:v>
                </c:pt>
                <c:pt idx="430">
                  <c:v>-9.9882645525278598E-7</c:v>
                </c:pt>
                <c:pt idx="431">
                  <c:v>-2.5561842370594199E-5</c:v>
                </c:pt>
                <c:pt idx="432">
                  <c:v>1.23870582863633E-4</c:v>
                </c:pt>
                <c:pt idx="433">
                  <c:v>4.2615514331667701E-5</c:v>
                </c:pt>
                <c:pt idx="434">
                  <c:v>6.18771368933542E-5</c:v>
                </c:pt>
                <c:pt idx="435">
                  <c:v>-4.2445387238853801E-5</c:v>
                </c:pt>
                <c:pt idx="436">
                  <c:v>-9.3131437249958605E-6</c:v>
                </c:pt>
                <c:pt idx="437">
                  <c:v>8.1757161975448106E-5</c:v>
                </c:pt>
                <c:pt idx="438">
                  <c:v>3.0138815030499699E-5</c:v>
                </c:pt>
                <c:pt idx="439">
                  <c:v>4.5900360899273598E-5</c:v>
                </c:pt>
                <c:pt idx="440">
                  <c:v>-3.4790224540986302E-6</c:v>
                </c:pt>
                <c:pt idx="441">
                  <c:v>4.2095620528532003E-5</c:v>
                </c:pt>
                <c:pt idx="442">
                  <c:v>-1.2785109677179301E-5</c:v>
                </c:pt>
                <c:pt idx="443">
                  <c:v>1.80416960692697E-5</c:v>
                </c:pt>
                <c:pt idx="444">
                  <c:v>-7.3999676864593199E-6</c:v>
                </c:pt>
                <c:pt idx="445">
                  <c:v>-3.1465506582435801E-5</c:v>
                </c:pt>
                <c:pt idx="446">
                  <c:v>1.68131649509811E-5</c:v>
                </c:pt>
                <c:pt idx="447">
                  <c:v>-2.0578876261178599E-5</c:v>
                </c:pt>
                <c:pt idx="448">
                  <c:v>-7.9668385085225592E-6</c:v>
                </c:pt>
                <c:pt idx="449">
                  <c:v>1.25134258648633E-5</c:v>
                </c:pt>
                <c:pt idx="450">
                  <c:v>2.8650222744137102E-5</c:v>
                </c:pt>
                <c:pt idx="451">
                  <c:v>-2.2090323716633601E-5</c:v>
                </c:pt>
                <c:pt idx="452">
                  <c:v>1.12710519648989E-6</c:v>
                </c:pt>
                <c:pt idx="453">
                  <c:v>6.4240783771694296E-5</c:v>
                </c:pt>
                <c:pt idx="454">
                  <c:v>-5.32351822206161E-5</c:v>
                </c:pt>
                <c:pt idx="455">
                  <c:v>1.534839773559E-5</c:v>
                </c:pt>
                <c:pt idx="456">
                  <c:v>-8.3683700470639701E-6</c:v>
                </c:pt>
                <c:pt idx="457">
                  <c:v>-7.3054889010771402E-6</c:v>
                </c:pt>
                <c:pt idx="458">
                  <c:v>-5.8098469587739202E-5</c:v>
                </c:pt>
                <c:pt idx="459">
                  <c:v>-3.8148030366236199E-5</c:v>
                </c:pt>
                <c:pt idx="460">
                  <c:v>-3.5054762618488799E-5</c:v>
                </c:pt>
                <c:pt idx="461">
                  <c:v>-4.4782882277810203E-5</c:v>
                </c:pt>
                <c:pt idx="462">
                  <c:v>-7.2332837843689106E-5</c:v>
                </c:pt>
                <c:pt idx="463">
                  <c:v>-7.08929697843271E-5</c:v>
                </c:pt>
                <c:pt idx="464">
                  <c:v>-6.78007234389342E-5</c:v>
                </c:pt>
                <c:pt idx="465">
                  <c:v>-4.1524540730217998E-5</c:v>
                </c:pt>
                <c:pt idx="466">
                  <c:v>1.14150514659001E-4</c:v>
                </c:pt>
                <c:pt idx="467">
                  <c:v>-1.0376003354526099E-5</c:v>
                </c:pt>
                <c:pt idx="468">
                  <c:v>3.15859357508544E-6</c:v>
                </c:pt>
                <c:pt idx="469">
                  <c:v>-3.8903623090788197E-5</c:v>
                </c:pt>
                <c:pt idx="470">
                  <c:v>-2.22084045789382E-5</c:v>
                </c:pt>
                <c:pt idx="471">
                  <c:v>-6.9571105286132096E-5</c:v>
                </c:pt>
                <c:pt idx="472">
                  <c:v>2.1940020557732799E-5</c:v>
                </c:pt>
                <c:pt idx="473">
                  <c:v>-3.2410060240444601E-5</c:v>
                </c:pt>
                <c:pt idx="474">
                  <c:v>1.3576530820598301E-5</c:v>
                </c:pt>
                <c:pt idx="475">
                  <c:v>2.4680752526060001E-5</c:v>
                </c:pt>
                <c:pt idx="476">
                  <c:v>-6.2347748711193105E-5</c:v>
                </c:pt>
                <c:pt idx="477">
                  <c:v>-1.71780352573633E-5</c:v>
                </c:pt>
                <c:pt idx="478">
                  <c:v>-5.1865864099712301E-5</c:v>
                </c:pt>
                <c:pt idx="479">
                  <c:v>7.3459544699292794E-5</c:v>
                </c:pt>
                <c:pt idx="480">
                  <c:v>6.7829360863375305E-7</c:v>
                </c:pt>
                <c:pt idx="481">
                  <c:v>6.3886233149941402E-5</c:v>
                </c:pt>
                <c:pt idx="482">
                  <c:v>-2.8088653676260601E-5</c:v>
                </c:pt>
                <c:pt idx="483">
                  <c:v>-5.5265515661051199E-5</c:v>
                </c:pt>
                <c:pt idx="484">
                  <c:v>1.30331646417874E-5</c:v>
                </c:pt>
                <c:pt idx="485">
                  <c:v>-1.2218266395642999E-5</c:v>
                </c:pt>
                <c:pt idx="486">
                  <c:v>4.2851830597471898E-5</c:v>
                </c:pt>
                <c:pt idx="487">
                  <c:v>-6.0300164893562797E-6</c:v>
                </c:pt>
                <c:pt idx="488">
                  <c:v>5.4263506834152403E-6</c:v>
                </c:pt>
                <c:pt idx="489">
                  <c:v>6.3003959126305401E-6</c:v>
                </c:pt>
                <c:pt idx="490">
                  <c:v>2.1609247682939801E-5</c:v>
                </c:pt>
                <c:pt idx="491">
                  <c:v>6.1569866935348602E-5</c:v>
                </c:pt>
                <c:pt idx="492">
                  <c:v>-2.8631791624332899E-5</c:v>
                </c:pt>
                <c:pt idx="493">
                  <c:v>5.8402678213862703E-5</c:v>
                </c:pt>
                <c:pt idx="494">
                  <c:v>9.4595014082088805E-5</c:v>
                </c:pt>
                <c:pt idx="495">
                  <c:v>7.9913187054503294E-5</c:v>
                </c:pt>
                <c:pt idx="496">
                  <c:v>1.9979026058052098E-5</c:v>
                </c:pt>
                <c:pt idx="497">
                  <c:v>-1.74614431288656E-5</c:v>
                </c:pt>
                <c:pt idx="498">
                  <c:v>-5.8499798181577199E-5</c:v>
                </c:pt>
                <c:pt idx="499">
                  <c:v>2.8154030279633E-5</c:v>
                </c:pt>
                <c:pt idx="500">
                  <c:v>1.1781071301807501E-5</c:v>
                </c:pt>
                <c:pt idx="501">
                  <c:v>-7.8941799997209105E-5</c:v>
                </c:pt>
                <c:pt idx="502">
                  <c:v>6.3240188635761504E-6</c:v>
                </c:pt>
                <c:pt idx="503">
                  <c:v>-1.97286769439236E-5</c:v>
                </c:pt>
                <c:pt idx="504">
                  <c:v>-1.36117503217378E-5</c:v>
                </c:pt>
                <c:pt idx="505">
                  <c:v>-7.8068498117805004E-5</c:v>
                </c:pt>
                <c:pt idx="506">
                  <c:v>-1.3021293421581301E-5</c:v>
                </c:pt>
                <c:pt idx="507">
                  <c:v>-1.5893549379249601E-6</c:v>
                </c:pt>
                <c:pt idx="508">
                  <c:v>5.5117417647223E-5</c:v>
                </c:pt>
                <c:pt idx="509">
                  <c:v>3.7416698909236802E-5</c:v>
                </c:pt>
                <c:pt idx="510">
                  <c:v>2.7468816194929001E-5</c:v>
                </c:pt>
                <c:pt idx="511">
                  <c:v>3.0091557789197399E-5</c:v>
                </c:pt>
                <c:pt idx="512">
                  <c:v>3.1485655872475201E-5</c:v>
                </c:pt>
                <c:pt idx="513">
                  <c:v>-3.7604944539125897E-5</c:v>
                </c:pt>
                <c:pt idx="514">
                  <c:v>1.91521122878158E-5</c:v>
                </c:pt>
                <c:pt idx="515">
                  <c:v>2.9264559710593001E-5</c:v>
                </c:pt>
                <c:pt idx="516">
                  <c:v>-2.2444565881720101E-5</c:v>
                </c:pt>
                <c:pt idx="517">
                  <c:v>5.3179401282339599E-5</c:v>
                </c:pt>
                <c:pt idx="518">
                  <c:v>-5.0331260974789301E-5</c:v>
                </c:pt>
                <c:pt idx="519">
                  <c:v>-1.01398133101262E-5</c:v>
                </c:pt>
                <c:pt idx="520">
                  <c:v>-3.2008626035132801E-5</c:v>
                </c:pt>
                <c:pt idx="521">
                  <c:v>-5.2977934340703503E-6</c:v>
                </c:pt>
                <c:pt idx="522">
                  <c:v>2.3924680970805301E-5</c:v>
                </c:pt>
                <c:pt idx="523">
                  <c:v>-4.5891853299982204E-6</c:v>
                </c:pt>
                <c:pt idx="524">
                  <c:v>-3.0119502074179501E-5</c:v>
                </c:pt>
                <c:pt idx="525">
                  <c:v>1.6364282376518399E-5</c:v>
                </c:pt>
                <c:pt idx="526">
                  <c:v>9.1379484527632094E-5</c:v>
                </c:pt>
                <c:pt idx="527">
                  <c:v>7.2466713902782695E-5</c:v>
                </c:pt>
                <c:pt idx="528">
                  <c:v>-6.7021745411024702E-5</c:v>
                </c:pt>
                <c:pt idx="529">
                  <c:v>3.14147690564619E-5</c:v>
                </c:pt>
                <c:pt idx="530">
                  <c:v>1.6624161514133701E-5</c:v>
                </c:pt>
                <c:pt idx="531">
                  <c:v>3.7605741969123297E-5</c:v>
                </c:pt>
                <c:pt idx="532">
                  <c:v>-6.3716922078836894E-5</c:v>
                </c:pt>
                <c:pt idx="533">
                  <c:v>7.9818625161821399E-5</c:v>
                </c:pt>
                <c:pt idx="534">
                  <c:v>-3.5668701297089897E-5</c:v>
                </c:pt>
                <c:pt idx="535">
                  <c:v>-4.6553675168121701E-5</c:v>
                </c:pt>
                <c:pt idx="536">
                  <c:v>-4.25162212314566E-5</c:v>
                </c:pt>
                <c:pt idx="537">
                  <c:v>3.8432809592117901E-5</c:v>
                </c:pt>
                <c:pt idx="538">
                  <c:v>1.1001473999329801E-5</c:v>
                </c:pt>
                <c:pt idx="539">
                  <c:v>-3.5857604741166702E-5</c:v>
                </c:pt>
                <c:pt idx="540">
                  <c:v>-5.4108702866341901E-5</c:v>
                </c:pt>
                <c:pt idx="541">
                  <c:v>-3.7038243113493699E-5</c:v>
                </c:pt>
                <c:pt idx="542">
                  <c:v>-2.91513120953972E-5</c:v>
                </c:pt>
                <c:pt idx="543">
                  <c:v>4.95634475789164E-5</c:v>
                </c:pt>
                <c:pt idx="544">
                  <c:v>8.4168565505569101E-5</c:v>
                </c:pt>
                <c:pt idx="545">
                  <c:v>6.8590041167399099E-5</c:v>
                </c:pt>
                <c:pt idx="546">
                  <c:v>-4.7238373274340498E-5</c:v>
                </c:pt>
                <c:pt idx="547">
                  <c:v>-7.86585677981479E-5</c:v>
                </c:pt>
                <c:pt idx="548">
                  <c:v>-4.69078299512936E-5</c:v>
                </c:pt>
                <c:pt idx="549">
                  <c:v>2.6389065406688598E-6</c:v>
                </c:pt>
                <c:pt idx="550">
                  <c:v>-1.6705687004994898E-5</c:v>
                </c:pt>
                <c:pt idx="551">
                  <c:v>-1.1344376655526699E-5</c:v>
                </c:pt>
                <c:pt idx="552">
                  <c:v>-6.6242761262640403E-5</c:v>
                </c:pt>
                <c:pt idx="553">
                  <c:v>2.6122029892308801E-5</c:v>
                </c:pt>
                <c:pt idx="554">
                  <c:v>-3.9824493939232699E-5</c:v>
                </c:pt>
                <c:pt idx="555">
                  <c:v>3.0162443659596501E-5</c:v>
                </c:pt>
                <c:pt idx="556">
                  <c:v>-3.7770231844864297E-5</c:v>
                </c:pt>
                <c:pt idx="557">
                  <c:v>-2.0696958923204201E-5</c:v>
                </c:pt>
                <c:pt idx="558">
                  <c:v>6.4618972498138602E-5</c:v>
                </c:pt>
                <c:pt idx="559">
                  <c:v>4.0323275767879601E-5</c:v>
                </c:pt>
                <c:pt idx="560">
                  <c:v>7.9156694436552003E-5</c:v>
                </c:pt>
                <c:pt idx="561">
                  <c:v>-2.2846038805743999E-5</c:v>
                </c:pt>
                <c:pt idx="562">
                  <c:v>6.7019868437517199E-6</c:v>
                </c:pt>
                <c:pt idx="563">
                  <c:v>4.2733672394193403E-5</c:v>
                </c:pt>
                <c:pt idx="564">
                  <c:v>1.74983054286706E-5</c:v>
                </c:pt>
                <c:pt idx="565">
                  <c:v>1.1899192639761299E-5</c:v>
                </c:pt>
                <c:pt idx="566">
                  <c:v>-4.9245219795796899E-5</c:v>
                </c:pt>
                <c:pt idx="567">
                  <c:v>-3.0774711194892002E-6</c:v>
                </c:pt>
                <c:pt idx="568">
                  <c:v>1.5088521940601699E-5</c:v>
                </c:pt>
                <c:pt idx="569">
                  <c:v>6.2657134137779897E-5</c:v>
                </c:pt>
                <c:pt idx="570">
                  <c:v>-7.6125446244399003E-6</c:v>
                </c:pt>
                <c:pt idx="571">
                  <c:v>-6.4079359510952596E-6</c:v>
                </c:pt>
                <c:pt idx="572">
                  <c:v>-4.48773253636347E-5</c:v>
                </c:pt>
                <c:pt idx="573">
                  <c:v>-3.5735048847897601E-6</c:v>
                </c:pt>
                <c:pt idx="574">
                  <c:v>-3.7935518875082998E-5</c:v>
                </c:pt>
                <c:pt idx="575">
                  <c:v>3.7121316607829602E-7</c:v>
                </c:pt>
                <c:pt idx="576">
                  <c:v>-9.6201932324315995E-6</c:v>
                </c:pt>
                <c:pt idx="577">
                  <c:v>4.9043517361780903E-5</c:v>
                </c:pt>
                <c:pt idx="578">
                  <c:v>7.4263272144700496E-5</c:v>
                </c:pt>
                <c:pt idx="579">
                  <c:v>3.1113491866938899E-6</c:v>
                </c:pt>
                <c:pt idx="580">
                  <c:v>7.0859294629721194E-5</c:v>
                </c:pt>
                <c:pt idx="581">
                  <c:v>-5.4533656073562503E-5</c:v>
                </c:pt>
                <c:pt idx="582">
                  <c:v>2.5791243071345801E-5</c:v>
                </c:pt>
                <c:pt idx="583">
                  <c:v>-1.51469218096564E-5</c:v>
                </c:pt>
                <c:pt idx="584">
                  <c:v>5.3770255918381703E-5</c:v>
                </c:pt>
                <c:pt idx="585">
                  <c:v>8.9934485601749692E-6</c:v>
                </c:pt>
                <c:pt idx="586">
                  <c:v>-5.9821810295608499E-5</c:v>
                </c:pt>
                <c:pt idx="587">
                  <c:v>-1.9752293690051499E-5</c:v>
                </c:pt>
                <c:pt idx="588">
                  <c:v>-1.54211278869855E-6</c:v>
                </c:pt>
                <c:pt idx="589">
                  <c:v>-3.5498842855569599E-6</c:v>
                </c:pt>
                <c:pt idx="590">
                  <c:v>4.47660130985578E-5</c:v>
                </c:pt>
                <c:pt idx="591">
                  <c:v>8.3556136930602407E-6</c:v>
                </c:pt>
                <c:pt idx="592">
                  <c:v>2.0120783396571501E-5</c:v>
                </c:pt>
                <c:pt idx="593">
                  <c:v>3.3045178641469001E-5</c:v>
                </c:pt>
                <c:pt idx="594">
                  <c:v>-2.37670587841137E-5</c:v>
                </c:pt>
                <c:pt idx="595">
                  <c:v>-6.31739762815413E-5</c:v>
                </c:pt>
                <c:pt idx="596">
                  <c:v>-5.1393681052527898E-5</c:v>
                </c:pt>
                <c:pt idx="597">
                  <c:v>-6.0506416784045901E-5</c:v>
                </c:pt>
                <c:pt idx="598">
                  <c:v>-5.0661792885531701E-5</c:v>
                </c:pt>
                <c:pt idx="599">
                  <c:v>1.5230272289825E-5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2576"/>
        <c:axId val="53273152"/>
      </c:scatterChart>
      <c:valAx>
        <c:axId val="5327257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64772646657"/>
              <c:y val="0.87710379134545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73152"/>
        <c:crossesAt val="0"/>
        <c:crossBetween val="midCat"/>
      </c:valAx>
      <c:valAx>
        <c:axId val="532731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173Yb++ (V)</a:t>
                </a:r>
              </a:p>
            </c:rich>
          </c:tx>
          <c:layout>
            <c:manualLayout>
              <c:xMode val="edge"/>
              <c:yMode val="edge"/>
              <c:x val="5.1448487857936702E-2"/>
              <c:y val="0.34220362507042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7257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22E-2"/>
          <c:w val="0.79082485560848115"/>
          <c:h val="0.75160600500158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6.9827852306326136E-5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6.9827852306326136E-5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0.70867726121974939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REE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7.7350333328466496E-5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7.7350333328466496E-5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0.70859120060368896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4880"/>
        <c:axId val="53275456"/>
      </c:scatterChart>
      <c:valAx>
        <c:axId val="53274880"/>
        <c:scaling>
          <c:orientation val="minMax"/>
          <c:max val="3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53275456"/>
        <c:crosses val="autoZero"/>
        <c:crossBetween val="midCat"/>
        <c:majorUnit val="1"/>
      </c:valAx>
      <c:valAx>
        <c:axId val="53275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5885169264E-2"/>
              <c:y val="0.2804849937236108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7488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24934383202109"/>
          <c:y val="6.0229454321042729E-2"/>
          <c:w val="0.7016007284803685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Data!$AZ$67:$AZ$1633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0.70904071878641883</c:v>
                </c:pt>
                <c:pt idx="109">
                  <c:v>0.70912409574015434</c:v>
                </c:pt>
                <c:pt idx="110">
                  <c:v>#N/A</c:v>
                </c:pt>
                <c:pt idx="111">
                  <c:v>0.70900555075473359</c:v>
                </c:pt>
                <c:pt idx="112">
                  <c:v>0.70883138060184281</c:v>
                </c:pt>
                <c:pt idx="113">
                  <c:v>0.70927715410801384</c:v>
                </c:pt>
                <c:pt idx="114">
                  <c:v>0.70908660572913118</c:v>
                </c:pt>
                <c:pt idx="115">
                  <c:v>0.70879104479138044</c:v>
                </c:pt>
                <c:pt idx="116">
                  <c:v>0.70870835855375147</c:v>
                </c:pt>
                <c:pt idx="117">
                  <c:v>0.70873145836284057</c:v>
                </c:pt>
                <c:pt idx="118">
                  <c:v>0.7091960582844169</c:v>
                </c:pt>
                <c:pt idx="119">
                  <c:v>0.70913050778334619</c:v>
                </c:pt>
                <c:pt idx="120">
                  <c:v>0.70917748588510121</c:v>
                </c:pt>
                <c:pt idx="121">
                  <c:v>0.70910659805648346</c:v>
                </c:pt>
                <c:pt idx="122">
                  <c:v>0.70930076316890556</c:v>
                </c:pt>
                <c:pt idx="123">
                  <c:v>0.70877094802367291</c:v>
                </c:pt>
                <c:pt idx="124">
                  <c:v>0.70853853973348668</c:v>
                </c:pt>
                <c:pt idx="125">
                  <c:v>0.70910013080340017</c:v>
                </c:pt>
                <c:pt idx="126">
                  <c:v>0.70941234106779216</c:v>
                </c:pt>
                <c:pt idx="127">
                  <c:v>0.70830968554041773</c:v>
                </c:pt>
                <c:pt idx="128">
                  <c:v>0.70892007316399364</c:v>
                </c:pt>
                <c:pt idx="129">
                  <c:v>0.70911517123119494</c:v>
                </c:pt>
                <c:pt idx="130">
                  <c:v>0.70874902998614997</c:v>
                </c:pt>
                <c:pt idx="131">
                  <c:v>0.70908186671673157</c:v>
                </c:pt>
                <c:pt idx="132">
                  <c:v>0.709201266642981</c:v>
                </c:pt>
                <c:pt idx="133">
                  <c:v>0.708495295015239</c:v>
                </c:pt>
                <c:pt idx="134">
                  <c:v>0.70843042277500501</c:v>
                </c:pt>
                <c:pt idx="135">
                  <c:v>0.70871893013963438</c:v>
                </c:pt>
                <c:pt idx="136">
                  <c:v>0.70876963307497354</c:v>
                </c:pt>
                <c:pt idx="137">
                  <c:v>0.70891474350871808</c:v>
                </c:pt>
                <c:pt idx="138">
                  <c:v>0.70925958102441289</c:v>
                </c:pt>
                <c:pt idx="139">
                  <c:v>0.70882474500031878</c:v>
                </c:pt>
                <c:pt idx="140">
                  <c:v>0.70912887934814905</c:v>
                </c:pt>
                <c:pt idx="141">
                  <c:v>0.70924176602794708</c:v>
                </c:pt>
                <c:pt idx="142">
                  <c:v>0.70915257700025103</c:v>
                </c:pt>
                <c:pt idx="143">
                  <c:v>0.70836066515811991</c:v>
                </c:pt>
                <c:pt idx="144">
                  <c:v>0.70856636647962046</c:v>
                </c:pt>
                <c:pt idx="145">
                  <c:v>0.70905570955014796</c:v>
                </c:pt>
                <c:pt idx="146">
                  <c:v>0.70835943350454733</c:v>
                </c:pt>
                <c:pt idx="147">
                  <c:v>0.70887508464826221</c:v>
                </c:pt>
                <c:pt idx="148">
                  <c:v>0.70871108569043628</c:v>
                </c:pt>
                <c:pt idx="149">
                  <c:v>0.70869629737201856</c:v>
                </c:pt>
                <c:pt idx="150">
                  <c:v>0.70893784495135204</c:v>
                </c:pt>
                <c:pt idx="151">
                  <c:v>0.70860498015447959</c:v>
                </c:pt>
                <c:pt idx="152">
                  <c:v>0.70922519272371853</c:v>
                </c:pt>
                <c:pt idx="153">
                  <c:v>0.7089952612326279</c:v>
                </c:pt>
                <c:pt idx="154">
                  <c:v>0.70928329876130836</c:v>
                </c:pt>
                <c:pt idx="155">
                  <c:v>0.7085119584700269</c:v>
                </c:pt>
                <c:pt idx="156">
                  <c:v>0.70843856224270274</c:v>
                </c:pt>
                <c:pt idx="157">
                  <c:v>0.7080525650557955</c:v>
                </c:pt>
                <c:pt idx="158">
                  <c:v>0.70861316888661707</c:v>
                </c:pt>
                <c:pt idx="159">
                  <c:v>0.70897065668356252</c:v>
                </c:pt>
                <c:pt idx="160">
                  <c:v>0.7086363831297251</c:v>
                </c:pt>
                <c:pt idx="161">
                  <c:v>0.70852547109636843</c:v>
                </c:pt>
                <c:pt idx="162">
                  <c:v>0.70880373226397397</c:v>
                </c:pt>
                <c:pt idx="163">
                  <c:v>0.70888065469404593</c:v>
                </c:pt>
                <c:pt idx="164">
                  <c:v>0.70874085540845944</c:v>
                </c:pt>
                <c:pt idx="165">
                  <c:v>0.70868073301932744</c:v>
                </c:pt>
                <c:pt idx="166">
                  <c:v>0.70920545361037435</c:v>
                </c:pt>
                <c:pt idx="167">
                  <c:v>0.70818053821303817</c:v>
                </c:pt>
                <c:pt idx="168">
                  <c:v>0.70855140143527739</c:v>
                </c:pt>
                <c:pt idx="169">
                  <c:v>0.70844448215026146</c:v>
                </c:pt>
                <c:pt idx="170">
                  <c:v>0.70891100681726815</c:v>
                </c:pt>
                <c:pt idx="171">
                  <c:v>0.70897086316544677</c:v>
                </c:pt>
                <c:pt idx="172">
                  <c:v>0.7084116351330314</c:v>
                </c:pt>
                <c:pt idx="173">
                  <c:v>0.70866936763485622</c:v>
                </c:pt>
                <c:pt idx="174">
                  <c:v>#N/A</c:v>
                </c:pt>
                <c:pt idx="175">
                  <c:v>0.70905162140893674</c:v>
                </c:pt>
                <c:pt idx="176">
                  <c:v>0.70800819345334898</c:v>
                </c:pt>
                <c:pt idx="177">
                  <c:v>0.70926998365550131</c:v>
                </c:pt>
                <c:pt idx="178">
                  <c:v>0.70892686677626648</c:v>
                </c:pt>
                <c:pt idx="179">
                  <c:v>0.70855562392404203</c:v>
                </c:pt>
                <c:pt idx="180">
                  <c:v>0.70878485559789539</c:v>
                </c:pt>
                <c:pt idx="181">
                  <c:v>0.70869466471007936</c:v>
                </c:pt>
                <c:pt idx="182">
                  <c:v>0.70860642098269888</c:v>
                </c:pt>
                <c:pt idx="183">
                  <c:v>0.70838123304870559</c:v>
                </c:pt>
                <c:pt idx="184">
                  <c:v>0.70838747957477888</c:v>
                </c:pt>
                <c:pt idx="185">
                  <c:v>0.70908245498347566</c:v>
                </c:pt>
                <c:pt idx="186">
                  <c:v>0.7083320316956313</c:v>
                </c:pt>
                <c:pt idx="187">
                  <c:v>0.7086451415217313</c:v>
                </c:pt>
                <c:pt idx="188">
                  <c:v>0.7090129517081899</c:v>
                </c:pt>
                <c:pt idx="189">
                  <c:v>0.70821995637841262</c:v>
                </c:pt>
                <c:pt idx="190">
                  <c:v>0.70858865359240519</c:v>
                </c:pt>
                <c:pt idx="191">
                  <c:v>0.70844992140774332</c:v>
                </c:pt>
                <c:pt idx="192">
                  <c:v>0.70881047423588184</c:v>
                </c:pt>
                <c:pt idx="193">
                  <c:v>0.70855765355547262</c:v>
                </c:pt>
                <c:pt idx="194">
                  <c:v>0.70858142120422352</c:v>
                </c:pt>
                <c:pt idx="195">
                  <c:v>0.70932972962005403</c:v>
                </c:pt>
                <c:pt idx="196">
                  <c:v>0.70808459959010772</c:v>
                </c:pt>
                <c:pt idx="197">
                  <c:v>0.70818230672481175</c:v>
                </c:pt>
                <c:pt idx="198">
                  <c:v>0.70861335498421318</c:v>
                </c:pt>
                <c:pt idx="199">
                  <c:v>0.70857564406000617</c:v>
                </c:pt>
                <c:pt idx="200">
                  <c:v>0.7085616259160995</c:v>
                </c:pt>
                <c:pt idx="201">
                  <c:v>0.70922876206341312</c:v>
                </c:pt>
                <c:pt idx="202">
                  <c:v>0.70883387191738823</c:v>
                </c:pt>
                <c:pt idx="203">
                  <c:v>0.70875615161648986</c:v>
                </c:pt>
                <c:pt idx="204">
                  <c:v>0.70851777772754831</c:v>
                </c:pt>
                <c:pt idx="205">
                  <c:v>0.70848874359436964</c:v>
                </c:pt>
                <c:pt idx="206">
                  <c:v>0.7091718371949397</c:v>
                </c:pt>
                <c:pt idx="207">
                  <c:v>0.70845788201415583</c:v>
                </c:pt>
                <c:pt idx="208">
                  <c:v>0.70881722546496007</c:v>
                </c:pt>
                <c:pt idx="209">
                  <c:v>0.7086353668319153</c:v>
                </c:pt>
                <c:pt idx="210">
                  <c:v>0.70893408905617217</c:v>
                </c:pt>
                <c:pt idx="211">
                  <c:v>0.708179833693796</c:v>
                </c:pt>
                <c:pt idx="212">
                  <c:v>0.70917757234747769</c:v>
                </c:pt>
                <c:pt idx="213">
                  <c:v>0.70835815327454743</c:v>
                </c:pt>
                <c:pt idx="214">
                  <c:v>0.70880015700552423</c:v>
                </c:pt>
                <c:pt idx="215">
                  <c:v>0.70929360369047856</c:v>
                </c:pt>
                <c:pt idx="216">
                  <c:v>0.70836661806248358</c:v>
                </c:pt>
                <c:pt idx="217">
                  <c:v>0.70875038188001804</c:v>
                </c:pt>
                <c:pt idx="218">
                  <c:v>0.70894753258418841</c:v>
                </c:pt>
                <c:pt idx="219">
                  <c:v>0.70852670207202295</c:v>
                </c:pt>
                <c:pt idx="220">
                  <c:v>0.70932802303579923</c:v>
                </c:pt>
                <c:pt idx="221">
                  <c:v>0.70882153797345926</c:v>
                </c:pt>
                <c:pt idx="222">
                  <c:v>0.70847706627548035</c:v>
                </c:pt>
                <c:pt idx="223">
                  <c:v>0.70885041441202401</c:v>
                </c:pt>
                <c:pt idx="224">
                  <c:v>0.70844933890398087</c:v>
                </c:pt>
                <c:pt idx="225">
                  <c:v>0.70913573938275887</c:v>
                </c:pt>
                <c:pt idx="226">
                  <c:v>0.70917917501434002</c:v>
                </c:pt>
                <c:pt idx="227">
                  <c:v>0.70917342687688512</c:v>
                </c:pt>
                <c:pt idx="228">
                  <c:v>0.70842233578966285</c:v>
                </c:pt>
                <c:pt idx="229">
                  <c:v>0.7086703468912634</c:v>
                </c:pt>
                <c:pt idx="230">
                  <c:v>0.70861478585575832</c:v>
                </c:pt>
                <c:pt idx="231">
                  <c:v>0.70861368173617556</c:v>
                </c:pt>
                <c:pt idx="232">
                  <c:v>0.70889082458885977</c:v>
                </c:pt>
                <c:pt idx="233">
                  <c:v>0.70902620885698298</c:v>
                </c:pt>
                <c:pt idx="234">
                  <c:v>0.70849452594092632</c:v>
                </c:pt>
                <c:pt idx="235">
                  <c:v>0.70895253239274003</c:v>
                </c:pt>
                <c:pt idx="236">
                  <c:v>0.70862628265215255</c:v>
                </c:pt>
                <c:pt idx="237">
                  <c:v>0.70868447622146669</c:v>
                </c:pt>
                <c:pt idx="238">
                  <c:v>0.70882097646019149</c:v>
                </c:pt>
                <c:pt idx="239">
                  <c:v>0.70839087239148446</c:v>
                </c:pt>
                <c:pt idx="240">
                  <c:v>0.70842872874252572</c:v>
                </c:pt>
                <c:pt idx="241">
                  <c:v>0.70875285342647643</c:v>
                </c:pt>
                <c:pt idx="242">
                  <c:v>0.70927707915215643</c:v>
                </c:pt>
                <c:pt idx="243">
                  <c:v>0.70885667890586379</c:v>
                </c:pt>
                <c:pt idx="244">
                  <c:v>0.70858973757913235</c:v>
                </c:pt>
                <c:pt idx="245">
                  <c:v>0.70915538578336368</c:v>
                </c:pt>
                <c:pt idx="246">
                  <c:v>0.70884212035737826</c:v>
                </c:pt>
                <c:pt idx="247">
                  <c:v>0.70868467207935215</c:v>
                </c:pt>
                <c:pt idx="248">
                  <c:v>0.70839624145060376</c:v>
                </c:pt>
                <c:pt idx="249">
                  <c:v>0.70882482681661274</c:v>
                </c:pt>
                <c:pt idx="250">
                  <c:v>0.70949597308065238</c:v>
                </c:pt>
                <c:pt idx="251">
                  <c:v>0.7095112516465033</c:v>
                </c:pt>
                <c:pt idx="252">
                  <c:v>0.70840384377062082</c:v>
                </c:pt>
                <c:pt idx="253">
                  <c:v>0.70886459320917539</c:v>
                </c:pt>
                <c:pt idx="254">
                  <c:v>0.70872465281118424</c:v>
                </c:pt>
                <c:pt idx="255">
                  <c:v>0.70895319514281574</c:v>
                </c:pt>
                <c:pt idx="256">
                  <c:v>0.70854864912617166</c:v>
                </c:pt>
                <c:pt idx="257">
                  <c:v>0.70844776964449618</c:v>
                </c:pt>
                <c:pt idx="258">
                  <c:v>0.70926688250192038</c:v>
                </c:pt>
                <c:pt idx="259">
                  <c:v>0.70899177497273447</c:v>
                </c:pt>
                <c:pt idx="260">
                  <c:v>0.70867585566443514</c:v>
                </c:pt>
                <c:pt idx="261">
                  <c:v>0.70842209120491972</c:v>
                </c:pt>
                <c:pt idx="262">
                  <c:v>0.70899460034194728</c:v>
                </c:pt>
                <c:pt idx="263">
                  <c:v>0.70913382401036318</c:v>
                </c:pt>
                <c:pt idx="264">
                  <c:v>0.70881120533399999</c:v>
                </c:pt>
                <c:pt idx="265">
                  <c:v>0.70848350712422092</c:v>
                </c:pt>
                <c:pt idx="266">
                  <c:v>0.70880473299554791</c:v>
                </c:pt>
                <c:pt idx="267">
                  <c:v>0.70868007347755646</c:v>
                </c:pt>
                <c:pt idx="268">
                  <c:v>0.70842772257548925</c:v>
                </c:pt>
                <c:pt idx="269">
                  <c:v>0.70909342497082162</c:v>
                </c:pt>
                <c:pt idx="270">
                  <c:v>0.70863214591704238</c:v>
                </c:pt>
                <c:pt idx="271">
                  <c:v>0.70834620534884241</c:v>
                </c:pt>
                <c:pt idx="272">
                  <c:v>0.7089023924817287</c:v>
                </c:pt>
                <c:pt idx="273">
                  <c:v>0.70875894495717306</c:v>
                </c:pt>
                <c:pt idx="274">
                  <c:v>0.7092214826984562</c:v>
                </c:pt>
                <c:pt idx="275">
                  <c:v>0.70880825663185354</c:v>
                </c:pt>
                <c:pt idx="276">
                  <c:v>0.70878941371951132</c:v>
                </c:pt>
                <c:pt idx="277">
                  <c:v>0.70872000494104415</c:v>
                </c:pt>
                <c:pt idx="278">
                  <c:v>0.70869889964876231</c:v>
                </c:pt>
                <c:pt idx="279">
                  <c:v>0.70911300702785052</c:v>
                </c:pt>
                <c:pt idx="280">
                  <c:v>0.70906355470905591</c:v>
                </c:pt>
                <c:pt idx="281">
                  <c:v>#N/A</c:v>
                </c:pt>
                <c:pt idx="282">
                  <c:v>0.70863199090762596</c:v>
                </c:pt>
                <c:pt idx="283">
                  <c:v>0.70940305981502294</c:v>
                </c:pt>
                <c:pt idx="284">
                  <c:v>#N/A</c:v>
                </c:pt>
                <c:pt idx="285">
                  <c:v>0.7087923049978706</c:v>
                </c:pt>
                <c:pt idx="286">
                  <c:v>0.70877657612155476</c:v>
                </c:pt>
                <c:pt idx="287">
                  <c:v>0.70910903442529838</c:v>
                </c:pt>
                <c:pt idx="288">
                  <c:v>0.70889246482150459</c:v>
                </c:pt>
                <c:pt idx="289">
                  <c:v>0.70881789672143458</c:v>
                </c:pt>
                <c:pt idx="290">
                  <c:v>0.70850598379669916</c:v>
                </c:pt>
                <c:pt idx="291">
                  <c:v>0.70862095795729652</c:v>
                </c:pt>
                <c:pt idx="292">
                  <c:v>0.70813481831631919</c:v>
                </c:pt>
                <c:pt idx="293">
                  <c:v>0.70922479133371663</c:v>
                </c:pt>
                <c:pt idx="294">
                  <c:v>0.70808043710953661</c:v>
                </c:pt>
                <c:pt idx="295">
                  <c:v>0.70902255875468501</c:v>
                </c:pt>
                <c:pt idx="296">
                  <c:v>0.7088762760407612</c:v>
                </c:pt>
                <c:pt idx="297">
                  <c:v>0.7084220765181497</c:v>
                </c:pt>
                <c:pt idx="298">
                  <c:v>0.70867484165759564</c:v>
                </c:pt>
                <c:pt idx="299">
                  <c:v>0.70833632008601533</c:v>
                </c:pt>
                <c:pt idx="300">
                  <c:v>0.70836547068624534</c:v>
                </c:pt>
                <c:pt idx="301">
                  <c:v>0.70871034843789527</c:v>
                </c:pt>
                <c:pt idx="302">
                  <c:v>0.70803569177672165</c:v>
                </c:pt>
                <c:pt idx="303">
                  <c:v>0.70816065728852884</c:v>
                </c:pt>
                <c:pt idx="304">
                  <c:v>0.70908911587533641</c:v>
                </c:pt>
                <c:pt idx="305">
                  <c:v>0.70854360322582166</c:v>
                </c:pt>
                <c:pt idx="306">
                  <c:v>0.70915045616710504</c:v>
                </c:pt>
                <c:pt idx="307">
                  <c:v>0.70937803564551671</c:v>
                </c:pt>
                <c:pt idx="308">
                  <c:v>0.70875107780191948</c:v>
                </c:pt>
                <c:pt idx="309">
                  <c:v>0.70821458982840702</c:v>
                </c:pt>
                <c:pt idx="310">
                  <c:v>0.70855548368734145</c:v>
                </c:pt>
                <c:pt idx="311">
                  <c:v>0.70888084421540487</c:v>
                </c:pt>
                <c:pt idx="312">
                  <c:v>#N/A</c:v>
                </c:pt>
                <c:pt idx="313">
                  <c:v>0.7084199534435951</c:v>
                </c:pt>
                <c:pt idx="314">
                  <c:v>#N/A</c:v>
                </c:pt>
                <c:pt idx="315">
                  <c:v>#N/A</c:v>
                </c:pt>
                <c:pt idx="316">
                  <c:v>0.70836971555198602</c:v>
                </c:pt>
                <c:pt idx="317">
                  <c:v>0.70874349648119073</c:v>
                </c:pt>
                <c:pt idx="318">
                  <c:v>0.70847325692155216</c:v>
                </c:pt>
                <c:pt idx="319">
                  <c:v>0.70841219229572672</c:v>
                </c:pt>
                <c:pt idx="320">
                  <c:v>0.70845418495477164</c:v>
                </c:pt>
                <c:pt idx="321">
                  <c:v>0.70814474475629263</c:v>
                </c:pt>
                <c:pt idx="322">
                  <c:v>0.70881256414804572</c:v>
                </c:pt>
                <c:pt idx="323">
                  <c:v>0.70850161443089177</c:v>
                </c:pt>
                <c:pt idx="324">
                  <c:v>0.70881394692159494</c:v>
                </c:pt>
                <c:pt idx="325">
                  <c:v>0.70822255483822194</c:v>
                </c:pt>
                <c:pt idx="326">
                  <c:v>0.70888906622580017</c:v>
                </c:pt>
                <c:pt idx="327">
                  <c:v>0.70845277690885389</c:v>
                </c:pt>
                <c:pt idx="328">
                  <c:v>0.70861843475037967</c:v>
                </c:pt>
                <c:pt idx="329">
                  <c:v>0.70894508172163351</c:v>
                </c:pt>
                <c:pt idx="330">
                  <c:v>0.70867766957434064</c:v>
                </c:pt>
                <c:pt idx="331">
                  <c:v>0.70857920259752549</c:v>
                </c:pt>
                <c:pt idx="332">
                  <c:v>0.70849793532401517</c:v>
                </c:pt>
                <c:pt idx="333">
                  <c:v>0.7086526749510732</c:v>
                </c:pt>
                <c:pt idx="334">
                  <c:v>0.70905703014084809</c:v>
                </c:pt>
                <c:pt idx="335">
                  <c:v>0.70928078939595662</c:v>
                </c:pt>
                <c:pt idx="336">
                  <c:v>0.7085865532790907</c:v>
                </c:pt>
                <c:pt idx="337">
                  <c:v>0.70916792416020813</c:v>
                </c:pt>
                <c:pt idx="338">
                  <c:v>0.70919005712330929</c:v>
                </c:pt>
                <c:pt idx="339">
                  <c:v>0.70862099162600334</c:v>
                </c:pt>
                <c:pt idx="340">
                  <c:v>0.70827295351123787</c:v>
                </c:pt>
                <c:pt idx="341">
                  <c:v>0.70886929098066553</c:v>
                </c:pt>
                <c:pt idx="342">
                  <c:v>0.70823453427143446</c:v>
                </c:pt>
                <c:pt idx="343">
                  <c:v>0.708679665594943</c:v>
                </c:pt>
                <c:pt idx="344">
                  <c:v>0.70855430494599292</c:v>
                </c:pt>
                <c:pt idx="345">
                  <c:v>0.70871186418486343</c:v>
                </c:pt>
                <c:pt idx="346">
                  <c:v>0.70914279757817478</c:v>
                </c:pt>
                <c:pt idx="347">
                  <c:v>0.70903711557724214</c:v>
                </c:pt>
                <c:pt idx="348">
                  <c:v>0.70859443437426994</c:v>
                </c:pt>
                <c:pt idx="349">
                  <c:v>0.70880834333824028</c:v>
                </c:pt>
                <c:pt idx="350">
                  <c:v>0.70852253939101717</c:v>
                </c:pt>
                <c:pt idx="351">
                  <c:v>0.70833031984597339</c:v>
                </c:pt>
                <c:pt idx="352">
                  <c:v>0.70882350580450859</c:v>
                </c:pt>
                <c:pt idx="353">
                  <c:v>0.70816667660811639</c:v>
                </c:pt>
                <c:pt idx="354">
                  <c:v>0.70812780212662885</c:v>
                </c:pt>
                <c:pt idx="355">
                  <c:v>0.70878729435171017</c:v>
                </c:pt>
                <c:pt idx="356">
                  <c:v>0.70880407581877092</c:v>
                </c:pt>
                <c:pt idx="357">
                  <c:v>0.70900236055343713</c:v>
                </c:pt>
                <c:pt idx="358">
                  <c:v>0.70829614144814057</c:v>
                </c:pt>
                <c:pt idx="359">
                  <c:v>0.70835544739692857</c:v>
                </c:pt>
                <c:pt idx="360">
                  <c:v>0.70866854504609988</c:v>
                </c:pt>
                <c:pt idx="361">
                  <c:v>0.70840485652836627</c:v>
                </c:pt>
                <c:pt idx="362">
                  <c:v>0.70897376485824415</c:v>
                </c:pt>
                <c:pt idx="363">
                  <c:v>0.70893814040235459</c:v>
                </c:pt>
                <c:pt idx="364">
                  <c:v>0.70847488052095675</c:v>
                </c:pt>
                <c:pt idx="365">
                  <c:v>0.70906704422478584</c:v>
                </c:pt>
                <c:pt idx="366">
                  <c:v>#N/A</c:v>
                </c:pt>
                <c:pt idx="367">
                  <c:v>0.70871506427003317</c:v>
                </c:pt>
                <c:pt idx="368">
                  <c:v>#N/A</c:v>
                </c:pt>
                <c:pt idx="369">
                  <c:v>0.70868973792586187</c:v>
                </c:pt>
                <c:pt idx="370">
                  <c:v>0.70917865560617299</c:v>
                </c:pt>
                <c:pt idx="371">
                  <c:v>0.70859164845917322</c:v>
                </c:pt>
                <c:pt idx="372">
                  <c:v>0.70939091722233538</c:v>
                </c:pt>
                <c:pt idx="373">
                  <c:v>0.70909306750168755</c:v>
                </c:pt>
                <c:pt idx="374">
                  <c:v>#N/A</c:v>
                </c:pt>
                <c:pt idx="375">
                  <c:v>0.70862442191049602</c:v>
                </c:pt>
                <c:pt idx="376">
                  <c:v>0.708985335002425</c:v>
                </c:pt>
                <c:pt idx="377">
                  <c:v>0.70935091438376463</c:v>
                </c:pt>
                <c:pt idx="378">
                  <c:v>0.70802306883885568</c:v>
                </c:pt>
                <c:pt idx="379">
                  <c:v>0.70819980052284148</c:v>
                </c:pt>
                <c:pt idx="380">
                  <c:v>0.70892215527501479</c:v>
                </c:pt>
                <c:pt idx="381">
                  <c:v>0.70850013354909092</c:v>
                </c:pt>
                <c:pt idx="382">
                  <c:v>0.70836908953000233</c:v>
                </c:pt>
                <c:pt idx="383">
                  <c:v>0.70899545833825151</c:v>
                </c:pt>
                <c:pt idx="384">
                  <c:v>#N/A</c:v>
                </c:pt>
                <c:pt idx="385">
                  <c:v>0.7090455664042622</c:v>
                </c:pt>
                <c:pt idx="386">
                  <c:v>0.70889859942523448</c:v>
                </c:pt>
                <c:pt idx="387">
                  <c:v>0.7089544440439719</c:v>
                </c:pt>
                <c:pt idx="388">
                  <c:v>0.70927138309295379</c:v>
                </c:pt>
                <c:pt idx="389">
                  <c:v>0.70865043607704936</c:v>
                </c:pt>
                <c:pt idx="390">
                  <c:v>0.7083695467860438</c:v>
                </c:pt>
                <c:pt idx="391">
                  <c:v>0.70856569316648843</c:v>
                </c:pt>
                <c:pt idx="392">
                  <c:v>0.70874795767469823</c:v>
                </c:pt>
                <c:pt idx="393">
                  <c:v>0.70889226873627753</c:v>
                </c:pt>
                <c:pt idx="394">
                  <c:v>#N/A</c:v>
                </c:pt>
                <c:pt idx="395">
                  <c:v>0.70912167092138934</c:v>
                </c:pt>
                <c:pt idx="396">
                  <c:v>0.70900994812867901</c:v>
                </c:pt>
                <c:pt idx="397">
                  <c:v>0.70811694787641732</c:v>
                </c:pt>
                <c:pt idx="398">
                  <c:v>0.70848670999299113</c:v>
                </c:pt>
                <c:pt idx="399">
                  <c:v>0.70862880469186207</c:v>
                </c:pt>
                <c:pt idx="400">
                  <c:v>0.70842601397584848</c:v>
                </c:pt>
                <c:pt idx="401">
                  <c:v>0.7094267040412362</c:v>
                </c:pt>
                <c:pt idx="402">
                  <c:v>0.7087216412556262</c:v>
                </c:pt>
                <c:pt idx="403">
                  <c:v>0.70855762175839165</c:v>
                </c:pt>
                <c:pt idx="404">
                  <c:v>0.70806437440545322</c:v>
                </c:pt>
                <c:pt idx="405">
                  <c:v>0.70925533615405412</c:v>
                </c:pt>
                <c:pt idx="406">
                  <c:v>0.70891815231722821</c:v>
                </c:pt>
                <c:pt idx="407">
                  <c:v>0.70907960819142113</c:v>
                </c:pt>
                <c:pt idx="408">
                  <c:v>0.70945701869700162</c:v>
                </c:pt>
                <c:pt idx="409">
                  <c:v>0.70928198912399487</c:v>
                </c:pt>
                <c:pt idx="410">
                  <c:v>0.70876216152989446</c:v>
                </c:pt>
                <c:pt idx="411">
                  <c:v>0.70819257512743805</c:v>
                </c:pt>
                <c:pt idx="412">
                  <c:v>0.7083904871823633</c:v>
                </c:pt>
                <c:pt idx="413">
                  <c:v>0.70850790391426632</c:v>
                </c:pt>
                <c:pt idx="414">
                  <c:v>0.70821615213614253</c:v>
                </c:pt>
                <c:pt idx="415">
                  <c:v>0.70877159329834116</c:v>
                </c:pt>
                <c:pt idx="416">
                  <c:v>0.70887564199780961</c:v>
                </c:pt>
                <c:pt idx="417">
                  <c:v>0.70903566099683391</c:v>
                </c:pt>
                <c:pt idx="418">
                  <c:v>0.70808953428508647</c:v>
                </c:pt>
                <c:pt idx="419">
                  <c:v>0.70889988905582924</c:v>
                </c:pt>
                <c:pt idx="420">
                  <c:v>0.70913357729819892</c:v>
                </c:pt>
                <c:pt idx="421">
                  <c:v>0.70935678113965106</c:v>
                </c:pt>
                <c:pt idx="422">
                  <c:v>0.708803303936833</c:v>
                </c:pt>
                <c:pt idx="423">
                  <c:v>0.70900502743314031</c:v>
                </c:pt>
                <c:pt idx="424">
                  <c:v>0.70848007403630886</c:v>
                </c:pt>
                <c:pt idx="425">
                  <c:v>0.70872653023631005</c:v>
                </c:pt>
                <c:pt idx="426">
                  <c:v>0.70847997136667551</c:v>
                </c:pt>
                <c:pt idx="427">
                  <c:v>0.70848170787324261</c:v>
                </c:pt>
                <c:pt idx="428">
                  <c:v>0.70947388318032056</c:v>
                </c:pt>
                <c:pt idx="429">
                  <c:v>0.70894001459381317</c:v>
                </c:pt>
                <c:pt idx="430">
                  <c:v>0.70864771726916242</c:v>
                </c:pt>
                <c:pt idx="431">
                  <c:v>0.70913915368913039</c:v>
                </c:pt>
                <c:pt idx="432">
                  <c:v>0.70945117349441356</c:v>
                </c:pt>
                <c:pt idx="433">
                  <c:v>#N/A</c:v>
                </c:pt>
                <c:pt idx="434">
                  <c:v>0.70885582641444655</c:v>
                </c:pt>
                <c:pt idx="435">
                  <c:v>0.70912079091416469</c:v>
                </c:pt>
                <c:pt idx="436">
                  <c:v>#N/A</c:v>
                </c:pt>
                <c:pt idx="437">
                  <c:v>0.70884931502833382</c:v>
                </c:pt>
                <c:pt idx="438">
                  <c:v>0.70917433706451716</c:v>
                </c:pt>
                <c:pt idx="439">
                  <c:v>0.70905044290328589</c:v>
                </c:pt>
                <c:pt idx="440">
                  <c:v>0.70875444887569061</c:v>
                </c:pt>
                <c:pt idx="441">
                  <c:v>0.70915870110710211</c:v>
                </c:pt>
                <c:pt idx="442">
                  <c:v>0.7091279551706654</c:v>
                </c:pt>
                <c:pt idx="443">
                  <c:v>0.70794045318338172</c:v>
                </c:pt>
                <c:pt idx="444">
                  <c:v>0.70882320893939388</c:v>
                </c:pt>
                <c:pt idx="445">
                  <c:v>0.70844302064527909</c:v>
                </c:pt>
                <c:pt idx="446">
                  <c:v>0.70894880528200277</c:v>
                </c:pt>
                <c:pt idx="447">
                  <c:v>0.70822394747213935</c:v>
                </c:pt>
                <c:pt idx="448">
                  <c:v>0.7084153591793062</c:v>
                </c:pt>
                <c:pt idx="449">
                  <c:v>0.7090809790481053</c:v>
                </c:pt>
                <c:pt idx="450">
                  <c:v>0.70822149419224156</c:v>
                </c:pt>
                <c:pt idx="451">
                  <c:v>0.70909165245452577</c:v>
                </c:pt>
                <c:pt idx="452">
                  <c:v>0.70907190056002622</c:v>
                </c:pt>
                <c:pt idx="453">
                  <c:v>0.70929303496318052</c:v>
                </c:pt>
                <c:pt idx="454">
                  <c:v>0.70893932343305499</c:v>
                </c:pt>
                <c:pt idx="455">
                  <c:v>0.70894228993419617</c:v>
                </c:pt>
                <c:pt idx="456">
                  <c:v>0.70860323568843497</c:v>
                </c:pt>
                <c:pt idx="457">
                  <c:v>0.70887505772086346</c:v>
                </c:pt>
                <c:pt idx="458">
                  <c:v>0.70905493875805148</c:v>
                </c:pt>
                <c:pt idx="459">
                  <c:v>0.70844243069401469</c:v>
                </c:pt>
                <c:pt idx="460">
                  <c:v>0.70882119739779426</c:v>
                </c:pt>
                <c:pt idx="461">
                  <c:v>0.70905421896351151</c:v>
                </c:pt>
                <c:pt idx="462">
                  <c:v>0.70900206924063858</c:v>
                </c:pt>
                <c:pt idx="463">
                  <c:v>#N/A</c:v>
                </c:pt>
                <c:pt idx="464">
                  <c:v>0.70841196276817042</c:v>
                </c:pt>
                <c:pt idx="465">
                  <c:v>0.70882439282196574</c:v>
                </c:pt>
                <c:pt idx="466">
                  <c:v>0.70861563186769061</c:v>
                </c:pt>
                <c:pt idx="467">
                  <c:v>#N/A</c:v>
                </c:pt>
                <c:pt idx="468">
                  <c:v>0.70869337982724867</c:v>
                </c:pt>
                <c:pt idx="469">
                  <c:v>#N/A</c:v>
                </c:pt>
                <c:pt idx="470">
                  <c:v>0.70889460405634841</c:v>
                </c:pt>
                <c:pt idx="471">
                  <c:v>0.70910460073264359</c:v>
                </c:pt>
                <c:pt idx="472">
                  <c:v>0.70834289487083191</c:v>
                </c:pt>
                <c:pt idx="473">
                  <c:v>0.7082130706089097</c:v>
                </c:pt>
                <c:pt idx="474">
                  <c:v>0.70936636270595632</c:v>
                </c:pt>
                <c:pt idx="475">
                  <c:v>0.70899234650323872</c:v>
                </c:pt>
                <c:pt idx="476">
                  <c:v>0.70893667591090226</c:v>
                </c:pt>
                <c:pt idx="477">
                  <c:v>0.7093887659060728</c:v>
                </c:pt>
                <c:pt idx="478">
                  <c:v>0.70828530447048388</c:v>
                </c:pt>
                <c:pt idx="479">
                  <c:v>0.70859207242623679</c:v>
                </c:pt>
                <c:pt idx="480">
                  <c:v>0.70829811163270751</c:v>
                </c:pt>
                <c:pt idx="481">
                  <c:v>0.70875863570520015</c:v>
                </c:pt>
                <c:pt idx="482">
                  <c:v>0.70876295449270665</c:v>
                </c:pt>
                <c:pt idx="483">
                  <c:v>0.70928753046695125</c:v>
                </c:pt>
                <c:pt idx="484">
                  <c:v>0.70890622516319945</c:v>
                </c:pt>
                <c:pt idx="485">
                  <c:v>0.7086545316960543</c:v>
                </c:pt>
                <c:pt idx="486">
                  <c:v>0.70899486543583146</c:v>
                </c:pt>
                <c:pt idx="487">
                  <c:v>0.70867047770781066</c:v>
                </c:pt>
                <c:pt idx="488">
                  <c:v>0.70873013607235691</c:v>
                </c:pt>
                <c:pt idx="489">
                  <c:v>0.70855265278767887</c:v>
                </c:pt>
                <c:pt idx="490">
                  <c:v>0.70856324140041282</c:v>
                </c:pt>
                <c:pt idx="491">
                  <c:v>0.70820071519877692</c:v>
                </c:pt>
                <c:pt idx="492">
                  <c:v>0.7088477925762886</c:v>
                </c:pt>
                <c:pt idx="493">
                  <c:v>0.70897941749010329</c:v>
                </c:pt>
                <c:pt idx="494">
                  <c:v>0.70904488534735344</c:v>
                </c:pt>
                <c:pt idx="495">
                  <c:v>0.70808919788207647</c:v>
                </c:pt>
                <c:pt idx="496">
                  <c:v>0.70841918781289648</c:v>
                </c:pt>
                <c:pt idx="497">
                  <c:v>0.7089775584226744</c:v>
                </c:pt>
                <c:pt idx="498">
                  <c:v>0.70903262461169281</c:v>
                </c:pt>
                <c:pt idx="499">
                  <c:v>0.70884091416139927</c:v>
                </c:pt>
                <c:pt idx="500">
                  <c:v>0.70858484976630209</c:v>
                </c:pt>
                <c:pt idx="501">
                  <c:v>#N/A</c:v>
                </c:pt>
                <c:pt idx="502">
                  <c:v>0.70931692073311703</c:v>
                </c:pt>
                <c:pt idx="503">
                  <c:v>0.70857228156840923</c:v>
                </c:pt>
                <c:pt idx="504">
                  <c:v>0.70893488564170792</c:v>
                </c:pt>
                <c:pt idx="505">
                  <c:v>0.70859157365766845</c:v>
                </c:pt>
                <c:pt idx="506">
                  <c:v>0.70871781011027823</c:v>
                </c:pt>
                <c:pt idx="507">
                  <c:v>0.7083684322514423</c:v>
                </c:pt>
                <c:pt idx="508">
                  <c:v>0.70948156850827671</c:v>
                </c:pt>
                <c:pt idx="509">
                  <c:v>0.70858050788193683</c:v>
                </c:pt>
                <c:pt idx="510">
                  <c:v>0.70820897530726512</c:v>
                </c:pt>
                <c:pt idx="511">
                  <c:v>0.70843257538795301</c:v>
                </c:pt>
                <c:pt idx="512">
                  <c:v>0.70918491480737456</c:v>
                </c:pt>
                <c:pt idx="513">
                  <c:v>0.70826700318239921</c:v>
                </c:pt>
                <c:pt idx="514">
                  <c:v>0.7087579595771627</c:v>
                </c:pt>
                <c:pt idx="515">
                  <c:v>0.70931747692349612</c:v>
                </c:pt>
                <c:pt idx="516">
                  <c:v>0.70920491267378194</c:v>
                </c:pt>
                <c:pt idx="517">
                  <c:v>0.70882403781320868</c:v>
                </c:pt>
                <c:pt idx="518">
                  <c:v>#N/A</c:v>
                </c:pt>
                <c:pt idx="519">
                  <c:v>0.70925352355633864</c:v>
                </c:pt>
                <c:pt idx="520">
                  <c:v>0.70831789821357682</c:v>
                </c:pt>
                <c:pt idx="521">
                  <c:v>0.7095076713373667</c:v>
                </c:pt>
                <c:pt idx="522">
                  <c:v>0.70904265361340957</c:v>
                </c:pt>
                <c:pt idx="523">
                  <c:v>#N/A</c:v>
                </c:pt>
                <c:pt idx="524">
                  <c:v>0.70910913594414038</c:v>
                </c:pt>
                <c:pt idx="525">
                  <c:v>0.70871975035773527</c:v>
                </c:pt>
                <c:pt idx="526">
                  <c:v>0.70889354628102386</c:v>
                </c:pt>
                <c:pt idx="527">
                  <c:v>0.70945145282976529</c:v>
                </c:pt>
                <c:pt idx="528">
                  <c:v>0.7090103994031719</c:v>
                </c:pt>
                <c:pt idx="529">
                  <c:v>0.70910840638455586</c:v>
                </c:pt>
                <c:pt idx="530">
                  <c:v>0.70918786973605508</c:v>
                </c:pt>
                <c:pt idx="531">
                  <c:v>0.70846551655214851</c:v>
                </c:pt>
                <c:pt idx="532">
                  <c:v>0.70904206380304624</c:v>
                </c:pt>
                <c:pt idx="533">
                  <c:v>0.70911596219026307</c:v>
                </c:pt>
                <c:pt idx="534">
                  <c:v>0.70840424130032043</c:v>
                </c:pt>
                <c:pt idx="535">
                  <c:v>0.70867001238351235</c:v>
                </c:pt>
                <c:pt idx="536">
                  <c:v>0.70893798722966328</c:v>
                </c:pt>
                <c:pt idx="537">
                  <c:v>#N/A</c:v>
                </c:pt>
                <c:pt idx="538">
                  <c:v>0.70847851421044739</c:v>
                </c:pt>
                <c:pt idx="539">
                  <c:v>0.70892620496554826</c:v>
                </c:pt>
                <c:pt idx="540">
                  <c:v>0.7080255006894558</c:v>
                </c:pt>
                <c:pt idx="541">
                  <c:v>0.7085948809085848</c:v>
                </c:pt>
                <c:pt idx="542">
                  <c:v>0.70873410008488535</c:v>
                </c:pt>
                <c:pt idx="543">
                  <c:v>#N/A</c:v>
                </c:pt>
                <c:pt idx="544">
                  <c:v>0.70939536970168671</c:v>
                </c:pt>
                <c:pt idx="545">
                  <c:v>0.70943864466190598</c:v>
                </c:pt>
                <c:pt idx="546">
                  <c:v>0.70920897639964486</c:v>
                </c:pt>
                <c:pt idx="547">
                  <c:v>#N/A</c:v>
                </c:pt>
                <c:pt idx="548">
                  <c:v>0.70887820606158858</c:v>
                </c:pt>
                <c:pt idx="549">
                  <c:v>0.70916375236803264</c:v>
                </c:pt>
                <c:pt idx="550">
                  <c:v>0.70892513114747457</c:v>
                </c:pt>
                <c:pt idx="551">
                  <c:v>0.70902809508410536</c:v>
                </c:pt>
                <c:pt idx="552">
                  <c:v>0.70857690876144397</c:v>
                </c:pt>
                <c:pt idx="553">
                  <c:v>0.70898252602951661</c:v>
                </c:pt>
                <c:pt idx="554">
                  <c:v>0.70843753441369262</c:v>
                </c:pt>
                <c:pt idx="555">
                  <c:v>0.70908705783227133</c:v>
                </c:pt>
                <c:pt idx="556">
                  <c:v>0.70899086059065164</c:v>
                </c:pt>
                <c:pt idx="557">
                  <c:v>0.70880173467821939</c:v>
                </c:pt>
                <c:pt idx="558">
                  <c:v>0.70947509963855282</c:v>
                </c:pt>
                <c:pt idx="559">
                  <c:v>0.70929525914405578</c:v>
                </c:pt>
                <c:pt idx="560">
                  <c:v>0.70921169400381878</c:v>
                </c:pt>
                <c:pt idx="561">
                  <c:v>0.70868109371549548</c:v>
                </c:pt>
                <c:pt idx="562">
                  <c:v>0.70940702284608093</c:v>
                </c:pt>
                <c:pt idx="563">
                  <c:v>0.70830076918351481</c:v>
                </c:pt>
                <c:pt idx="564">
                  <c:v>0.70950035244607823</c:v>
                </c:pt>
                <c:pt idx="565">
                  <c:v>0.70936767233261444</c:v>
                </c:pt>
                <c:pt idx="566">
                  <c:v>0.70929403948930303</c:v>
                </c:pt>
                <c:pt idx="567">
                  <c:v>0.7089119712170312</c:v>
                </c:pt>
                <c:pt idx="568">
                  <c:v>0.70905778746757064</c:v>
                </c:pt>
                <c:pt idx="569">
                  <c:v>0.70950878498544256</c:v>
                </c:pt>
                <c:pt idx="570">
                  <c:v>0.70908873728282673</c:v>
                </c:pt>
                <c:pt idx="571">
                  <c:v>0.70877801058760437</c:v>
                </c:pt>
                <c:pt idx="572">
                  <c:v>#N/A</c:v>
                </c:pt>
                <c:pt idx="573">
                  <c:v>0.70849317781611343</c:v>
                </c:pt>
                <c:pt idx="574">
                  <c:v>0.70891970802833126</c:v>
                </c:pt>
                <c:pt idx="575">
                  <c:v>0.70930648252300854</c:v>
                </c:pt>
                <c:pt idx="576">
                  <c:v>0.70881415009782978</c:v>
                </c:pt>
                <c:pt idx="577">
                  <c:v>0.70903266192497161</c:v>
                </c:pt>
                <c:pt idx="578">
                  <c:v>0.7087570029569995</c:v>
                </c:pt>
                <c:pt idx="579">
                  <c:v>0.70893545599902297</c:v>
                </c:pt>
                <c:pt idx="580">
                  <c:v>0.70950073254015955</c:v>
                </c:pt>
                <c:pt idx="581">
                  <c:v>0.70942311159687943</c:v>
                </c:pt>
                <c:pt idx="582">
                  <c:v>#N/A</c:v>
                </c:pt>
                <c:pt idx="583">
                  <c:v>#N/A</c:v>
                </c:pt>
                <c:pt idx="584">
                  <c:v>0.70886148232954571</c:v>
                </c:pt>
                <c:pt idx="585">
                  <c:v>#N/A</c:v>
                </c:pt>
                <c:pt idx="586">
                  <c:v>0.7088570219944893</c:v>
                </c:pt>
                <c:pt idx="587">
                  <c:v>#N/A</c:v>
                </c:pt>
                <c:pt idx="588">
                  <c:v>0.70898459292322114</c:v>
                </c:pt>
                <c:pt idx="589">
                  <c:v>0.70892818069643682</c:v>
                </c:pt>
                <c:pt idx="590">
                  <c:v>0.70924401010893201</c:v>
                </c:pt>
                <c:pt idx="591">
                  <c:v>0.7094457865203263</c:v>
                </c:pt>
                <c:pt idx="592">
                  <c:v>#N/A</c:v>
                </c:pt>
                <c:pt idx="593">
                  <c:v>0.70884697070410574</c:v>
                </c:pt>
                <c:pt idx="594">
                  <c:v>#N/A</c:v>
                </c:pt>
                <c:pt idx="595">
                  <c:v>0.70917359493771248</c:v>
                </c:pt>
                <c:pt idx="596">
                  <c:v>0.70801731305002935</c:v>
                </c:pt>
                <c:pt idx="597">
                  <c:v>#N/A</c:v>
                </c:pt>
                <c:pt idx="598">
                  <c:v>#N/A</c:v>
                </c:pt>
                <c:pt idx="599">
                  <c:v>0.70794114422066146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7760"/>
        <c:axId val="53278336"/>
      </c:scatterChart>
      <c:valAx>
        <c:axId val="5327776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35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78336"/>
        <c:crossesAt val="0"/>
        <c:crossBetween val="midCat"/>
        <c:majorUnit val="100"/>
        <c:minorUnit val="25"/>
      </c:valAx>
      <c:valAx>
        <c:axId val="53278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Unc.†)</a:t>
                </a:r>
              </a:p>
            </c:rich>
          </c:tx>
          <c:layout>
            <c:manualLayout>
              <c:xMode val="edge"/>
              <c:yMode val="edge"/>
              <c:x val="3.5653971824950462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77760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8.6381464193774821E-2"/>
          <c:w val="0.71992214247555364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-3.5954413877589327E-5</c:v>
                </c:pt>
                <c:pt idx="1">
                  <c:v>-7.5769688478112837E-7</c:v>
                </c:pt>
                <c:pt idx="2">
                  <c:v>4.8850534362006278E-5</c:v>
                </c:pt>
                <c:pt idx="3">
                  <c:v>-6.0284300451591226E-5</c:v>
                </c:pt>
                <c:pt idx="4">
                  <c:v>-7.0677468185219137E-5</c:v>
                </c:pt>
                <c:pt idx="5">
                  <c:v>-9.4979377689596781E-6</c:v>
                </c:pt>
                <c:pt idx="6">
                  <c:v>-1.8238101659287868E-5</c:v>
                </c:pt>
                <c:pt idx="7">
                  <c:v>-5.4379043007912629E-5</c:v>
                </c:pt>
                <c:pt idx="8">
                  <c:v>2.3809879049852774E-5</c:v>
                </c:pt>
                <c:pt idx="9">
                  <c:v>2.7589560110332575E-5</c:v>
                </c:pt>
                <c:pt idx="10">
                  <c:v>-9.7604714494055523E-5</c:v>
                </c:pt>
                <c:pt idx="11">
                  <c:v>7.1529409061865082E-5</c:v>
                </c:pt>
                <c:pt idx="12">
                  <c:v>-2.4143574215196228E-5</c:v>
                </c:pt>
                <c:pt idx="13">
                  <c:v>-1.0894228377572574E-4</c:v>
                </c:pt>
                <c:pt idx="14">
                  <c:v>-4.5875410540592431E-5</c:v>
                </c:pt>
                <c:pt idx="15">
                  <c:v>8.9587086264207272E-7</c:v>
                </c:pt>
                <c:pt idx="16">
                  <c:v>9.4208802142274969E-5</c:v>
                </c:pt>
                <c:pt idx="17">
                  <c:v>1.0956493553360196E-4</c:v>
                </c:pt>
                <c:pt idx="18">
                  <c:v>-7.8708477774193126E-5</c:v>
                </c:pt>
                <c:pt idx="19">
                  <c:v>-4.7765112943167325E-5</c:v>
                </c:pt>
                <c:pt idx="20">
                  <c:v>2.121135667303377E-5</c:v>
                </c:pt>
                <c:pt idx="21">
                  <c:v>3.585766262794567E-5</c:v>
                </c:pt>
                <c:pt idx="22">
                  <c:v>-1.4458580776706447E-5</c:v>
                </c:pt>
                <c:pt idx="23">
                  <c:v>-2.201760814434777E-5</c:v>
                </c:pt>
                <c:pt idx="24">
                  <c:v>-6.2646393587610931E-5</c:v>
                </c:pt>
                <c:pt idx="25">
                  <c:v>-8.437738657964542E-5</c:v>
                </c:pt>
                <c:pt idx="26">
                  <c:v>-1.5167242038961087E-5</c:v>
                </c:pt>
                <c:pt idx="27">
                  <c:v>-5.2725564625225326E-5</c:v>
                </c:pt>
                <c:pt idx="28">
                  <c:v>-1.0442824063626757E-5</c:v>
                </c:pt>
                <c:pt idx="29">
                  <c:v>-5.8867041870650526E-5</c:v>
                </c:pt>
                <c:pt idx="30">
                  <c:v>-3.8316564938414229E-5</c:v>
                </c:pt>
                <c:pt idx="31">
                  <c:v>9.6571268733601962E-5</c:v>
                </c:pt>
                <c:pt idx="32">
                  <c:v>1.0344882287117671E-5</c:v>
                </c:pt>
                <c:pt idx="33">
                  <c:v>-7.1386089293164033E-5</c:v>
                </c:pt>
                <c:pt idx="34">
                  <c:v>-4.9025330364027718E-8</c:v>
                </c:pt>
                <c:pt idx="35">
                  <c:v>1.1972373900704896E-4</c:v>
                </c:pt>
                <c:pt idx="36">
                  <c:v>-4.9891023843707628E-5</c:v>
                </c:pt>
                <c:pt idx="37">
                  <c:v>2.5463487742175773E-5</c:v>
                </c:pt>
                <c:pt idx="38">
                  <c:v>-5.3197987301354725E-5</c:v>
                </c:pt>
                <c:pt idx="39">
                  <c:v>6.3024770302744671E-5</c:v>
                </c:pt>
                <c:pt idx="40">
                  <c:v>9.019262184650496E-5</c:v>
                </c:pt>
                <c:pt idx="41">
                  <c:v>3.8219990288109674E-5</c:v>
                </c:pt>
                <c:pt idx="42">
                  <c:v>1.8140384456270773E-5</c:v>
                </c:pt>
                <c:pt idx="43">
                  <c:v>-1.7765662336384367E-5</c:v>
                </c:pt>
                <c:pt idx="44">
                  <c:v>9.326381708071898E-5</c:v>
                </c:pt>
                <c:pt idx="45">
                  <c:v>1.8376612750913474E-5</c:v>
                </c:pt>
                <c:pt idx="46">
                  <c:v>-3.3828473114448126E-5</c:v>
                </c:pt>
                <c:pt idx="47">
                  <c:v>3.6566360335464072E-5</c:v>
                </c:pt>
                <c:pt idx="48">
                  <c:v>6.940324253787688E-5</c:v>
                </c:pt>
                <c:pt idx="49">
                  <c:v>-1.1151488194062787E-5</c:v>
                </c:pt>
                <c:pt idx="50">
                  <c:v>1.2421254576724095E-4</c:v>
                </c:pt>
                <c:pt idx="51">
                  <c:v>-1.0043911896076153E-4</c:v>
                </c:pt>
                <c:pt idx="52">
                  <c:v>1.5541876927866571E-5</c:v>
                </c:pt>
                <c:pt idx="53">
                  <c:v>-2.6269535730471428E-5</c:v>
                </c:pt>
                <c:pt idx="54">
                  <c:v>-2.8837085104538578E-6</c:v>
                </c:pt>
                <c:pt idx="55">
                  <c:v>-2.1750384747124283E-6</c:v>
                </c:pt>
                <c:pt idx="56">
                  <c:v>-3.9970067334786928E-5</c:v>
                </c:pt>
                <c:pt idx="57">
                  <c:v>-7.6346422878626028E-5</c:v>
                </c:pt>
                <c:pt idx="58">
                  <c:v>4.6960651535775971E-5</c:v>
                </c:pt>
                <c:pt idx="59">
                  <c:v>-1.6584563044795608E-5</c:v>
                </c:pt>
                <c:pt idx="60">
                  <c:v>-2.1750384747124283E-6</c:v>
                </c:pt>
                <c:pt idx="61">
                  <c:v>-1.9388150169129273E-6</c:v>
                </c:pt>
                <c:pt idx="62">
                  <c:v>-1.1390242959598404E-4</c:v>
                </c:pt>
                <c:pt idx="63">
                  <c:v>-3.8316564938414229E-5</c:v>
                </c:pt>
                <c:pt idx="64">
                  <c:v>1.2137750755614296E-4</c:v>
                </c:pt>
                <c:pt idx="65">
                  <c:v>-2.3434919364395925E-5</c:v>
                </c:pt>
                <c:pt idx="66">
                  <c:v>7.3655580141880064E-5</c:v>
                </c:pt>
                <c:pt idx="67">
                  <c:v>6.3261009283825963E-5</c:v>
                </c:pt>
                <c:pt idx="68">
                  <c:v>5.830000249038057E-5</c:v>
                </c:pt>
                <c:pt idx="69">
                  <c:v>-5.7922201691761327E-5</c:v>
                </c:pt>
                <c:pt idx="70">
                  <c:v>-5.6741150203116828E-5</c:v>
                </c:pt>
                <c:pt idx="71">
                  <c:v>1.6272261711599596E-4</c:v>
                </c:pt>
                <c:pt idx="72">
                  <c:v>1.3683192966912727E-6</c:v>
                </c:pt>
                <c:pt idx="73">
                  <c:v>7.2001891130293665E-5</c:v>
                </c:pt>
                <c:pt idx="74">
                  <c:v>1.1998468538103073E-5</c:v>
                </c:pt>
                <c:pt idx="75">
                  <c:v>-2.6978188556672729E-5</c:v>
                </c:pt>
                <c:pt idx="76">
                  <c:v>-7.5401599345832735E-5</c:v>
                </c:pt>
                <c:pt idx="77">
                  <c:v>-7.5769688478112837E-7</c:v>
                </c:pt>
                <c:pt idx="78">
                  <c:v>5.1449129126147175E-5</c:v>
                </c:pt>
                <c:pt idx="79">
                  <c:v>-4.2332208834932624E-5</c:v>
                </c:pt>
                <c:pt idx="80">
                  <c:v>-6.6425730907956028E-5</c:v>
                </c:pt>
                <c:pt idx="81">
                  <c:v>-7.1357180955338775E-6</c:v>
                </c:pt>
                <c:pt idx="82">
                  <c:v>-3.6190629236768929E-5</c:v>
                </c:pt>
                <c:pt idx="83">
                  <c:v>3.3967804549600073E-5</c:v>
                </c:pt>
                <c:pt idx="84">
                  <c:v>3.845622336343197E-5</c:v>
                </c:pt>
                <c:pt idx="85">
                  <c:v>-1.1508341304090802E-4</c:v>
                </c:pt>
                <c:pt idx="86">
                  <c:v>1.7431699910000674E-5</c:v>
                </c:pt>
                <c:pt idx="87">
                  <c:v>3.5148965426802571E-5</c:v>
                </c:pt>
                <c:pt idx="88">
                  <c:v>1.955775506748477E-5</c:v>
                </c:pt>
                <c:pt idx="89">
                  <c:v>1.0909243557759798E-4</c:v>
                </c:pt>
                <c:pt idx="90">
                  <c:v>8.6648946849959862E-5</c:v>
                </c:pt>
                <c:pt idx="91">
                  <c:v>1.8140384456270773E-5</c:v>
                </c:pt>
                <c:pt idx="92">
                  <c:v>-8.3168286351946367E-6</c:v>
                </c:pt>
                <c:pt idx="93">
                  <c:v>-1.1508341304090802E-4</c:v>
                </c:pt>
                <c:pt idx="94">
                  <c:v>2.1683814780769372E-5</c:v>
                </c:pt>
                <c:pt idx="95">
                  <c:v>-3.8286011042497678E-6</c:v>
                </c:pt>
                <c:pt idx="96">
                  <c:v>-5.603251863497303E-5</c:v>
                </c:pt>
                <c:pt idx="97">
                  <c:v>-3.7607920210606527E-5</c:v>
                </c:pt>
                <c:pt idx="98">
                  <c:v>-4.0678710375202732E-5</c:v>
                </c:pt>
                <c:pt idx="99">
                  <c:v>-2.6741971004177726E-5</c:v>
                </c:pt>
                <c:pt idx="100">
                  <c:v>-1.1151488194062787E-5</c:v>
                </c:pt>
                <c:pt idx="101">
                  <c:v>-8.553050574545778E-6</c:v>
                </c:pt>
                <c:pt idx="102">
                  <c:v>1.9085297972275873E-5</c:v>
                </c:pt>
                <c:pt idx="103">
                  <c:v>5.3339020501890569E-5</c:v>
                </c:pt>
                <c:pt idx="104">
                  <c:v>8.8538905272976981E-5</c:v>
                </c:pt>
                <c:pt idx="105">
                  <c:v>2.6172178025260372E-5</c:v>
                </c:pt>
                <c:pt idx="106">
                  <c:v>5.1921601632536772E-5</c:v>
                </c:pt>
                <c:pt idx="107">
                  <c:v>5.9008716228008578E-5</c:v>
                </c:pt>
                <c:pt idx="108">
                  <c:v>-5.5560097308575826E-5</c:v>
                </c:pt>
                <c:pt idx="109">
                  <c:v>9.3972555792696969E-5</c:v>
                </c:pt>
                <c:pt idx="110">
                  <c:v>5.9244954252953874E-5</c:v>
                </c:pt>
                <c:pt idx="111">
                  <c:v>-4.398570453880753E-5</c:v>
                </c:pt>
                <c:pt idx="112">
                  <c:v>5.6203653263559726E-6</c:v>
                </c:pt>
                <c:pt idx="113">
                  <c:v>1.1998468538103073E-5</c:v>
                </c:pt>
                <c:pt idx="114">
                  <c:v>-4.7056474964021826E-5</c:v>
                </c:pt>
                <c:pt idx="115">
                  <c:v>1.2185001336219596E-4</c:v>
                </c:pt>
                <c:pt idx="116">
                  <c:v>2.9951868084786771E-5</c:v>
                </c:pt>
                <c:pt idx="117">
                  <c:v>-6.3591229267316823E-5</c:v>
                </c:pt>
                <c:pt idx="118">
                  <c:v>-1.0067531896741633E-4</c:v>
                </c:pt>
                <c:pt idx="119">
                  <c:v>-2.8159275475564529E-5</c:v>
                </c:pt>
                <c:pt idx="120">
                  <c:v>-1.4319040415618702E-4</c:v>
                </c:pt>
                <c:pt idx="121">
                  <c:v>-4.8001325490329131E-5</c:v>
                </c:pt>
                <c:pt idx="122">
                  <c:v>3.7305648412695718E-6</c:v>
                </c:pt>
                <c:pt idx="123">
                  <c:v>-8.7892724575078388E-6</c:v>
                </c:pt>
                <c:pt idx="124">
                  <c:v>6.2079814940282181E-5</c:v>
                </c:pt>
                <c:pt idx="125">
                  <c:v>-4.7056474964021826E-5</c:v>
                </c:pt>
                <c:pt idx="126">
                  <c:v>1.5069421744702273E-5</c:v>
                </c:pt>
                <c:pt idx="127">
                  <c:v>-3.8080350085383427E-5</c:v>
                </c:pt>
                <c:pt idx="128">
                  <c:v>4.1054790904423175E-5</c:v>
                </c:pt>
                <c:pt idx="129">
                  <c:v>-7.9180888078530918E-5</c:v>
                </c:pt>
                <c:pt idx="130">
                  <c:v>-3.7371705188859426E-5</c:v>
                </c:pt>
                <c:pt idx="131">
                  <c:v>-7.6346422878626028E-5</c:v>
                </c:pt>
                <c:pt idx="132">
                  <c:v>2.4754797965239974E-5</c:v>
                </c:pt>
                <c:pt idx="133">
                  <c:v>-2.1308951775099038E-5</c:v>
                </c:pt>
                <c:pt idx="134">
                  <c:v>1.7195471840464172E-5</c:v>
                </c:pt>
                <c:pt idx="135">
                  <c:v>-1.0162011843217224E-4</c:v>
                </c:pt>
                <c:pt idx="136">
                  <c:v>-2.2726264007446749E-5</c:v>
                </c:pt>
                <c:pt idx="137">
                  <c:v>-7.4692981105615623E-5</c:v>
                </c:pt>
                <c:pt idx="138">
                  <c:v>1.7904156218017075E-5</c:v>
                </c:pt>
                <c:pt idx="139">
                  <c:v>-1.0728889632491263E-4</c:v>
                </c:pt>
                <c:pt idx="140">
                  <c:v>4.2030146250517734E-6</c:v>
                </c:pt>
                <c:pt idx="141">
                  <c:v>1.4360739391747571E-5</c:v>
                </c:pt>
                <c:pt idx="142">
                  <c:v>-2.3907355987835228E-5</c:v>
                </c:pt>
                <c:pt idx="143">
                  <c:v>-7.8472272537779728E-5</c:v>
                </c:pt>
                <c:pt idx="144">
                  <c:v>-1.0965087755408204E-4</c:v>
                </c:pt>
                <c:pt idx="145">
                  <c:v>1.5778104603806771E-5</c:v>
                </c:pt>
                <c:pt idx="146">
                  <c:v>4.9086769968530073E-5</c:v>
                </c:pt>
                <c:pt idx="147">
                  <c:v>1.1050993612025096E-4</c:v>
                </c:pt>
                <c:pt idx="148">
                  <c:v>5.215783797009017E-5</c:v>
                </c:pt>
                <c:pt idx="149">
                  <c:v>4.5070772308981375E-5</c:v>
                </c:pt>
                <c:pt idx="150">
                  <c:v>-5.009715580780517E-6</c:v>
                </c:pt>
                <c:pt idx="151">
                  <c:v>3.3731572542740072E-5</c:v>
                </c:pt>
                <c:pt idx="152">
                  <c:v>8.4550728032125717E-6</c:v>
                </c:pt>
                <c:pt idx="153">
                  <c:v>9.3736309499056969E-5</c:v>
                </c:pt>
                <c:pt idx="154">
                  <c:v>-5.8158411820955227E-5</c:v>
                </c:pt>
                <c:pt idx="155">
                  <c:v>-3.1466311368318132E-5</c:v>
                </c:pt>
                <c:pt idx="156">
                  <c:v>3.1605487013561274E-5</c:v>
                </c:pt>
                <c:pt idx="157">
                  <c:v>-8.650321903084333E-5</c:v>
                </c:pt>
                <c:pt idx="158">
                  <c:v>-1.7765662336384367E-5</c:v>
                </c:pt>
                <c:pt idx="159">
                  <c:v>-6.6189522747197633E-5</c:v>
                </c:pt>
                <c:pt idx="160">
                  <c:v>-3.3119825181026427E-5</c:v>
                </c:pt>
                <c:pt idx="161">
                  <c:v>-8.2960162415066427E-5</c:v>
                </c:pt>
                <c:pt idx="162">
                  <c:v>-5.0599659798254831E-5</c:v>
                </c:pt>
                <c:pt idx="163">
                  <c:v>-1.7765662336384367E-5</c:v>
                </c:pt>
                <c:pt idx="164">
                  <c:v>-9.261716054714788E-6</c:v>
                </c:pt>
                <c:pt idx="165">
                  <c:v>1.6014332335909771E-5</c:v>
                </c:pt>
                <c:pt idx="166">
                  <c:v>3.3731572542740072E-5</c:v>
                </c:pt>
                <c:pt idx="167">
                  <c:v>-2.9812794799755628E-5</c:v>
                </c:pt>
                <c:pt idx="168">
                  <c:v>-6.9968846570898918E-5</c:v>
                </c:pt>
                <c:pt idx="169">
                  <c:v>-1.0752509470101724E-4</c:v>
                </c:pt>
                <c:pt idx="170">
                  <c:v>8.6912987917609715E-6</c:v>
                </c:pt>
                <c:pt idx="171">
                  <c:v>3.2550413352929472E-5</c:v>
                </c:pt>
                <c:pt idx="172">
                  <c:v>-6.5008481099822332E-5</c:v>
                </c:pt>
                <c:pt idx="173">
                  <c:v>4.1527258461416072E-5</c:v>
                </c:pt>
                <c:pt idx="174">
                  <c:v>4.3417130938642972E-5</c:v>
                </c:pt>
                <c:pt idx="175">
                  <c:v>6.7513320563746367E-5</c:v>
                </c:pt>
                <c:pt idx="176">
                  <c:v>7.9826209946058718E-6</c:v>
                </c:pt>
                <c:pt idx="177">
                  <c:v>2.9479406039954874E-5</c:v>
                </c:pt>
                <c:pt idx="178">
                  <c:v>-2.5088446562100728E-5</c:v>
                </c:pt>
                <c:pt idx="179">
                  <c:v>-1.1508341304090802E-4</c:v>
                </c:pt>
                <c:pt idx="180">
                  <c:v>-2.9340360988335029E-5</c:v>
                </c:pt>
                <c:pt idx="181">
                  <c:v>-1.2878271826688702E-4</c:v>
                </c:pt>
                <c:pt idx="182">
                  <c:v>3.8928689682793674E-5</c:v>
                </c:pt>
                <c:pt idx="183">
                  <c:v>-7.3748155998209426E-5</c:v>
                </c:pt>
                <c:pt idx="184">
                  <c:v>-7.371940315928528E-6</c:v>
                </c:pt>
                <c:pt idx="185">
                  <c:v>6.7749560613742581E-5</c:v>
                </c:pt>
                <c:pt idx="186">
                  <c:v>2.2392502364389771E-5</c:v>
                </c:pt>
                <c:pt idx="187">
                  <c:v>5.4047730696018367E-5</c:v>
                </c:pt>
                <c:pt idx="188">
                  <c:v>-5.6741150203116828E-5</c:v>
                </c:pt>
                <c:pt idx="189">
                  <c:v>-8.862904692714794E-5</c:v>
                </c:pt>
                <c:pt idx="190">
                  <c:v>-1.2332593953270332E-5</c:v>
                </c:pt>
                <c:pt idx="191">
                  <c:v>-6.193776623715432E-5</c:v>
                </c:pt>
                <c:pt idx="192">
                  <c:v>2.8770713394385074E-5</c:v>
                </c:pt>
                <c:pt idx="193">
                  <c:v>-2.8837085104538578E-6</c:v>
                </c:pt>
                <c:pt idx="194">
                  <c:v>2.7856659485719709E-6</c:v>
                </c:pt>
                <c:pt idx="195">
                  <c:v>-6.663273486028268E-6</c:v>
                </c:pt>
                <c:pt idx="196">
                  <c:v>-1.5167242038961087E-5</c:v>
                </c:pt>
                <c:pt idx="197">
                  <c:v>-1.0705269789287072E-4</c:v>
                </c:pt>
                <c:pt idx="198">
                  <c:v>-8.9337655213541425E-5</c:v>
                </c:pt>
                <c:pt idx="199">
                  <c:v>4.7433121904786773E-5</c:v>
                </c:pt>
                <c:pt idx="200">
                  <c:v>7.4836788266055375E-5</c:v>
                </c:pt>
                <c:pt idx="201">
                  <c:v>-3.0285228386296327E-5</c:v>
                </c:pt>
                <c:pt idx="202">
                  <c:v>-2.201760814434777E-5</c:v>
                </c:pt>
                <c:pt idx="203">
                  <c:v>-5.8394621893759028E-5</c:v>
                </c:pt>
                <c:pt idx="204">
                  <c:v>-1.1248524760646434E-4</c:v>
                </c:pt>
                <c:pt idx="205">
                  <c:v>-1.0658030085961703E-4</c:v>
                </c:pt>
                <c:pt idx="206">
                  <c:v>-1.1151488194062787E-5</c:v>
                </c:pt>
                <c:pt idx="207">
                  <c:v>-3.6899274976649029E-5</c:v>
                </c:pt>
                <c:pt idx="208">
                  <c:v>-3.6190629236768929E-5</c:v>
                </c:pt>
                <c:pt idx="209">
                  <c:v>2.1683814780769372E-5</c:v>
                </c:pt>
                <c:pt idx="210">
                  <c:v>2.6172178025260372E-5</c:v>
                </c:pt>
                <c:pt idx="211">
                  <c:v>-1.1623930666417528E-5</c:v>
                </c:pt>
                <c:pt idx="212">
                  <c:v>-6.663273486028268E-6</c:v>
                </c:pt>
                <c:pt idx="213">
                  <c:v>2.9951868084786771E-5</c:v>
                </c:pt>
                <c:pt idx="214">
                  <c:v>5.5701389783859168E-5</c:v>
                </c:pt>
                <c:pt idx="215">
                  <c:v>-2.3671137704310527E-5</c:v>
                </c:pt>
                <c:pt idx="216">
                  <c:v>-5.8158411820955227E-5</c:v>
                </c:pt>
                <c:pt idx="217">
                  <c:v>-6.2646393587610931E-5</c:v>
                </c:pt>
                <c:pt idx="218">
                  <c:v>-8.5322201564738025E-5</c:v>
                </c:pt>
                <c:pt idx="219">
                  <c:v>-5.4379043007912629E-5</c:v>
                </c:pt>
                <c:pt idx="220">
                  <c:v>5.2866547320408476E-5</c:v>
                </c:pt>
                <c:pt idx="221">
                  <c:v>-7.1149882313421427E-5</c:v>
                </c:pt>
                <c:pt idx="222">
                  <c:v>-1.2301443063054272E-6</c:v>
                </c:pt>
                <c:pt idx="223">
                  <c:v>-1.8474321236381899E-5</c:v>
                </c:pt>
                <c:pt idx="224">
                  <c:v>1.955775506748477E-5</c:v>
                </c:pt>
                <c:pt idx="225">
                  <c:v>4.5307007015532874E-5</c:v>
                </c:pt>
                <c:pt idx="226">
                  <c:v>9.7043762727005983E-5</c:v>
                </c:pt>
                <c:pt idx="227">
                  <c:v>4.3889599620262669E-5</c:v>
                </c:pt>
                <c:pt idx="228">
                  <c:v>1.0767493706022196E-4</c:v>
                </c:pt>
                <c:pt idx="229">
                  <c:v>-4.3040850188409224E-5</c:v>
                </c:pt>
                <c:pt idx="230">
                  <c:v>4.911689722741771E-6</c:v>
                </c:pt>
                <c:pt idx="231">
                  <c:v>-5.7183835919237975E-6</c:v>
                </c:pt>
                <c:pt idx="232">
                  <c:v>1.955775506748477E-5</c:v>
                </c:pt>
                <c:pt idx="233">
                  <c:v>-2.1750384747124283E-6</c:v>
                </c:pt>
                <c:pt idx="234">
                  <c:v>-3.8552779735054226E-5</c:v>
                </c:pt>
                <c:pt idx="235">
                  <c:v>-2.5324664508419126E-5</c:v>
                </c:pt>
                <c:pt idx="236">
                  <c:v>-3.3356041215073032E-5</c:v>
                </c:pt>
                <c:pt idx="237">
                  <c:v>-2.1072732872871928E-5</c:v>
                </c:pt>
                <c:pt idx="238">
                  <c:v>-1.7293222788374627E-5</c:v>
                </c:pt>
                <c:pt idx="239">
                  <c:v>5.522891547752407E-5</c:v>
                </c:pt>
                <c:pt idx="240">
                  <c:v>-2.2726264007446749E-5</c:v>
                </c:pt>
                <c:pt idx="241">
                  <c:v>5.9244954252953874E-5</c:v>
                </c:pt>
                <c:pt idx="242">
                  <c:v>1.4145920274259097E-4</c:v>
                </c:pt>
                <c:pt idx="243">
                  <c:v>2.0502669933222972E-5</c:v>
                </c:pt>
                <c:pt idx="244">
                  <c:v>6.5652669187440711E-6</c:v>
                </c:pt>
                <c:pt idx="245">
                  <c:v>7.1529409061865082E-5</c:v>
                </c:pt>
                <c:pt idx="246">
                  <c:v>2.262873167133207E-5</c:v>
                </c:pt>
                <c:pt idx="247">
                  <c:v>-6.8787809422480624E-5</c:v>
                </c:pt>
                <c:pt idx="248">
                  <c:v>3.9667897051919717E-6</c:v>
                </c:pt>
                <c:pt idx="249">
                  <c:v>3.3259108698189875E-5</c:v>
                </c:pt>
                <c:pt idx="250">
                  <c:v>-1.9388150169129273E-6</c:v>
                </c:pt>
                <c:pt idx="251">
                  <c:v>7.5101694111053707E-6</c:v>
                </c:pt>
                <c:pt idx="252">
                  <c:v>2.144758569893337E-5</c:v>
                </c:pt>
                <c:pt idx="253">
                  <c:v>-4.870996279460943E-5</c:v>
                </c:pt>
                <c:pt idx="254">
                  <c:v>-2.6474852215970279E-6</c:v>
                </c:pt>
                <c:pt idx="255">
                  <c:v>5.9717430471787167E-5</c:v>
                </c:pt>
                <c:pt idx="256">
                  <c:v>-5.4851464896849628E-5</c:v>
                </c:pt>
                <c:pt idx="257">
                  <c:v>-1.2901891152578503E-4</c:v>
                </c:pt>
                <c:pt idx="258">
                  <c:v>8.4522747926960181E-5</c:v>
                </c:pt>
                <c:pt idx="259">
                  <c:v>-4.1387352909695128E-5</c:v>
                </c:pt>
                <c:pt idx="260">
                  <c:v>-6.2646393587610931E-5</c:v>
                </c:pt>
                <c:pt idx="261">
                  <c:v>1.3888284771123071E-5</c:v>
                </c:pt>
                <c:pt idx="262">
                  <c:v>-1.2096372913891496E-5</c:v>
                </c:pt>
                <c:pt idx="263">
                  <c:v>5.995366866544797E-5</c:v>
                </c:pt>
                <c:pt idx="264">
                  <c:v>5.711881405282127E-5</c:v>
                </c:pt>
                <c:pt idx="265">
                  <c:v>4.911689722741771E-6</c:v>
                </c:pt>
                <c:pt idx="266">
                  <c:v>-5.4851464896849628E-5</c:v>
                </c:pt>
                <c:pt idx="267">
                  <c:v>-2.6033318009260126E-5</c:v>
                </c:pt>
                <c:pt idx="268">
                  <c:v>-2.0034670306577504E-4</c:v>
                </c:pt>
                <c:pt idx="269">
                  <c:v>-4.0914924609530224E-5</c:v>
                </c:pt>
                <c:pt idx="270">
                  <c:v>-1.0421831232037813E-4</c:v>
                </c:pt>
                <c:pt idx="271">
                  <c:v>-7.7527451029357422E-5</c:v>
                </c:pt>
                <c:pt idx="272">
                  <c:v>3.0896792849315772E-5</c:v>
                </c:pt>
                <c:pt idx="273">
                  <c:v>-5.910325177473733E-5</c:v>
                </c:pt>
                <c:pt idx="274">
                  <c:v>-2.0600294899700548E-5</c:v>
                </c:pt>
                <c:pt idx="275">
                  <c:v>1.5610728381517595E-4</c:v>
                </c:pt>
                <c:pt idx="276">
                  <c:v>9.2555078875341965E-5</c:v>
                </c:pt>
                <c:pt idx="277">
                  <c:v>-1.6820783015484979E-5</c:v>
                </c:pt>
                <c:pt idx="278">
                  <c:v>3.2581152823680718E-6</c:v>
                </c:pt>
                <c:pt idx="279">
                  <c:v>3.2314181683729275E-5</c:v>
                </c:pt>
                <c:pt idx="280">
                  <c:v>-6.5244689541850621E-5</c:v>
                </c:pt>
                <c:pt idx="281">
                  <c:v>3.4440268731583673E-5</c:v>
                </c:pt>
                <c:pt idx="282">
                  <c:v>1.7667928035927072E-5</c:v>
                </c:pt>
                <c:pt idx="283">
                  <c:v>5.0504184788007578E-5</c:v>
                </c:pt>
                <c:pt idx="284">
                  <c:v>-9.6187509223918016E-5</c:v>
                </c:pt>
                <c:pt idx="285">
                  <c:v>-9.9703810287331668E-6</c:v>
                </c:pt>
                <c:pt idx="286">
                  <c:v>1.1289788378689971E-5</c:v>
                </c:pt>
                <c:pt idx="287">
                  <c:v>-1.2568814936486425E-5</c:v>
                </c:pt>
                <c:pt idx="288">
                  <c:v>-7.6081624801604379E-6</c:v>
                </c:pt>
                <c:pt idx="289">
                  <c:v>-6.8994958189756181E-6</c:v>
                </c:pt>
                <c:pt idx="290">
                  <c:v>-9.5478905829851418E-5</c:v>
                </c:pt>
                <c:pt idx="291">
                  <c:v>1.5069421744702273E-5</c:v>
                </c:pt>
                <c:pt idx="292">
                  <c:v>5.7355051627780476E-5</c:v>
                </c:pt>
                <c:pt idx="293">
                  <c:v>-3.8316564938414229E-5</c:v>
                </c:pt>
                <c:pt idx="294">
                  <c:v>-5.7922201691761327E-5</c:v>
                </c:pt>
                <c:pt idx="295">
                  <c:v>-1.8001882026031096E-5</c:v>
                </c:pt>
                <c:pt idx="296">
                  <c:v>-9.4534100517084524E-5</c:v>
                </c:pt>
                <c:pt idx="297">
                  <c:v>-3.713549011094963E-5</c:v>
                </c:pt>
                <c:pt idx="298">
                  <c:v>4.483453765882077E-5</c:v>
                </c:pt>
                <c:pt idx="299">
                  <c:v>-4.8946175116891327E-5</c:v>
                </c:pt>
                <c:pt idx="300">
                  <c:v>-9.9703810287331668E-6</c:v>
                </c:pt>
                <c:pt idx="301">
                  <c:v>-5.4851464896849628E-5</c:v>
                </c:pt>
                <c:pt idx="302">
                  <c:v>-4.4221917985942526E-5</c:v>
                </c:pt>
                <c:pt idx="303">
                  <c:v>1.6486787969060173E-5</c:v>
                </c:pt>
                <c:pt idx="304">
                  <c:v>-9.261716054714788E-6</c:v>
                </c:pt>
                <c:pt idx="305">
                  <c:v>-8.4141182692736922E-5</c:v>
                </c:pt>
                <c:pt idx="306">
                  <c:v>7.0348204875013382E-5</c:v>
                </c:pt>
                <c:pt idx="307">
                  <c:v>8.6176457806631861E-5</c:v>
                </c:pt>
                <c:pt idx="308">
                  <c:v>-4.5875410540592431E-5</c:v>
                </c:pt>
                <c:pt idx="309">
                  <c:v>9.4681295010598981E-5</c:v>
                </c:pt>
                <c:pt idx="310">
                  <c:v>-2.7686840876724227E-5</c:v>
                </c:pt>
                <c:pt idx="311">
                  <c:v>1.5305649308088972E-5</c:v>
                </c:pt>
                <c:pt idx="312">
                  <c:v>-1.9655418278492589E-5</c:v>
                </c:pt>
                <c:pt idx="313">
                  <c:v>7.5101694111053707E-6</c:v>
                </c:pt>
                <c:pt idx="314">
                  <c:v>3.9667897051919717E-6</c:v>
                </c:pt>
                <c:pt idx="315">
                  <c:v>-1.4673324568441904E-4</c:v>
                </c:pt>
                <c:pt idx="316">
                  <c:v>-1.8710540757311456E-5</c:v>
                </c:pt>
                <c:pt idx="317">
                  <c:v>-6.7606770868165731E-5</c:v>
                </c:pt>
                <c:pt idx="318">
                  <c:v>-1.7529442590574908E-5</c:v>
                </c:pt>
                <c:pt idx="319">
                  <c:v>1.0602119134923396E-4</c:v>
                </c:pt>
                <c:pt idx="320">
                  <c:v>-2.1781389410836957E-5</c:v>
                </c:pt>
                <c:pt idx="321">
                  <c:v>-1.8710540757311456E-5</c:v>
                </c:pt>
                <c:pt idx="322">
                  <c:v>2.7856659485719709E-6</c:v>
                </c:pt>
                <c:pt idx="323">
                  <c:v>4.2708428337891474E-5</c:v>
                </c:pt>
                <c:pt idx="324">
                  <c:v>-1.3277477548473176E-5</c:v>
                </c:pt>
                <c:pt idx="325">
                  <c:v>-2.7686840876724227E-5</c:v>
                </c:pt>
                <c:pt idx="326">
                  <c:v>-5.8394621893759028E-5</c:v>
                </c:pt>
                <c:pt idx="327">
                  <c:v>8.4550728032125717E-6</c:v>
                </c:pt>
                <c:pt idx="328">
                  <c:v>-4.3749491035509729E-5</c:v>
                </c:pt>
                <c:pt idx="329">
                  <c:v>5.4756441396069674E-5</c:v>
                </c:pt>
                <c:pt idx="330">
                  <c:v>3.6566360335464072E-5</c:v>
                </c:pt>
                <c:pt idx="331">
                  <c:v>-1.7293222788374627E-5</c:v>
                </c:pt>
                <c:pt idx="332">
                  <c:v>3.6802593016963874E-5</c:v>
                </c:pt>
                <c:pt idx="333">
                  <c:v>4.8378063318128677E-5</c:v>
                </c:pt>
                <c:pt idx="334">
                  <c:v>-1.5167242038961087E-5</c:v>
                </c:pt>
                <c:pt idx="335">
                  <c:v>-2.4143574215196228E-5</c:v>
                </c:pt>
                <c:pt idx="336">
                  <c:v>6.7749560613742581E-5</c:v>
                </c:pt>
                <c:pt idx="337">
                  <c:v>6.4678444352231964E-5</c:v>
                </c:pt>
                <c:pt idx="338">
                  <c:v>-1.9182979630228808E-5</c:v>
                </c:pt>
                <c:pt idx="339">
                  <c:v>2.121135667303377E-5</c:v>
                </c:pt>
                <c:pt idx="340">
                  <c:v>-1.0658030085961703E-4</c:v>
                </c:pt>
                <c:pt idx="341">
                  <c:v>-6.2882602591952626E-5</c:v>
                </c:pt>
                <c:pt idx="342">
                  <c:v>8.9011395441382959E-5</c:v>
                </c:pt>
                <c:pt idx="343">
                  <c:v>-6.6425730907956028E-5</c:v>
                </c:pt>
                <c:pt idx="344">
                  <c:v>-8.6975625623643725E-5</c:v>
                </c:pt>
                <c:pt idx="345">
                  <c:v>-7.4456774913292639E-5</c:v>
                </c:pt>
                <c:pt idx="346">
                  <c:v>7.3655580141880064E-5</c:v>
                </c:pt>
                <c:pt idx="347">
                  <c:v>-2.8159275475564529E-5</c:v>
                </c:pt>
                <c:pt idx="348">
                  <c:v>-2.4112618763501281E-6</c:v>
                </c:pt>
                <c:pt idx="349">
                  <c:v>6.6095881445690481E-5</c:v>
                </c:pt>
                <c:pt idx="350">
                  <c:v>5.7355051627780476E-5</c:v>
                </c:pt>
                <c:pt idx="351">
                  <c:v>-2.6978188556672729E-5</c:v>
                </c:pt>
                <c:pt idx="352">
                  <c:v>2.4754797965239974E-5</c:v>
                </c:pt>
                <c:pt idx="353">
                  <c:v>2.7825790654680574E-5</c:v>
                </c:pt>
                <c:pt idx="354">
                  <c:v>-1.7293222788374627E-5</c:v>
                </c:pt>
                <c:pt idx="355">
                  <c:v>-1.4458580776706447E-5</c:v>
                </c:pt>
                <c:pt idx="356">
                  <c:v>2.404610869445477E-5</c:v>
                </c:pt>
                <c:pt idx="357">
                  <c:v>-8.4849794184744431E-5</c:v>
                </c:pt>
                <c:pt idx="358">
                  <c:v>-9.8785717339343928E-5</c:v>
                </c:pt>
                <c:pt idx="359">
                  <c:v>-6.8315394169426021E-5</c:v>
                </c:pt>
                <c:pt idx="360">
                  <c:v>-5.4379043007912629E-5</c:v>
                </c:pt>
                <c:pt idx="361">
                  <c:v>-1.1201285315989582E-4</c:v>
                </c:pt>
                <c:pt idx="362">
                  <c:v>4.4125834045543372E-5</c:v>
                </c:pt>
                <c:pt idx="363">
                  <c:v>3.6566360335464072E-5</c:v>
                </c:pt>
                <c:pt idx="364">
                  <c:v>-4.5166771211714926E-5</c:v>
                </c:pt>
                <c:pt idx="365">
                  <c:v>-1.1697298362876103E-4</c:v>
                </c:pt>
                <c:pt idx="366">
                  <c:v>-7.0205053831911337E-5</c:v>
                </c:pt>
                <c:pt idx="367">
                  <c:v>-3.5954413877589327E-5</c:v>
                </c:pt>
                <c:pt idx="368">
                  <c:v>1.1998468538103073E-5</c:v>
                </c:pt>
                <c:pt idx="369">
                  <c:v>-2.2962482516077629E-5</c:v>
                </c:pt>
                <c:pt idx="370">
                  <c:v>8.4550728032125717E-6</c:v>
                </c:pt>
                <c:pt idx="371">
                  <c:v>1.0176871503464298E-4</c:v>
                </c:pt>
                <c:pt idx="372">
                  <c:v>-9.0046262994012322E-5</c:v>
                </c:pt>
                <c:pt idx="373">
                  <c:v>1.9793983699560975E-5</c:v>
                </c:pt>
                <c:pt idx="374">
                  <c:v>-3.4300904788944227E-5</c:v>
                </c:pt>
                <c:pt idx="375">
                  <c:v>-2.745062349294643E-5</c:v>
                </c:pt>
                <c:pt idx="376">
                  <c:v>2.5699717780373976E-5</c:v>
                </c:pt>
                <c:pt idx="377">
                  <c:v>-6.8994958189756181E-6</c:v>
                </c:pt>
                <c:pt idx="378">
                  <c:v>1.3683192966912727E-6</c:v>
                </c:pt>
                <c:pt idx="379">
                  <c:v>6.5859641789516884E-5</c:v>
                </c:pt>
                <c:pt idx="380">
                  <c:v>9.3027570956020963E-5</c:v>
                </c:pt>
                <c:pt idx="381">
                  <c:v>-4.185978098475383E-5</c:v>
                </c:pt>
                <c:pt idx="382">
                  <c:v>9.8224998694391969E-5</c:v>
                </c:pt>
                <c:pt idx="383">
                  <c:v>1.0672993917349097E-4</c:v>
                </c:pt>
                <c:pt idx="384">
                  <c:v>-6.122913838077512E-5</c:v>
                </c:pt>
                <c:pt idx="385">
                  <c:v>2.5463487742175773E-5</c:v>
                </c:pt>
                <c:pt idx="386">
                  <c:v>-4.8001325490329131E-5</c:v>
                </c:pt>
                <c:pt idx="387">
                  <c:v>-1.3232561124573602E-4</c:v>
                </c:pt>
                <c:pt idx="388">
                  <c:v>1.6014332335909771E-5</c:v>
                </c:pt>
                <c:pt idx="389">
                  <c:v>2.428233839499327E-5</c:v>
                </c:pt>
                <c:pt idx="390">
                  <c:v>8.4050259896157963E-5</c:v>
                </c:pt>
                <c:pt idx="391">
                  <c:v>1.1428994746702398E-4</c:v>
                </c:pt>
                <c:pt idx="392">
                  <c:v>-6.7606770868165731E-5</c:v>
                </c:pt>
                <c:pt idx="393">
                  <c:v>-1.8001882026031096E-5</c:v>
                </c:pt>
                <c:pt idx="394">
                  <c:v>-1.1177665585247984E-4</c:v>
                </c:pt>
                <c:pt idx="395">
                  <c:v>-2.4379792386167326E-5</c:v>
                </c:pt>
                <c:pt idx="396">
                  <c:v>-2.1072732872871928E-5</c:v>
                </c:pt>
                <c:pt idx="397">
                  <c:v>-3.9733852875353227E-5</c:v>
                </c:pt>
                <c:pt idx="398">
                  <c:v>1.7667928035927072E-5</c:v>
                </c:pt>
                <c:pt idx="399">
                  <c:v>-3.5718198462246026E-5</c:v>
                </c:pt>
                <c:pt idx="400">
                  <c:v>-1.3941135924787704E-4</c:v>
                </c:pt>
                <c:pt idx="401">
                  <c:v>-5.1308295246652428E-5</c:v>
                </c:pt>
                <c:pt idx="402">
                  <c:v>3.7747524306180574E-5</c:v>
                </c:pt>
                <c:pt idx="403">
                  <c:v>-2.3434919364395925E-5</c:v>
                </c:pt>
                <c:pt idx="404">
                  <c:v>-4.2095994938037728E-5</c:v>
                </c:pt>
                <c:pt idx="405">
                  <c:v>7.9826209946058718E-6</c:v>
                </c:pt>
                <c:pt idx="406">
                  <c:v>-3.8552779735054226E-5</c:v>
                </c:pt>
                <c:pt idx="407">
                  <c:v>-7.1386089293164033E-5</c:v>
                </c:pt>
                <c:pt idx="408">
                  <c:v>5.9244954252953874E-5</c:v>
                </c:pt>
                <c:pt idx="409">
                  <c:v>-2.6978188556672729E-5</c:v>
                </c:pt>
                <c:pt idx="410">
                  <c:v>4.2342265369907149E-7</c:v>
                </c:pt>
                <c:pt idx="411">
                  <c:v>-3.9970067334786928E-5</c:v>
                </c:pt>
                <c:pt idx="412">
                  <c:v>-1.3277477548473176E-5</c:v>
                </c:pt>
                <c:pt idx="413">
                  <c:v>9.2082587019542977E-5</c:v>
                </c:pt>
                <c:pt idx="414">
                  <c:v>-1.8710540757311456E-5</c:v>
                </c:pt>
                <c:pt idx="415">
                  <c:v>-5.0127235884719726E-5</c:v>
                </c:pt>
                <c:pt idx="416">
                  <c:v>-1.9655418278492589E-5</c:v>
                </c:pt>
                <c:pt idx="417">
                  <c:v>-2.8395492690626929E-5</c:v>
                </c:pt>
                <c:pt idx="418">
                  <c:v>3.727505854913227E-5</c:v>
                </c:pt>
                <c:pt idx="419">
                  <c:v>-7.5401599345832735E-5</c:v>
                </c:pt>
                <c:pt idx="420">
                  <c:v>-7.2803329991057321E-5</c:v>
                </c:pt>
                <c:pt idx="421">
                  <c:v>-9.5242704586018023E-5</c:v>
                </c:pt>
                <c:pt idx="422">
                  <c:v>5.1449129126147175E-5</c:v>
                </c:pt>
                <c:pt idx="423">
                  <c:v>1.9793983699560975E-5</c:v>
                </c:pt>
                <c:pt idx="424">
                  <c:v>-2.6741971004177726E-5</c:v>
                </c:pt>
                <c:pt idx="425">
                  <c:v>1.7904156218017075E-5</c:v>
                </c:pt>
                <c:pt idx="426">
                  <c:v>-4.611162353774133E-5</c:v>
                </c:pt>
                <c:pt idx="427">
                  <c:v>-2.201760814434777E-5</c:v>
                </c:pt>
                <c:pt idx="428">
                  <c:v>-3.1199317433743683E-6</c:v>
                </c:pt>
                <c:pt idx="429">
                  <c:v>5.1449129126147175E-5</c:v>
                </c:pt>
                <c:pt idx="430">
                  <c:v>6.3497248321296284E-5</c:v>
                </c:pt>
                <c:pt idx="431">
                  <c:v>1.0581108725652172E-5</c:v>
                </c:pt>
                <c:pt idx="432">
                  <c:v>7.9325391962643078E-5</c:v>
                </c:pt>
                <c:pt idx="433">
                  <c:v>-5.7922201691761327E-5</c:v>
                </c:pt>
                <c:pt idx="434">
                  <c:v>1.3248145348420296E-4</c:v>
                </c:pt>
                <c:pt idx="435">
                  <c:v>-8.673942235543853E-5</c:v>
                </c:pt>
                <c:pt idx="436">
                  <c:v>-4.5372699589753985E-6</c:v>
                </c:pt>
                <c:pt idx="437">
                  <c:v>1.1783372118335397E-4</c:v>
                </c:pt>
                <c:pt idx="438">
                  <c:v>2.144758569893337E-5</c:v>
                </c:pt>
                <c:pt idx="439">
                  <c:v>7.3183097285807279E-5</c:v>
                </c:pt>
                <c:pt idx="440">
                  <c:v>3.845622336343197E-5</c:v>
                </c:pt>
                <c:pt idx="441">
                  <c:v>4.8141827880322075E-5</c:v>
                </c:pt>
                <c:pt idx="442">
                  <c:v>-2.4143574215196228E-5</c:v>
                </c:pt>
                <c:pt idx="443">
                  <c:v>-5.603251863497303E-5</c:v>
                </c:pt>
                <c:pt idx="444">
                  <c:v>-5.910325177473733E-5</c:v>
                </c:pt>
                <c:pt idx="445">
                  <c:v>7.2474373423827773E-5</c:v>
                </c:pt>
                <c:pt idx="446">
                  <c:v>-1.2901891152578503E-4</c:v>
                </c:pt>
                <c:pt idx="447">
                  <c:v>6.3969726564954072E-5</c:v>
                </c:pt>
                <c:pt idx="448">
                  <c:v>-9.9703810287331668E-6</c:v>
                </c:pt>
                <c:pt idx="449">
                  <c:v>3.0424330354497771E-5</c:v>
                </c:pt>
                <c:pt idx="450">
                  <c:v>8.5940213369325985E-5</c:v>
                </c:pt>
                <c:pt idx="451">
                  <c:v>-1.3513698306582159E-5</c:v>
                </c:pt>
                <c:pt idx="452">
                  <c:v>-6.1908286514155577E-6</c:v>
                </c:pt>
                <c:pt idx="453">
                  <c:v>7.0377180524847716E-6</c:v>
                </c:pt>
                <c:pt idx="454">
                  <c:v>2.6644638495253974E-5</c:v>
                </c:pt>
                <c:pt idx="455">
                  <c:v>1.3815160145987598E-4</c:v>
                </c:pt>
                <c:pt idx="456">
                  <c:v>2.7856659485719709E-6</c:v>
                </c:pt>
                <c:pt idx="457">
                  <c:v>-7.3511949580780226E-5</c:v>
                </c:pt>
                <c:pt idx="458">
                  <c:v>-4.0914924609530224E-5</c:v>
                </c:pt>
                <c:pt idx="459">
                  <c:v>-1.9388150169129273E-6</c:v>
                </c:pt>
                <c:pt idx="460">
                  <c:v>-6.737056298867723E-5</c:v>
                </c:pt>
                <c:pt idx="461">
                  <c:v>-7.6110217079672815E-5</c:v>
                </c:pt>
                <c:pt idx="462">
                  <c:v>-2.8631709849298429E-5</c:v>
                </c:pt>
                <c:pt idx="463">
                  <c:v>-1.2096372913891496E-5</c:v>
                </c:pt>
                <c:pt idx="464">
                  <c:v>-8.8865249745366922E-5</c:v>
                </c:pt>
                <c:pt idx="465">
                  <c:v>-7.9180888078530918E-5</c:v>
                </c:pt>
                <c:pt idx="466">
                  <c:v>1.6014332335909771E-5</c:v>
                </c:pt>
                <c:pt idx="467">
                  <c:v>8.8538905272976981E-5</c:v>
                </c:pt>
                <c:pt idx="468">
                  <c:v>1.2470922258981573E-5</c:v>
                </c:pt>
                <c:pt idx="469">
                  <c:v>-7.6081624801604379E-6</c:v>
                </c:pt>
                <c:pt idx="470">
                  <c:v>6.4914683727135681E-5</c:v>
                </c:pt>
                <c:pt idx="471">
                  <c:v>-1.4271802432975702E-4</c:v>
                </c:pt>
                <c:pt idx="472">
                  <c:v>-7.8443845880015376E-6</c:v>
                </c:pt>
                <c:pt idx="473">
                  <c:v>4.0346089991063575E-5</c:v>
                </c:pt>
                <c:pt idx="474">
                  <c:v>-2.5088446562100728E-5</c:v>
                </c:pt>
                <c:pt idx="475">
                  <c:v>2.5227257760141072E-5</c:v>
                </c:pt>
                <c:pt idx="476">
                  <c:v>6.3733487414930175E-5</c:v>
                </c:pt>
                <c:pt idx="477">
                  <c:v>-6.0520510018245325E-5</c:v>
                </c:pt>
                <c:pt idx="478">
                  <c:v>-1.5429126532696304E-4</c:v>
                </c:pt>
                <c:pt idx="479">
                  <c:v>6.5652669187440711E-6</c:v>
                </c:pt>
                <c:pt idx="480">
                  <c:v>-6.737056298867723E-5</c:v>
                </c:pt>
                <c:pt idx="481">
                  <c:v>2.0502669933222972E-5</c:v>
                </c:pt>
                <c:pt idx="482">
                  <c:v>-8.4613590410389426E-5</c:v>
                </c:pt>
                <c:pt idx="483">
                  <c:v>1.0108655904746771E-5</c:v>
                </c:pt>
                <c:pt idx="484">
                  <c:v>-4.2095994938037728E-5</c:v>
                </c:pt>
                <c:pt idx="485">
                  <c:v>2.4754797965239974E-5</c:v>
                </c:pt>
                <c:pt idx="486">
                  <c:v>-3.2883609090817127E-5</c:v>
                </c:pt>
                <c:pt idx="487">
                  <c:v>5.2866547320408476E-5</c:v>
                </c:pt>
                <c:pt idx="488">
                  <c:v>-7.6346422878626028E-5</c:v>
                </c:pt>
                <c:pt idx="489">
                  <c:v>5.6882576534026569E-5</c:v>
                </c:pt>
                <c:pt idx="490">
                  <c:v>-2.9812794799755628E-5</c:v>
                </c:pt>
                <c:pt idx="491">
                  <c:v>-7.5769688478112837E-7</c:v>
                </c:pt>
                <c:pt idx="492">
                  <c:v>-1.2301443063054272E-6</c:v>
                </c:pt>
                <c:pt idx="493">
                  <c:v>4.1054790904423175E-5</c:v>
                </c:pt>
                <c:pt idx="494">
                  <c:v>6.6332121158026863E-5</c:v>
                </c:pt>
                <c:pt idx="495">
                  <c:v>6.3497248321296284E-5</c:v>
                </c:pt>
                <c:pt idx="496">
                  <c:v>3.1369255569240071E-5</c:v>
                </c:pt>
                <c:pt idx="497">
                  <c:v>-4.0914924609530224E-5</c:v>
                </c:pt>
                <c:pt idx="498">
                  <c:v>-8.2960162415066427E-5</c:v>
                </c:pt>
                <c:pt idx="499">
                  <c:v>-5.5087675757072325E-5</c:v>
                </c:pt>
                <c:pt idx="500">
                  <c:v>2.6880868814721975E-5</c:v>
                </c:pt>
                <c:pt idx="501">
                  <c:v>-1.3988374064846702E-4</c:v>
                </c:pt>
                <c:pt idx="502">
                  <c:v>-7.5165393321998834E-5</c:v>
                </c:pt>
                <c:pt idx="503">
                  <c:v>6.5964673020187284E-7</c:v>
                </c:pt>
                <c:pt idx="504">
                  <c:v>-2.6741971004177726E-5</c:v>
                </c:pt>
                <c:pt idx="505">
                  <c:v>-5.3670409752830529E-5</c:v>
                </c:pt>
                <c:pt idx="506">
                  <c:v>1.5069421744702273E-5</c:v>
                </c:pt>
                <c:pt idx="507">
                  <c:v>-6.8994958189756181E-6</c:v>
                </c:pt>
                <c:pt idx="508">
                  <c:v>9.5390034734876969E-5</c:v>
                </c:pt>
                <c:pt idx="509">
                  <c:v>1.0365870225768797E-4</c:v>
                </c:pt>
                <c:pt idx="510">
                  <c:v>9.8724295785385733E-6</c:v>
                </c:pt>
                <c:pt idx="511">
                  <c:v>3.9637389583853669E-5</c:v>
                </c:pt>
                <c:pt idx="512">
                  <c:v>1.955775506748477E-5</c:v>
                </c:pt>
                <c:pt idx="513">
                  <c:v>1.0365870225768797E-4</c:v>
                </c:pt>
                <c:pt idx="514">
                  <c:v>-1.0915266873414097E-5</c:v>
                </c:pt>
                <c:pt idx="515">
                  <c:v>1.0581108725652172E-5</c:v>
                </c:pt>
                <c:pt idx="516">
                  <c:v>-3.7844135176189929E-5</c:v>
                </c:pt>
                <c:pt idx="517">
                  <c:v>6.6568360926753169E-5</c:v>
                </c:pt>
                <c:pt idx="518">
                  <c:v>-2.1781389410836957E-5</c:v>
                </c:pt>
                <c:pt idx="519">
                  <c:v>4.7669357173650676E-5</c:v>
                </c:pt>
                <c:pt idx="520">
                  <c:v>-5.2253141723989731E-5</c:v>
                </c:pt>
                <c:pt idx="521">
                  <c:v>-1.0421831232037813E-4</c:v>
                </c:pt>
                <c:pt idx="522">
                  <c:v>7.2710614654839775E-5</c:v>
                </c:pt>
                <c:pt idx="523">
                  <c:v>1.1320950516984715E-6</c:v>
                </c:pt>
                <c:pt idx="524">
                  <c:v>7.4364304847669184E-5</c:v>
                </c:pt>
                <c:pt idx="525">
                  <c:v>-3.3356041215073032E-5</c:v>
                </c:pt>
                <c:pt idx="526">
                  <c:v>-8.4613590410389426E-5</c:v>
                </c:pt>
                <c:pt idx="527">
                  <c:v>8.5467724663430567E-5</c:v>
                </c:pt>
                <c:pt idx="528">
                  <c:v>-2.083651391448121E-5</c:v>
                </c:pt>
                <c:pt idx="529">
                  <c:v>-6.2410184527106628E-5</c:v>
                </c:pt>
                <c:pt idx="530">
                  <c:v>5.3841400688364712E-6</c:v>
                </c:pt>
                <c:pt idx="531">
                  <c:v>4.6960651535775971E-5</c:v>
                </c:pt>
                <c:pt idx="532">
                  <c:v>-2.1545170621162538E-5</c:v>
                </c:pt>
                <c:pt idx="533">
                  <c:v>-4.3513277476048325E-5</c:v>
                </c:pt>
                <c:pt idx="534">
                  <c:v>-4.5402984377579229E-5</c:v>
                </c:pt>
                <c:pt idx="535">
                  <c:v>7.4600546528667263E-5</c:v>
                </c:pt>
                <c:pt idx="536">
                  <c:v>-3.9970067334786928E-5</c:v>
                </c:pt>
                <c:pt idx="537">
                  <c:v>-9.0254942843062874E-6</c:v>
                </c:pt>
                <c:pt idx="538">
                  <c:v>-5.8630831910173025E-5</c:v>
                </c:pt>
                <c:pt idx="539">
                  <c:v>-1.0965087755408204E-4</c:v>
                </c:pt>
                <c:pt idx="540">
                  <c:v>-1.989163751815316E-5</c:v>
                </c:pt>
                <c:pt idx="541">
                  <c:v>-9.8549516882703815E-5</c:v>
                </c:pt>
                <c:pt idx="542">
                  <c:v>3.1369255569240071E-5</c:v>
                </c:pt>
                <c:pt idx="543">
                  <c:v>2.262873167133207E-5</c:v>
                </c:pt>
                <c:pt idx="544">
                  <c:v>2.8298251912092869E-5</c:v>
                </c:pt>
                <c:pt idx="545">
                  <c:v>7.1293168111896579E-5</c:v>
                </c:pt>
                <c:pt idx="546">
                  <c:v>-1.7035186589049403E-4</c:v>
                </c:pt>
                <c:pt idx="547">
                  <c:v>-5.390662089409663E-5</c:v>
                </c:pt>
                <c:pt idx="548">
                  <c:v>1.6014332335909771E-5</c:v>
                </c:pt>
                <c:pt idx="549">
                  <c:v>-3.2647392944444223E-5</c:v>
                </c:pt>
                <c:pt idx="550">
                  <c:v>5.7591289259128672E-5</c:v>
                </c:pt>
                <c:pt idx="551">
                  <c:v>-6.6425730907956028E-5</c:v>
                </c:pt>
                <c:pt idx="552">
                  <c:v>-1.8474321236381899E-5</c:v>
                </c:pt>
                <c:pt idx="553">
                  <c:v>7.1765650067998077E-5</c:v>
                </c:pt>
                <c:pt idx="554">
                  <c:v>-1.1909874623833202E-4</c:v>
                </c:pt>
                <c:pt idx="555">
                  <c:v>5.7355051627780476E-5</c:v>
                </c:pt>
                <c:pt idx="556">
                  <c:v>2.8298251912092869E-5</c:v>
                </c:pt>
                <c:pt idx="557">
                  <c:v>9.515378810380398E-5</c:v>
                </c:pt>
                <c:pt idx="558">
                  <c:v>-7.6110217079672815E-5</c:v>
                </c:pt>
                <c:pt idx="559">
                  <c:v>8.1451579748312769E-5</c:v>
                </c:pt>
                <c:pt idx="560">
                  <c:v>-1.989163751815316E-5</c:v>
                </c:pt>
                <c:pt idx="561">
                  <c:v>-3.4064688979777626E-5</c:v>
                </c:pt>
                <c:pt idx="562">
                  <c:v>-8.2487753910220641E-5</c:v>
                </c:pt>
                <c:pt idx="563">
                  <c:v>-1.8946760221851939E-5</c:v>
                </c:pt>
                <c:pt idx="564">
                  <c:v>1.0271370819617896E-4</c:v>
                </c:pt>
                <c:pt idx="565">
                  <c:v>4.1054790904423175E-5</c:v>
                </c:pt>
                <c:pt idx="566">
                  <c:v>-1.6584563044795608E-5</c:v>
                </c:pt>
                <c:pt idx="567">
                  <c:v>7.6726724189760077E-5</c:v>
                </c:pt>
                <c:pt idx="568">
                  <c:v>1.0817335220350273E-5</c:v>
                </c:pt>
                <c:pt idx="569">
                  <c:v>-2.0127856701422919E-5</c:v>
                </c:pt>
                <c:pt idx="570">
                  <c:v>4.6754646339393709E-6</c:v>
                </c:pt>
                <c:pt idx="571">
                  <c:v>-3.6190629236768929E-5</c:v>
                </c:pt>
                <c:pt idx="572">
                  <c:v>8.2188468708269726E-6</c:v>
                </c:pt>
                <c:pt idx="573">
                  <c:v>-2.2726264007446749E-5</c:v>
                </c:pt>
                <c:pt idx="574">
                  <c:v>-3.0049011621221028E-5</c:v>
                </c:pt>
                <c:pt idx="575">
                  <c:v>-8.5558405170376616E-5</c:v>
                </c:pt>
                <c:pt idx="576">
                  <c:v>-4.7528900339615426E-5</c:v>
                </c:pt>
                <c:pt idx="577">
                  <c:v>2.7117099190352869E-5</c:v>
                </c:pt>
                <c:pt idx="578">
                  <c:v>2.9715637034289071E-5</c:v>
                </c:pt>
                <c:pt idx="579">
                  <c:v>5.7355051627780476E-5</c:v>
                </c:pt>
                <c:pt idx="580">
                  <c:v>-7.799986189600854E-5</c:v>
                </c:pt>
                <c:pt idx="581">
                  <c:v>-1.1151488194062787E-5</c:v>
                </c:pt>
                <c:pt idx="582">
                  <c:v>3.6330127709901674E-5</c:v>
                </c:pt>
                <c:pt idx="583">
                  <c:v>3.5385197770869669E-5</c:v>
                </c:pt>
                <c:pt idx="584">
                  <c:v>-5.2253141723989731E-5</c:v>
                </c:pt>
                <c:pt idx="585">
                  <c:v>7.4600546528667263E-5</c:v>
                </c:pt>
                <c:pt idx="586">
                  <c:v>5.1212892957310867E-5</c:v>
                </c:pt>
                <c:pt idx="587">
                  <c:v>-7.5165393321998834E-5</c:v>
                </c:pt>
                <c:pt idx="588">
                  <c:v>2.7589560110332575E-5</c:v>
                </c:pt>
                <c:pt idx="589">
                  <c:v>-7.371940315928528E-6</c:v>
                </c:pt>
                <c:pt idx="590">
                  <c:v>5.2394074364032666E-5</c:v>
                </c:pt>
                <c:pt idx="591">
                  <c:v>-1.702591502948828E-6</c:v>
                </c:pt>
                <c:pt idx="592">
                  <c:v>4.5779476597124772E-5</c:v>
                </c:pt>
                <c:pt idx="593">
                  <c:v>6.1607337596596682E-5</c:v>
                </c:pt>
                <c:pt idx="594">
                  <c:v>-2.2490045442652228E-5</c:v>
                </c:pt>
                <c:pt idx="595">
                  <c:v>2.5463487742175773E-5</c:v>
                </c:pt>
                <c:pt idx="596">
                  <c:v>4.3180896682077673E-5</c:v>
                </c:pt>
                <c:pt idx="597">
                  <c:v>-8.553050574545778E-6</c:v>
                </c:pt>
                <c:pt idx="598">
                  <c:v>-8.390497874966564E-5</c:v>
                </c:pt>
                <c:pt idx="599">
                  <c:v>1.9793983699560975E-5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0064"/>
        <c:axId val="67698688"/>
      </c:scatterChart>
      <c:valAx>
        <c:axId val="53280064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79744226602554"/>
              <c:y val="0.877103769849997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698688"/>
        <c:crossesAt val="0"/>
        <c:crossBetween val="midCat"/>
      </c:valAx>
      <c:valAx>
        <c:axId val="67698688"/>
        <c:scaling>
          <c:orientation val="minMax"/>
          <c:max val="1.0000000000000005E-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83 (V)</a:t>
                </a:r>
              </a:p>
            </c:rich>
          </c:tx>
          <c:layout>
            <c:manualLayout>
              <c:xMode val="edge"/>
              <c:yMode val="edge"/>
              <c:x val="3.0568561480150549E-2"/>
              <c:y val="0.3347547618000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280064"/>
        <c:crossesAt val="1"/>
        <c:crossBetween val="midCat"/>
      </c:valAx>
      <c:spPr>
        <a:noFill/>
        <a:ln w="2540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151909077403067"/>
          <c:y val="6.0229454321042729E-2"/>
          <c:w val="0.73772619224483726"/>
          <c:h val="0.73856093601378869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rgbClr val="C00000"/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Data!$BI$67:$BI$1633</c:f>
              <c:numCache>
                <c:formatCode>General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0.70904071878641883</c:v>
                </c:pt>
                <c:pt idx="109">
                  <c:v>0.70876753290562688</c:v>
                </c:pt>
                <c:pt idx="110">
                  <c:v>0.70911440388936076</c:v>
                </c:pt>
                <c:pt idx="111">
                  <c:v>0.70900555075473359</c:v>
                </c:pt>
                <c:pt idx="112">
                  <c:v>0.70883138060184281</c:v>
                </c:pt>
                <c:pt idx="113">
                  <c:v>0.70927715410801384</c:v>
                </c:pt>
                <c:pt idx="114">
                  <c:v>0.70908660572913118</c:v>
                </c:pt>
                <c:pt idx="115">
                  <c:v>0.70870118268485061</c:v>
                </c:pt>
                <c:pt idx="116">
                  <c:v>0.70870835855375147</c:v>
                </c:pt>
                <c:pt idx="117">
                  <c:v>0.7085800766262722</c:v>
                </c:pt>
                <c:pt idx="118">
                  <c:v>0.7091960582844169</c:v>
                </c:pt>
                <c:pt idx="119">
                  <c:v>0.70913050778334619</c:v>
                </c:pt>
                <c:pt idx="120">
                  <c:v>0.70917748588510121</c:v>
                </c:pt>
                <c:pt idx="121">
                  <c:v>0.70910659805648346</c:v>
                </c:pt>
                <c:pt idx="122">
                  <c:v>0.70930076316890556</c:v>
                </c:pt>
                <c:pt idx="123">
                  <c:v>0.7087595605333562</c:v>
                </c:pt>
                <c:pt idx="124">
                  <c:v>0.7085214251122528</c:v>
                </c:pt>
                <c:pt idx="125">
                  <c:v>0.70881327623690005</c:v>
                </c:pt>
                <c:pt idx="126">
                  <c:v>0.70941234106779216</c:v>
                </c:pt>
                <c:pt idx="127">
                  <c:v>0.70830968554041773</c:v>
                </c:pt>
                <c:pt idx="128">
                  <c:v>0.70883122070380178</c:v>
                </c:pt>
                <c:pt idx="129">
                  <c:v>0.7090885683309156</c:v>
                </c:pt>
                <c:pt idx="130">
                  <c:v>0.70872218503914686</c:v>
                </c:pt>
                <c:pt idx="131">
                  <c:v>0.70896673807532407</c:v>
                </c:pt>
                <c:pt idx="132">
                  <c:v>0.70919526445582537</c:v>
                </c:pt>
                <c:pt idx="133">
                  <c:v>0.708495295015239</c:v>
                </c:pt>
                <c:pt idx="134">
                  <c:v>0.70836790039852748</c:v>
                </c:pt>
                <c:pt idx="135">
                  <c:v>0.70871893013963438</c:v>
                </c:pt>
                <c:pt idx="136">
                  <c:v>0.70870189869379385</c:v>
                </c:pt>
                <c:pt idx="137">
                  <c:v>0.70891474350871808</c:v>
                </c:pt>
                <c:pt idx="138">
                  <c:v>0.70923300842203718</c:v>
                </c:pt>
                <c:pt idx="139">
                  <c:v>0.70882474500031878</c:v>
                </c:pt>
                <c:pt idx="140">
                  <c:v>0.70912887934814905</c:v>
                </c:pt>
                <c:pt idx="141">
                  <c:v>0.70924176602794708</c:v>
                </c:pt>
                <c:pt idx="142">
                  <c:v>0.70899697105970205</c:v>
                </c:pt>
                <c:pt idx="143">
                  <c:v>0.70836066515811991</c:v>
                </c:pt>
                <c:pt idx="144">
                  <c:v>0.70856636647962046</c:v>
                </c:pt>
                <c:pt idx="145">
                  <c:v>0.70904545637665517</c:v>
                </c:pt>
                <c:pt idx="146">
                  <c:v>0.70835943350454733</c:v>
                </c:pt>
                <c:pt idx="147">
                  <c:v>0.70887508464826221</c:v>
                </c:pt>
                <c:pt idx="148">
                  <c:v>0.70871108569043628</c:v>
                </c:pt>
                <c:pt idx="149">
                  <c:v>0.70865509172315588</c:v>
                </c:pt>
                <c:pt idx="150">
                  <c:v>0.7088004448051497</c:v>
                </c:pt>
                <c:pt idx="151">
                  <c:v>0.70838623538872536</c:v>
                </c:pt>
                <c:pt idx="152">
                  <c:v>0.70900684621872301</c:v>
                </c:pt>
                <c:pt idx="153">
                  <c:v>0.7089952612326279</c:v>
                </c:pt>
                <c:pt idx="154">
                  <c:v>0.70925379239474995</c:v>
                </c:pt>
                <c:pt idx="155">
                  <c:v>0.7085119584700269</c:v>
                </c:pt>
                <c:pt idx="156">
                  <c:v>0.70843856224270274</c:v>
                </c:pt>
                <c:pt idx="157">
                  <c:v>0.7080525650557955</c:v>
                </c:pt>
                <c:pt idx="158">
                  <c:v>0.70861316888661707</c:v>
                </c:pt>
                <c:pt idx="159">
                  <c:v>0.70897065668356252</c:v>
                </c:pt>
                <c:pt idx="160">
                  <c:v>0.7085332562905905</c:v>
                </c:pt>
                <c:pt idx="161">
                  <c:v>0.70852547109636843</c:v>
                </c:pt>
                <c:pt idx="162">
                  <c:v>0.70874238330435801</c:v>
                </c:pt>
                <c:pt idx="163">
                  <c:v>0.70888065469404593</c:v>
                </c:pt>
                <c:pt idx="164">
                  <c:v>0.70868823546481496</c:v>
                </c:pt>
                <c:pt idx="165">
                  <c:v>0.70868073301932744</c:v>
                </c:pt>
                <c:pt idx="166">
                  <c:v>0.70920545361037435</c:v>
                </c:pt>
                <c:pt idx="167">
                  <c:v>0.70813115922908221</c:v>
                </c:pt>
                <c:pt idx="168">
                  <c:v>0.70816260961729227</c:v>
                </c:pt>
                <c:pt idx="169">
                  <c:v>0.70844448215026146</c:v>
                </c:pt>
                <c:pt idx="170">
                  <c:v>0.70883971881665908</c:v>
                </c:pt>
                <c:pt idx="171">
                  <c:v>0.70897086316544677</c:v>
                </c:pt>
                <c:pt idx="172">
                  <c:v>0.70830780802024629</c:v>
                </c:pt>
                <c:pt idx="173">
                  <c:v>0.70850206833626106</c:v>
                </c:pt>
                <c:pt idx="174">
                  <c:v>#N/A</c:v>
                </c:pt>
                <c:pt idx="175">
                  <c:v>0.70903015174738726</c:v>
                </c:pt>
                <c:pt idx="176">
                  <c:v>0.70792861534774787</c:v>
                </c:pt>
                <c:pt idx="177">
                  <c:v>0.70921856499589653</c:v>
                </c:pt>
                <c:pt idx="178">
                  <c:v>0.70881989043324267</c:v>
                </c:pt>
                <c:pt idx="179">
                  <c:v>0.70850970205271113</c:v>
                </c:pt>
                <c:pt idx="180">
                  <c:v>0.70878485559789539</c:v>
                </c:pt>
                <c:pt idx="181">
                  <c:v>0.70869466471007936</c:v>
                </c:pt>
                <c:pt idx="182">
                  <c:v>0.70860642098269888</c:v>
                </c:pt>
                <c:pt idx="183">
                  <c:v>0.70838123304870559</c:v>
                </c:pt>
                <c:pt idx="184">
                  <c:v>0.70838747957477888</c:v>
                </c:pt>
                <c:pt idx="185">
                  <c:v>0.70877352347263256</c:v>
                </c:pt>
                <c:pt idx="186">
                  <c:v>0.7083320316956313</c:v>
                </c:pt>
                <c:pt idx="187">
                  <c:v>0.7086451415217313</c:v>
                </c:pt>
                <c:pt idx="188">
                  <c:v>0.7090129517081899</c:v>
                </c:pt>
                <c:pt idx="189">
                  <c:v>0.70821995637841262</c:v>
                </c:pt>
                <c:pt idx="190">
                  <c:v>0.70856941925954076</c:v>
                </c:pt>
                <c:pt idx="191">
                  <c:v>0.70844992140774332</c:v>
                </c:pt>
                <c:pt idx="192">
                  <c:v>0.70881047423588184</c:v>
                </c:pt>
                <c:pt idx="193">
                  <c:v>0.70833075121124423</c:v>
                </c:pt>
                <c:pt idx="194">
                  <c:v>0.70858142120422352</c:v>
                </c:pt>
                <c:pt idx="195">
                  <c:v>0.70929944046838866</c:v>
                </c:pt>
                <c:pt idx="196">
                  <c:v>0.70808459959010772</c:v>
                </c:pt>
                <c:pt idx="197">
                  <c:v>0.70818230672481175</c:v>
                </c:pt>
                <c:pt idx="198">
                  <c:v>0.70861335498421318</c:v>
                </c:pt>
                <c:pt idx="199">
                  <c:v>0.70853835351351913</c:v>
                </c:pt>
                <c:pt idx="200">
                  <c:v>0.70850001169072574</c:v>
                </c:pt>
                <c:pt idx="201">
                  <c:v>0.70922876206341312</c:v>
                </c:pt>
                <c:pt idx="202">
                  <c:v>0.70883387191738823</c:v>
                </c:pt>
                <c:pt idx="203">
                  <c:v>0.70875615161648986</c:v>
                </c:pt>
                <c:pt idx="204">
                  <c:v>0.70851777772754831</c:v>
                </c:pt>
                <c:pt idx="205">
                  <c:v>0.70848874359436964</c:v>
                </c:pt>
                <c:pt idx="206">
                  <c:v>0.7091718371949397</c:v>
                </c:pt>
                <c:pt idx="207">
                  <c:v>0.70845788201415583</c:v>
                </c:pt>
                <c:pt idx="208">
                  <c:v>0.70864513744683666</c:v>
                </c:pt>
                <c:pt idx="209">
                  <c:v>0.70852436821035258</c:v>
                </c:pt>
                <c:pt idx="210">
                  <c:v>0.70889451718862639</c:v>
                </c:pt>
                <c:pt idx="211">
                  <c:v>0.708179833693796</c:v>
                </c:pt>
                <c:pt idx="212">
                  <c:v>0.70917757234747769</c:v>
                </c:pt>
                <c:pt idx="213">
                  <c:v>0.70807977341160944</c:v>
                </c:pt>
                <c:pt idx="214">
                  <c:v>0.708776935923219</c:v>
                </c:pt>
                <c:pt idx="215">
                  <c:v>0.70927090753047339</c:v>
                </c:pt>
                <c:pt idx="216">
                  <c:v>0.70836661806248358</c:v>
                </c:pt>
                <c:pt idx="217">
                  <c:v>0.70875038188001804</c:v>
                </c:pt>
                <c:pt idx="218">
                  <c:v>0.70894753258418841</c:v>
                </c:pt>
                <c:pt idx="219">
                  <c:v>0.7084704611955196</c:v>
                </c:pt>
                <c:pt idx="220">
                  <c:v>0.70932802303579923</c:v>
                </c:pt>
                <c:pt idx="221">
                  <c:v>0.70867572294664893</c:v>
                </c:pt>
                <c:pt idx="222">
                  <c:v>0.7082672530826517</c:v>
                </c:pt>
                <c:pt idx="223">
                  <c:v>0.70885041441202401</c:v>
                </c:pt>
                <c:pt idx="224">
                  <c:v>0.70819873579746839</c:v>
                </c:pt>
                <c:pt idx="225">
                  <c:v>0.70904778175577832</c:v>
                </c:pt>
                <c:pt idx="226">
                  <c:v>0.70912005589029736</c:v>
                </c:pt>
                <c:pt idx="227">
                  <c:v>0.70906299662477812</c:v>
                </c:pt>
                <c:pt idx="228">
                  <c:v>0.70793945386158774</c:v>
                </c:pt>
                <c:pt idx="229">
                  <c:v>0.7086703468912634</c:v>
                </c:pt>
                <c:pt idx="230">
                  <c:v>0.70831895005302026</c:v>
                </c:pt>
                <c:pt idx="231">
                  <c:v>0.70837831460439826</c:v>
                </c:pt>
                <c:pt idx="232">
                  <c:v>0.70889082458885977</c:v>
                </c:pt>
                <c:pt idx="233">
                  <c:v>0.70899622349709635</c:v>
                </c:pt>
                <c:pt idx="234">
                  <c:v>0.70821979517462919</c:v>
                </c:pt>
                <c:pt idx="235">
                  <c:v>0.70895253239274003</c:v>
                </c:pt>
                <c:pt idx="236">
                  <c:v>0.70845219385334945</c:v>
                </c:pt>
                <c:pt idx="237">
                  <c:v>0.70849563819601835</c:v>
                </c:pt>
                <c:pt idx="238">
                  <c:v>0.70882097646019149</c:v>
                </c:pt>
                <c:pt idx="239">
                  <c:v>0.7080987197496903</c:v>
                </c:pt>
                <c:pt idx="240">
                  <c:v>0.70842872874252572</c:v>
                </c:pt>
                <c:pt idx="241">
                  <c:v>0.70801270268518235</c:v>
                </c:pt>
                <c:pt idx="242">
                  <c:v>0.70890104074992133</c:v>
                </c:pt>
                <c:pt idx="243">
                  <c:v>0.70870731305130719</c:v>
                </c:pt>
                <c:pt idx="244">
                  <c:v>0.70858973757913235</c:v>
                </c:pt>
                <c:pt idx="245">
                  <c:v>0.70915538578336368</c:v>
                </c:pt>
                <c:pt idx="246">
                  <c:v>0.70824188605655425</c:v>
                </c:pt>
                <c:pt idx="247">
                  <c:v>0.70868467207935215</c:v>
                </c:pt>
                <c:pt idx="248">
                  <c:v>0.70839624145060376</c:v>
                </c:pt>
                <c:pt idx="249">
                  <c:v>0.70882482681661274</c:v>
                </c:pt>
                <c:pt idx="250">
                  <c:v>#N/A</c:v>
                </c:pt>
                <c:pt idx="251">
                  <c:v>#N/A</c:v>
                </c:pt>
                <c:pt idx="252">
                  <c:v>0.70840384377062082</c:v>
                </c:pt>
                <c:pt idx="253">
                  <c:v>0.70886459320917539</c:v>
                </c:pt>
                <c:pt idx="254">
                  <c:v>0.70861024767943337</c:v>
                </c:pt>
                <c:pt idx="255">
                  <c:v>0.70871494718284134</c:v>
                </c:pt>
                <c:pt idx="256">
                  <c:v>0.70854864912617166</c:v>
                </c:pt>
                <c:pt idx="257">
                  <c:v>0.70844776964449618</c:v>
                </c:pt>
                <c:pt idx="258">
                  <c:v>0.70926688250192038</c:v>
                </c:pt>
                <c:pt idx="259">
                  <c:v>0.70899177497273447</c:v>
                </c:pt>
                <c:pt idx="260">
                  <c:v>0.70849248901465967</c:v>
                </c:pt>
                <c:pt idx="261">
                  <c:v>0.70842209120491972</c:v>
                </c:pt>
                <c:pt idx="262">
                  <c:v>0.70899460034194728</c:v>
                </c:pt>
                <c:pt idx="263">
                  <c:v>0.70913382401036318</c:v>
                </c:pt>
                <c:pt idx="264">
                  <c:v>0.70871039392402846</c:v>
                </c:pt>
                <c:pt idx="265">
                  <c:v>0.70848350712422092</c:v>
                </c:pt>
                <c:pt idx="266">
                  <c:v>0.70880473299554791</c:v>
                </c:pt>
                <c:pt idx="267">
                  <c:v>0.70868007347755646</c:v>
                </c:pt>
                <c:pt idx="268">
                  <c:v>0.70842772257548925</c:v>
                </c:pt>
                <c:pt idx="269">
                  <c:v>0.70909342497082162</c:v>
                </c:pt>
                <c:pt idx="270">
                  <c:v>0.70863214591704238</c:v>
                </c:pt>
                <c:pt idx="271">
                  <c:v>0.70834620534884241</c:v>
                </c:pt>
                <c:pt idx="272">
                  <c:v>0.7089023924817287</c:v>
                </c:pt>
                <c:pt idx="273">
                  <c:v>0.70875894495717306</c:v>
                </c:pt>
                <c:pt idx="274">
                  <c:v>0.70919686956108563</c:v>
                </c:pt>
                <c:pt idx="275">
                  <c:v>0.70880825663185354</c:v>
                </c:pt>
                <c:pt idx="276">
                  <c:v>0.70850797035983704</c:v>
                </c:pt>
                <c:pt idx="277">
                  <c:v>0.70845816879986234</c:v>
                </c:pt>
                <c:pt idx="278">
                  <c:v>0.70869889964876231</c:v>
                </c:pt>
                <c:pt idx="279">
                  <c:v>0.70897099309617517</c:v>
                </c:pt>
                <c:pt idx="280">
                  <c:v>0.70903949430636748</c:v>
                </c:pt>
                <c:pt idx="281">
                  <c:v>#N/A</c:v>
                </c:pt>
                <c:pt idx="282">
                  <c:v>0.70863199090762596</c:v>
                </c:pt>
                <c:pt idx="283">
                  <c:v>0.70925228019101061</c:v>
                </c:pt>
                <c:pt idx="284">
                  <c:v>#N/A</c:v>
                </c:pt>
                <c:pt idx="285">
                  <c:v>0.7087923049978706</c:v>
                </c:pt>
                <c:pt idx="286">
                  <c:v>0.70877657612155476</c:v>
                </c:pt>
                <c:pt idx="287">
                  <c:v>0.70910196483431587</c:v>
                </c:pt>
                <c:pt idx="288">
                  <c:v>0.70881350119096742</c:v>
                </c:pt>
                <c:pt idx="289">
                  <c:v>0.70881789672143458</c:v>
                </c:pt>
                <c:pt idx="290">
                  <c:v>0.70850598379669916</c:v>
                </c:pt>
                <c:pt idx="291">
                  <c:v>0.7083741857631406</c:v>
                </c:pt>
                <c:pt idx="292">
                  <c:v>0.70786393437608752</c:v>
                </c:pt>
                <c:pt idx="293">
                  <c:v>0.70908433901860324</c:v>
                </c:pt>
                <c:pt idx="294">
                  <c:v>0.70808043710953661</c:v>
                </c:pt>
                <c:pt idx="295">
                  <c:v>0.70902255875468501</c:v>
                </c:pt>
                <c:pt idx="296">
                  <c:v>0.7088762760407612</c:v>
                </c:pt>
                <c:pt idx="297">
                  <c:v>0.7084220765181497</c:v>
                </c:pt>
                <c:pt idx="298">
                  <c:v>0.70867484165759564</c:v>
                </c:pt>
                <c:pt idx="299">
                  <c:v>0.70819929161786832</c:v>
                </c:pt>
                <c:pt idx="300">
                  <c:v>0.70834950296642485</c:v>
                </c:pt>
                <c:pt idx="301">
                  <c:v>0.70871034843789527</c:v>
                </c:pt>
                <c:pt idx="302">
                  <c:v>0.70803569177672165</c:v>
                </c:pt>
                <c:pt idx="303">
                  <c:v>0.70795383723814687</c:v>
                </c:pt>
                <c:pt idx="304">
                  <c:v>0.70889550822591951</c:v>
                </c:pt>
                <c:pt idx="305">
                  <c:v>0.70854360322582166</c:v>
                </c:pt>
                <c:pt idx="306">
                  <c:v>0.70890239939086652</c:v>
                </c:pt>
                <c:pt idx="307">
                  <c:v>0.70904096204333011</c:v>
                </c:pt>
                <c:pt idx="308">
                  <c:v>0.7086551245276369</c:v>
                </c:pt>
                <c:pt idx="309">
                  <c:v>0.70791880560394427</c:v>
                </c:pt>
                <c:pt idx="310">
                  <c:v>0.70840655899319904</c:v>
                </c:pt>
                <c:pt idx="311">
                  <c:v>0.70849958558485859</c:v>
                </c:pt>
                <c:pt idx="312">
                  <c:v>#N/A</c:v>
                </c:pt>
                <c:pt idx="313">
                  <c:v>0.70822680506155933</c:v>
                </c:pt>
                <c:pt idx="314">
                  <c:v>0.70943954134578524</c:v>
                </c:pt>
                <c:pt idx="315">
                  <c:v>0.70785061961455276</c:v>
                </c:pt>
                <c:pt idx="316">
                  <c:v>0.70836971555198602</c:v>
                </c:pt>
                <c:pt idx="317">
                  <c:v>0.70858037774770322</c:v>
                </c:pt>
                <c:pt idx="318">
                  <c:v>0.70847325692155216</c:v>
                </c:pt>
                <c:pt idx="319">
                  <c:v>0.70799090473851001</c:v>
                </c:pt>
                <c:pt idx="320">
                  <c:v>0.70844278145318429</c:v>
                </c:pt>
                <c:pt idx="321">
                  <c:v>0.70814474475629263</c:v>
                </c:pt>
                <c:pt idx="322">
                  <c:v>0.70881256414804572</c:v>
                </c:pt>
                <c:pt idx="323">
                  <c:v>0.70845916956114341</c:v>
                </c:pt>
                <c:pt idx="324">
                  <c:v>0.70881394692159494</c:v>
                </c:pt>
                <c:pt idx="325">
                  <c:v>0.70822255483822194</c:v>
                </c:pt>
                <c:pt idx="326">
                  <c:v>0.70888244790015509</c:v>
                </c:pt>
                <c:pt idx="327">
                  <c:v>0.70845277690885389</c:v>
                </c:pt>
                <c:pt idx="328">
                  <c:v>0.70845567238926099</c:v>
                </c:pt>
                <c:pt idx="329">
                  <c:v>0.70892560052747644</c:v>
                </c:pt>
                <c:pt idx="330">
                  <c:v>0.70853416072761988</c:v>
                </c:pt>
                <c:pt idx="331">
                  <c:v>0.70857920259752549</c:v>
                </c:pt>
                <c:pt idx="332">
                  <c:v>0.70849793532401517</c:v>
                </c:pt>
                <c:pt idx="333">
                  <c:v>0.7086526749510732</c:v>
                </c:pt>
                <c:pt idx="334">
                  <c:v>0.70905703014084809</c:v>
                </c:pt>
                <c:pt idx="335">
                  <c:v>0.70928078939595662</c:v>
                </c:pt>
                <c:pt idx="336">
                  <c:v>0.70844184345969763</c:v>
                </c:pt>
                <c:pt idx="337">
                  <c:v>0.70916792416020813</c:v>
                </c:pt>
                <c:pt idx="338">
                  <c:v>0.70919005712330929</c:v>
                </c:pt>
                <c:pt idx="339">
                  <c:v>0.70862099162600334</c:v>
                </c:pt>
                <c:pt idx="340">
                  <c:v>0.70818953610824009</c:v>
                </c:pt>
                <c:pt idx="341">
                  <c:v>0.70886929098066553</c:v>
                </c:pt>
                <c:pt idx="342">
                  <c:v>0.70823453427143446</c:v>
                </c:pt>
                <c:pt idx="343">
                  <c:v>0.70864101746212782</c:v>
                </c:pt>
                <c:pt idx="344">
                  <c:v>0.70855430494599292</c:v>
                </c:pt>
                <c:pt idx="345">
                  <c:v>0.70871186418486343</c:v>
                </c:pt>
                <c:pt idx="346">
                  <c:v>0.70914279757817478</c:v>
                </c:pt>
                <c:pt idx="347">
                  <c:v>0.7089910182383119</c:v>
                </c:pt>
                <c:pt idx="348">
                  <c:v>0.70839006697864437</c:v>
                </c:pt>
                <c:pt idx="349">
                  <c:v>0.70860553543768445</c:v>
                </c:pt>
                <c:pt idx="350">
                  <c:v>0.70852253939101717</c:v>
                </c:pt>
                <c:pt idx="351">
                  <c:v>0.70833031984597339</c:v>
                </c:pt>
                <c:pt idx="352">
                  <c:v>0.70882350580450859</c:v>
                </c:pt>
                <c:pt idx="353">
                  <c:v>0.7081605622435142</c:v>
                </c:pt>
                <c:pt idx="354">
                  <c:v>0.70790679986131244</c:v>
                </c:pt>
                <c:pt idx="355">
                  <c:v>0.70878729435171017</c:v>
                </c:pt>
                <c:pt idx="356">
                  <c:v>0.70880407581877092</c:v>
                </c:pt>
                <c:pt idx="357">
                  <c:v>0.70900236055343713</c:v>
                </c:pt>
                <c:pt idx="358">
                  <c:v>0.70829614144814057</c:v>
                </c:pt>
                <c:pt idx="359">
                  <c:v>0.70834083185014352</c:v>
                </c:pt>
                <c:pt idx="360">
                  <c:v>0.70854427314976931</c:v>
                </c:pt>
                <c:pt idx="361">
                  <c:v>0.70840485652836627</c:v>
                </c:pt>
                <c:pt idx="362">
                  <c:v>0.7087701347029004</c:v>
                </c:pt>
                <c:pt idx="363">
                  <c:v>0.70889893347432176</c:v>
                </c:pt>
                <c:pt idx="364">
                  <c:v>0.70847488052095675</c:v>
                </c:pt>
                <c:pt idx="365">
                  <c:v>0.709049172183154</c:v>
                </c:pt>
                <c:pt idx="366">
                  <c:v>#N/A</c:v>
                </c:pt>
                <c:pt idx="367">
                  <c:v>0.70871506427003317</c:v>
                </c:pt>
                <c:pt idx="368">
                  <c:v>#N/A</c:v>
                </c:pt>
                <c:pt idx="369">
                  <c:v>0.70859211688875068</c:v>
                </c:pt>
                <c:pt idx="370">
                  <c:v>0.70917865560617299</c:v>
                </c:pt>
                <c:pt idx="371">
                  <c:v>0.70856305939404651</c:v>
                </c:pt>
                <c:pt idx="372">
                  <c:v>0.70931681875785935</c:v>
                </c:pt>
                <c:pt idx="373">
                  <c:v>0.70906545004780064</c:v>
                </c:pt>
                <c:pt idx="374">
                  <c:v>0.70784167573970003</c:v>
                </c:pt>
                <c:pt idx="375">
                  <c:v>0.70848136611186252</c:v>
                </c:pt>
                <c:pt idx="376">
                  <c:v>0.70876504816049068</c:v>
                </c:pt>
                <c:pt idx="377">
                  <c:v>0.70935091438376463</c:v>
                </c:pt>
                <c:pt idx="378">
                  <c:v>0.70797659178668038</c:v>
                </c:pt>
                <c:pt idx="379">
                  <c:v>0.70811517684617853</c:v>
                </c:pt>
                <c:pt idx="380">
                  <c:v>0.70860533306399553</c:v>
                </c:pt>
                <c:pt idx="381">
                  <c:v>0.70795928167809496</c:v>
                </c:pt>
                <c:pt idx="382">
                  <c:v>0.70811065924535643</c:v>
                </c:pt>
                <c:pt idx="383">
                  <c:v>0.70878721163303327</c:v>
                </c:pt>
                <c:pt idx="384">
                  <c:v>#N/A</c:v>
                </c:pt>
                <c:pt idx="385">
                  <c:v>0.70887382370692298</c:v>
                </c:pt>
                <c:pt idx="386">
                  <c:v>0.70874648768524384</c:v>
                </c:pt>
                <c:pt idx="387">
                  <c:v>0.7089544440439719</c:v>
                </c:pt>
                <c:pt idx="388">
                  <c:v>0.70923025057680278</c:v>
                </c:pt>
                <c:pt idx="389">
                  <c:v>0.70865043607704936</c:v>
                </c:pt>
                <c:pt idx="390">
                  <c:v>0.7083695467860438</c:v>
                </c:pt>
                <c:pt idx="391">
                  <c:v>0.70831012222984879</c:v>
                </c:pt>
                <c:pt idx="392">
                  <c:v>0.70874795767469823</c:v>
                </c:pt>
                <c:pt idx="393">
                  <c:v>0.70889226873627753</c:v>
                </c:pt>
                <c:pt idx="394">
                  <c:v>#N/A</c:v>
                </c:pt>
                <c:pt idx="395">
                  <c:v>0.70912167092138934</c:v>
                </c:pt>
                <c:pt idx="396">
                  <c:v>0.70900994812867901</c:v>
                </c:pt>
                <c:pt idx="397">
                  <c:v>#N/A</c:v>
                </c:pt>
                <c:pt idx="398">
                  <c:v>0.708359105731595</c:v>
                </c:pt>
                <c:pt idx="399">
                  <c:v>0.70859558471839668</c:v>
                </c:pt>
                <c:pt idx="400">
                  <c:v>0.70842601397584848</c:v>
                </c:pt>
                <c:pt idx="401">
                  <c:v>0.70934554925094928</c:v>
                </c:pt>
                <c:pt idx="402">
                  <c:v>0.70825027582377575</c:v>
                </c:pt>
                <c:pt idx="403">
                  <c:v>0.70855762175839165</c:v>
                </c:pt>
                <c:pt idx="404">
                  <c:v>0.70784124507782675</c:v>
                </c:pt>
                <c:pt idx="405">
                  <c:v>0.70919136096985513</c:v>
                </c:pt>
                <c:pt idx="406">
                  <c:v>0.70891815231722821</c:v>
                </c:pt>
                <c:pt idx="407">
                  <c:v>0.70907960819142113</c:v>
                </c:pt>
                <c:pt idx="408">
                  <c:v>#N/A</c:v>
                </c:pt>
                <c:pt idx="409">
                  <c:v>0.70928198912399487</c:v>
                </c:pt>
                <c:pt idx="410">
                  <c:v>0.70853812746077738</c:v>
                </c:pt>
                <c:pt idx="411">
                  <c:v>0.70801831319867703</c:v>
                </c:pt>
                <c:pt idx="412">
                  <c:v>0.7083904871823633</c:v>
                </c:pt>
                <c:pt idx="413">
                  <c:v>0.70850790391426632</c:v>
                </c:pt>
                <c:pt idx="414">
                  <c:v>0.70821615213614253</c:v>
                </c:pt>
                <c:pt idx="415">
                  <c:v>0.70877159329834116</c:v>
                </c:pt>
                <c:pt idx="416">
                  <c:v>0.70887564199780961</c:v>
                </c:pt>
                <c:pt idx="417">
                  <c:v>0.70883386652398628</c:v>
                </c:pt>
                <c:pt idx="418">
                  <c:v>0.70808953428508647</c:v>
                </c:pt>
                <c:pt idx="419">
                  <c:v>0.70871241175807198</c:v>
                </c:pt>
                <c:pt idx="420">
                  <c:v>0.70913357729819892</c:v>
                </c:pt>
                <c:pt idx="421">
                  <c:v>0.70935678113965106</c:v>
                </c:pt>
                <c:pt idx="422">
                  <c:v>0.708803303936833</c:v>
                </c:pt>
                <c:pt idx="423">
                  <c:v>0.70884706025189992</c:v>
                </c:pt>
                <c:pt idx="424">
                  <c:v>0.70848007403630886</c:v>
                </c:pt>
                <c:pt idx="425">
                  <c:v>0.70872653023631005</c:v>
                </c:pt>
                <c:pt idx="426">
                  <c:v>0.70847997136667551</c:v>
                </c:pt>
                <c:pt idx="427">
                  <c:v>0.70833680240029184</c:v>
                </c:pt>
                <c:pt idx="428">
                  <c:v>#N/A</c:v>
                </c:pt>
                <c:pt idx="429">
                  <c:v>0.70879887045327528</c:v>
                </c:pt>
                <c:pt idx="430">
                  <c:v>0.70864771726916242</c:v>
                </c:pt>
                <c:pt idx="431">
                  <c:v>0.70913915368913039</c:v>
                </c:pt>
                <c:pt idx="432">
                  <c:v>0.7087114897618676</c:v>
                </c:pt>
                <c:pt idx="433">
                  <c:v>0.70928100610862777</c:v>
                </c:pt>
                <c:pt idx="434">
                  <c:v>0.70849230419438103</c:v>
                </c:pt>
                <c:pt idx="435">
                  <c:v>0.70912079091416469</c:v>
                </c:pt>
                <c:pt idx="436">
                  <c:v>#N/A</c:v>
                </c:pt>
                <c:pt idx="437">
                  <c:v>0.7084245751738244</c:v>
                </c:pt>
                <c:pt idx="438">
                  <c:v>0.70901784578445659</c:v>
                </c:pt>
                <c:pt idx="439">
                  <c:v>0.70881154240787081</c:v>
                </c:pt>
                <c:pt idx="440">
                  <c:v>0.70875444887569061</c:v>
                </c:pt>
                <c:pt idx="441">
                  <c:v>0.70895311347686163</c:v>
                </c:pt>
                <c:pt idx="442">
                  <c:v>0.7091279551706654</c:v>
                </c:pt>
                <c:pt idx="443">
                  <c:v>0.70784508338876384</c:v>
                </c:pt>
                <c:pt idx="444">
                  <c:v>0.70882320893939388</c:v>
                </c:pt>
                <c:pt idx="445">
                  <c:v>0.70844302064527909</c:v>
                </c:pt>
                <c:pt idx="446">
                  <c:v>0.70886698256447378</c:v>
                </c:pt>
                <c:pt idx="447">
                  <c:v>0.70822394747213935</c:v>
                </c:pt>
                <c:pt idx="448">
                  <c:v>0.7084153591793062</c:v>
                </c:pt>
                <c:pt idx="449">
                  <c:v>0.70901410037850199</c:v>
                </c:pt>
                <c:pt idx="450">
                  <c:v>0.70806686175138145</c:v>
                </c:pt>
                <c:pt idx="451">
                  <c:v>0.70909165245452577</c:v>
                </c:pt>
                <c:pt idx="452">
                  <c:v>0.7090701462143465</c:v>
                </c:pt>
                <c:pt idx="453">
                  <c:v>0.70896061870141724</c:v>
                </c:pt>
                <c:pt idx="454">
                  <c:v>0.70893932343305499</c:v>
                </c:pt>
                <c:pt idx="455">
                  <c:v>0.70885651735951283</c:v>
                </c:pt>
                <c:pt idx="456">
                  <c:v>0.70860323568843497</c:v>
                </c:pt>
                <c:pt idx="457">
                  <c:v>0.70887505772086346</c:v>
                </c:pt>
                <c:pt idx="458">
                  <c:v>0.70905493875805148</c:v>
                </c:pt>
                <c:pt idx="459">
                  <c:v>0.70844243069401469</c:v>
                </c:pt>
                <c:pt idx="460">
                  <c:v>0.70882119739779426</c:v>
                </c:pt>
                <c:pt idx="461">
                  <c:v>0.70905421896351151</c:v>
                </c:pt>
                <c:pt idx="462">
                  <c:v>0.70900206924063858</c:v>
                </c:pt>
                <c:pt idx="463">
                  <c:v>#N/A</c:v>
                </c:pt>
                <c:pt idx="464">
                  <c:v>0.70841196276817042</c:v>
                </c:pt>
                <c:pt idx="465">
                  <c:v>0.70882439282196574</c:v>
                </c:pt>
                <c:pt idx="466">
                  <c:v>0.70779987780793896</c:v>
                </c:pt>
                <c:pt idx="467">
                  <c:v>#N/A</c:v>
                </c:pt>
                <c:pt idx="468">
                  <c:v>0.70867532841348879</c:v>
                </c:pt>
                <c:pt idx="469">
                  <c:v>#N/A</c:v>
                </c:pt>
                <c:pt idx="470">
                  <c:v>0.70889460405634841</c:v>
                </c:pt>
                <c:pt idx="471">
                  <c:v>0.70910460073264359</c:v>
                </c:pt>
                <c:pt idx="472">
                  <c:v>0.708220175786754</c:v>
                </c:pt>
                <c:pt idx="473">
                  <c:v>0.7082130706089097</c:v>
                </c:pt>
                <c:pt idx="474">
                  <c:v>0.70930118523089603</c:v>
                </c:pt>
                <c:pt idx="475">
                  <c:v>0.70887026109946794</c:v>
                </c:pt>
                <c:pt idx="476">
                  <c:v>0.70893667591090226</c:v>
                </c:pt>
                <c:pt idx="477">
                  <c:v>0.7093887659060728</c:v>
                </c:pt>
                <c:pt idx="478">
                  <c:v>0.70828530447048388</c:v>
                </c:pt>
                <c:pt idx="479">
                  <c:v>0.70821831679467784</c:v>
                </c:pt>
                <c:pt idx="480">
                  <c:v>0.70829811163270751</c:v>
                </c:pt>
                <c:pt idx="481">
                  <c:v>0.70841828193482681</c:v>
                </c:pt>
                <c:pt idx="482">
                  <c:v>0.70876295449270665</c:v>
                </c:pt>
                <c:pt idx="483">
                  <c:v>0.70928753046695125</c:v>
                </c:pt>
                <c:pt idx="484">
                  <c:v>0.70884682401633725</c:v>
                </c:pt>
                <c:pt idx="485">
                  <c:v>0.7086545316960543</c:v>
                </c:pt>
                <c:pt idx="486">
                  <c:v>0.70880909342549103</c:v>
                </c:pt>
                <c:pt idx="487">
                  <c:v>0.70867047770781066</c:v>
                </c:pt>
                <c:pt idx="488">
                  <c:v>0.70871008474304065</c:v>
                </c:pt>
                <c:pt idx="489">
                  <c:v>0.70852634602194009</c:v>
                </c:pt>
                <c:pt idx="490">
                  <c:v>0.70845880854430243</c:v>
                </c:pt>
                <c:pt idx="491">
                  <c:v>0.7078797065950384</c:v>
                </c:pt>
                <c:pt idx="492">
                  <c:v>0.7088477925762886</c:v>
                </c:pt>
                <c:pt idx="493">
                  <c:v>0.70867676332437224</c:v>
                </c:pt>
                <c:pt idx="494">
                  <c:v>0.70854756087386883</c:v>
                </c:pt>
                <c:pt idx="495">
                  <c:v>#N/A</c:v>
                </c:pt>
                <c:pt idx="496">
                  <c:v>0.70831968861605299</c:v>
                </c:pt>
                <c:pt idx="497">
                  <c:v>0.7089775584226744</c:v>
                </c:pt>
                <c:pt idx="498">
                  <c:v>0.70903262461169281</c:v>
                </c:pt>
                <c:pt idx="499">
                  <c:v>0.7086992677557683</c:v>
                </c:pt>
                <c:pt idx="500">
                  <c:v>0.70852529710266332</c:v>
                </c:pt>
                <c:pt idx="501">
                  <c:v>#N/A</c:v>
                </c:pt>
                <c:pt idx="502">
                  <c:v>0.70928654153145121</c:v>
                </c:pt>
                <c:pt idx="503">
                  <c:v>0.70857228156840923</c:v>
                </c:pt>
                <c:pt idx="504">
                  <c:v>0.70893488564170792</c:v>
                </c:pt>
                <c:pt idx="505">
                  <c:v>0.70859157365766845</c:v>
                </c:pt>
                <c:pt idx="506">
                  <c:v>0.70871781011027823</c:v>
                </c:pt>
                <c:pt idx="507">
                  <c:v>0.7083684322514423</c:v>
                </c:pt>
                <c:pt idx="508">
                  <c:v>0.7091831918415954</c:v>
                </c:pt>
                <c:pt idx="509">
                  <c:v>0.70837910537958304</c:v>
                </c:pt>
                <c:pt idx="510">
                  <c:v>0.70806412931741791</c:v>
                </c:pt>
                <c:pt idx="511">
                  <c:v>0.70828161803367462</c:v>
                </c:pt>
                <c:pt idx="512">
                  <c:v>0.7090227705016261</c:v>
                </c:pt>
                <c:pt idx="513">
                  <c:v>0.70826700318239921</c:v>
                </c:pt>
                <c:pt idx="514">
                  <c:v>0.70865186451048323</c:v>
                </c:pt>
                <c:pt idx="515">
                  <c:v>0.70914450534255291</c:v>
                </c:pt>
                <c:pt idx="516">
                  <c:v>0.70920491267378194</c:v>
                </c:pt>
                <c:pt idx="517">
                  <c:v>0.70852927342604588</c:v>
                </c:pt>
                <c:pt idx="518">
                  <c:v>#N/A</c:v>
                </c:pt>
                <c:pt idx="519">
                  <c:v>0.70925352355633864</c:v>
                </c:pt>
                <c:pt idx="520">
                  <c:v>0.70831789821357682</c:v>
                </c:pt>
                <c:pt idx="521">
                  <c:v>#N/A</c:v>
                </c:pt>
                <c:pt idx="522">
                  <c:v>0.70891323333928447</c:v>
                </c:pt>
                <c:pt idx="523">
                  <c:v>#N/A</c:v>
                </c:pt>
                <c:pt idx="524">
                  <c:v>0.70910913594414038</c:v>
                </c:pt>
                <c:pt idx="525">
                  <c:v>0.7086200061997654</c:v>
                </c:pt>
                <c:pt idx="526">
                  <c:v>0.70833195237868096</c:v>
                </c:pt>
                <c:pt idx="527">
                  <c:v>0.70904797600938529</c:v>
                </c:pt>
                <c:pt idx="528">
                  <c:v>0.7090103994031719</c:v>
                </c:pt>
                <c:pt idx="529">
                  <c:v>0.70894243827840842</c:v>
                </c:pt>
                <c:pt idx="530">
                  <c:v>0.7091051299151937</c:v>
                </c:pt>
                <c:pt idx="531">
                  <c:v>0.70827595175982472</c:v>
                </c:pt>
                <c:pt idx="532">
                  <c:v>0.70904206380304624</c:v>
                </c:pt>
                <c:pt idx="533">
                  <c:v>0.70872803281555885</c:v>
                </c:pt>
                <c:pt idx="534">
                  <c:v>0.70840424130032043</c:v>
                </c:pt>
                <c:pt idx="535">
                  <c:v>0.70867001238351235</c:v>
                </c:pt>
                <c:pt idx="536">
                  <c:v>0.70893798722966328</c:v>
                </c:pt>
                <c:pt idx="537">
                  <c:v>#N/A</c:v>
                </c:pt>
                <c:pt idx="538">
                  <c:v>0.70842258454878448</c:v>
                </c:pt>
                <c:pt idx="539">
                  <c:v>0.70892620496554826</c:v>
                </c:pt>
                <c:pt idx="540">
                  <c:v>0.7080255006894558</c:v>
                </c:pt>
                <c:pt idx="541">
                  <c:v>0.7085948809085848</c:v>
                </c:pt>
                <c:pt idx="542">
                  <c:v>0.70873410008488535</c:v>
                </c:pt>
                <c:pt idx="543">
                  <c:v>0.7094200090588092</c:v>
                </c:pt>
                <c:pt idx="544">
                  <c:v>0.7089476217622539</c:v>
                </c:pt>
                <c:pt idx="545">
                  <c:v>0.70907827354552866</c:v>
                </c:pt>
                <c:pt idx="546">
                  <c:v>0.70920897639964486</c:v>
                </c:pt>
                <c:pt idx="547">
                  <c:v>#N/A</c:v>
                </c:pt>
                <c:pt idx="548">
                  <c:v>0.70887820606158858</c:v>
                </c:pt>
                <c:pt idx="549">
                  <c:v>0.70915334564921073</c:v>
                </c:pt>
                <c:pt idx="550">
                  <c:v>0.70892513114747457</c:v>
                </c:pt>
                <c:pt idx="551">
                  <c:v>0.70902809508410536</c:v>
                </c:pt>
                <c:pt idx="552">
                  <c:v>0.70857690876144397</c:v>
                </c:pt>
                <c:pt idx="553">
                  <c:v>0.70885226650612176</c:v>
                </c:pt>
                <c:pt idx="554">
                  <c:v>0.70843753441369262</c:v>
                </c:pt>
                <c:pt idx="555">
                  <c:v>0.70893770929860067</c:v>
                </c:pt>
                <c:pt idx="556">
                  <c:v>0.70899086059065164</c:v>
                </c:pt>
                <c:pt idx="557">
                  <c:v>0.70880173467821939</c:v>
                </c:pt>
                <c:pt idx="558">
                  <c:v>0.70912225151162278</c:v>
                </c:pt>
                <c:pt idx="559">
                  <c:v>0.70907518214923937</c:v>
                </c:pt>
                <c:pt idx="560">
                  <c:v>0.70878386720841968</c:v>
                </c:pt>
                <c:pt idx="561">
                  <c:v>0.70868109371549548</c:v>
                </c:pt>
                <c:pt idx="562">
                  <c:v>0.70937644910141151</c:v>
                </c:pt>
                <c:pt idx="563">
                  <c:v>0.70808723550556019</c:v>
                </c:pt>
                <c:pt idx="564">
                  <c:v>0.70941700592466905</c:v>
                </c:pt>
                <c:pt idx="565">
                  <c:v>0.70931039817496699</c:v>
                </c:pt>
                <c:pt idx="566">
                  <c:v>0.70929403948930303</c:v>
                </c:pt>
                <c:pt idx="567">
                  <c:v>0.7089119712170312</c:v>
                </c:pt>
                <c:pt idx="568">
                  <c:v>0.70897476682076777</c:v>
                </c:pt>
                <c:pt idx="569">
                  <c:v>0.70914602936267512</c:v>
                </c:pt>
                <c:pt idx="570">
                  <c:v>0.70908873728282673</c:v>
                </c:pt>
                <c:pt idx="571">
                  <c:v>0.70877801058760437</c:v>
                </c:pt>
                <c:pt idx="572">
                  <c:v>#N/A</c:v>
                </c:pt>
                <c:pt idx="573">
                  <c:v>0.70849317781611343</c:v>
                </c:pt>
                <c:pt idx="574">
                  <c:v>0.70891970802833126</c:v>
                </c:pt>
                <c:pt idx="575">
                  <c:v>0.70930648252300854</c:v>
                </c:pt>
                <c:pt idx="576">
                  <c:v>0.70881415009782978</c:v>
                </c:pt>
                <c:pt idx="577">
                  <c:v>0.70875325574504056</c:v>
                </c:pt>
                <c:pt idx="578">
                  <c:v>0.70831511029610816</c:v>
                </c:pt>
                <c:pt idx="579">
                  <c:v>0.70892121251310058</c:v>
                </c:pt>
                <c:pt idx="580">
                  <c:v>0.70909853442759729</c:v>
                </c:pt>
                <c:pt idx="581">
                  <c:v>0.70942311159687943</c:v>
                </c:pt>
                <c:pt idx="582">
                  <c:v>#N/A</c:v>
                </c:pt>
                <c:pt idx="583">
                  <c:v>#N/A</c:v>
                </c:pt>
                <c:pt idx="584">
                  <c:v>0.70856713991605469</c:v>
                </c:pt>
                <c:pt idx="585">
                  <c:v>#N/A</c:v>
                </c:pt>
                <c:pt idx="586">
                  <c:v>0.7088570219944893</c:v>
                </c:pt>
                <c:pt idx="587">
                  <c:v>#N/A</c:v>
                </c:pt>
                <c:pt idx="588">
                  <c:v>0.70898459292322114</c:v>
                </c:pt>
                <c:pt idx="589">
                  <c:v>0.70892818069643682</c:v>
                </c:pt>
                <c:pt idx="590">
                  <c:v>0.70904157519088029</c:v>
                </c:pt>
                <c:pt idx="591">
                  <c:v>0.70941279135700852</c:v>
                </c:pt>
                <c:pt idx="592">
                  <c:v>#N/A</c:v>
                </c:pt>
                <c:pt idx="593">
                  <c:v>0.70864908081638689</c:v>
                </c:pt>
                <c:pt idx="594">
                  <c:v>#N/A</c:v>
                </c:pt>
                <c:pt idx="595">
                  <c:v>0.70917359493771248</c:v>
                </c:pt>
                <c:pt idx="596">
                  <c:v>0.70801731305002935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00416"/>
        <c:axId val="67700992"/>
      </c:scatterChart>
      <c:valAx>
        <c:axId val="6770041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6994503045617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700992"/>
        <c:crossesAt val="0"/>
        <c:crossBetween val="midCat"/>
        <c:majorUnit val="100"/>
        <c:minorUnit val="25"/>
      </c:valAx>
      <c:valAx>
        <c:axId val="67700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REE)</a:t>
                </a:r>
              </a:p>
            </c:rich>
          </c:tx>
          <c:layout>
            <c:manualLayout>
              <c:xMode val="edge"/>
              <c:yMode val="edge"/>
              <c:x val="1.0012875749021939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700416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71254360517954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5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Data!$H$4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Data!$I$4</c:f>
              <c:numCache>
                <c:formatCode>#</c:formatCode>
                <c:ptCount val="1"/>
                <c:pt idx="0">
                  <c:v>284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Data!$H$5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Data!$K$5</c:f>
              <c:numCache>
                <c:formatCode>General</c:formatCode>
                <c:ptCount val="1"/>
                <c:pt idx="0">
                  <c:v>384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0.00E+00</c:formatCode>
                <c:ptCount val="1001"/>
                <c:pt idx="0">
                  <c:v>7.3729801370647503E-4</c:v>
                </c:pt>
                <c:pt idx="1">
                  <c:v>9.1281759215682305E-4</c:v>
                </c:pt>
                <c:pt idx="2">
                  <c:v>9.1521234124846405E-4</c:v>
                </c:pt>
                <c:pt idx="3">
                  <c:v>9.1185969411729305E-4</c:v>
                </c:pt>
                <c:pt idx="4">
                  <c:v>7.9404519406680695E-4</c:v>
                </c:pt>
                <c:pt idx="5">
                  <c:v>8.1200382971920301E-4</c:v>
                </c:pt>
                <c:pt idx="6">
                  <c:v>8.7977063713032396E-4</c:v>
                </c:pt>
                <c:pt idx="7">
                  <c:v>8.2397643169594703E-4</c:v>
                </c:pt>
                <c:pt idx="8">
                  <c:v>9.1664919344114902E-4</c:v>
                </c:pt>
                <c:pt idx="9">
                  <c:v>7.9596076658695002E-4</c:v>
                </c:pt>
                <c:pt idx="10">
                  <c:v>9.3724430050506804E-4</c:v>
                </c:pt>
                <c:pt idx="11">
                  <c:v>8.5007719818406202E-4</c:v>
                </c:pt>
                <c:pt idx="12">
                  <c:v>8.3930157026447202E-4</c:v>
                </c:pt>
                <c:pt idx="13">
                  <c:v>7.45678197417627E-4</c:v>
                </c:pt>
                <c:pt idx="14">
                  <c:v>8.0577813303409898E-4</c:v>
                </c:pt>
                <c:pt idx="15">
                  <c:v>7.66988122071319E-4</c:v>
                </c:pt>
                <c:pt idx="16">
                  <c:v>8.3475189537225399E-4</c:v>
                </c:pt>
                <c:pt idx="17">
                  <c:v>7.7560799517605201E-4</c:v>
                </c:pt>
                <c:pt idx="18">
                  <c:v>7.7249525469662501E-4</c:v>
                </c:pt>
                <c:pt idx="19">
                  <c:v>8.2493424601322903E-4</c:v>
                </c:pt>
                <c:pt idx="20">
                  <c:v>8.7569971056564297E-4</c:v>
                </c:pt>
                <c:pt idx="21">
                  <c:v>9.1162021974995405E-4</c:v>
                </c:pt>
                <c:pt idx="22">
                  <c:v>7.87819608582172E-4</c:v>
                </c:pt>
                <c:pt idx="23">
                  <c:v>8.7210773022596303E-4</c:v>
                </c:pt>
                <c:pt idx="24">
                  <c:v>7.7919963078129195E-4</c:v>
                </c:pt>
                <c:pt idx="25">
                  <c:v>8.1846901707974295E-4</c:v>
                </c:pt>
                <c:pt idx="26">
                  <c:v>8.6564219795145895E-4</c:v>
                </c:pt>
                <c:pt idx="27">
                  <c:v>8.2182135281854795E-4</c:v>
                </c:pt>
                <c:pt idx="28">
                  <c:v>8.4935881939663001E-4</c:v>
                </c:pt>
                <c:pt idx="29">
                  <c:v>7.8303072290218797E-4</c:v>
                </c:pt>
                <c:pt idx="30">
                  <c:v>8.0745427834937695E-4</c:v>
                </c:pt>
                <c:pt idx="31">
                  <c:v>9.0611232504319401E-4</c:v>
                </c:pt>
                <c:pt idx="32">
                  <c:v>8.0721482884753802E-4</c:v>
                </c:pt>
                <c:pt idx="33">
                  <c:v>8.0098916181601404E-4</c:v>
                </c:pt>
                <c:pt idx="34">
                  <c:v>8.5031665789406003E-4</c:v>
                </c:pt>
                <c:pt idx="35">
                  <c:v>8.4145668660957104E-4</c:v>
                </c:pt>
                <c:pt idx="36">
                  <c:v>7.92129625196458E-4</c:v>
                </c:pt>
                <c:pt idx="37">
                  <c:v>9.5089477834044698E-4</c:v>
                </c:pt>
                <c:pt idx="38">
                  <c:v>8.3666754544899004E-4</c:v>
                </c:pt>
                <c:pt idx="39">
                  <c:v>8.7977063713032396E-4</c:v>
                </c:pt>
                <c:pt idx="40">
                  <c:v>8.2684987738462399E-4</c:v>
                </c:pt>
                <c:pt idx="41">
                  <c:v>9.0826758459608197E-4</c:v>
                </c:pt>
                <c:pt idx="42">
                  <c:v>7.6722756199310395E-4</c:v>
                </c:pt>
                <c:pt idx="43">
                  <c:v>7.9979192257570398E-4</c:v>
                </c:pt>
                <c:pt idx="44">
                  <c:v>8.3570971995448396E-4</c:v>
                </c:pt>
                <c:pt idx="45">
                  <c:v>8.4600639184140899E-4</c:v>
                </c:pt>
                <c:pt idx="46">
                  <c:v>7.9308740917549399E-4</c:v>
                </c:pt>
                <c:pt idx="47">
                  <c:v>8.3187842710014202E-4</c:v>
                </c:pt>
                <c:pt idx="48">
                  <c:v>8.7665757415687198E-4</c:v>
                </c:pt>
                <c:pt idx="49">
                  <c:v>9.4442873942318195E-4</c:v>
                </c:pt>
                <c:pt idx="50">
                  <c:v>9.03478125196937E-4</c:v>
                </c:pt>
                <c:pt idx="51">
                  <c:v>8.6348702976571899E-4</c:v>
                </c:pt>
                <c:pt idx="52">
                  <c:v>7.8949572395901196E-4</c:v>
                </c:pt>
                <c:pt idx="53">
                  <c:v>7.56692259382982E-4</c:v>
                </c:pt>
                <c:pt idx="54">
                  <c:v>8.1679285340168504E-4</c:v>
                </c:pt>
                <c:pt idx="55">
                  <c:v>8.57739937188018E-4</c:v>
                </c:pt>
                <c:pt idx="56">
                  <c:v>7.5046690518574296E-4</c:v>
                </c:pt>
                <c:pt idx="57">
                  <c:v>8.6492380804290404E-4</c:v>
                </c:pt>
                <c:pt idx="58">
                  <c:v>8.1559559534268695E-4</c:v>
                </c:pt>
                <c:pt idx="59">
                  <c:v>7.8758016375643904E-4</c:v>
                </c:pt>
                <c:pt idx="60">
                  <c:v>8.1559559534268695E-4</c:v>
                </c:pt>
                <c:pt idx="61">
                  <c:v>9.2311505371768705E-4</c:v>
                </c:pt>
                <c:pt idx="62">
                  <c:v>8.53669099820849E-4</c:v>
                </c:pt>
                <c:pt idx="63">
                  <c:v>7.8470683029568803E-4</c:v>
                </c:pt>
                <c:pt idx="64">
                  <c:v>8.3163897178162196E-4</c:v>
                </c:pt>
                <c:pt idx="65">
                  <c:v>8.3618863258758797E-4</c:v>
                </c:pt>
                <c:pt idx="66">
                  <c:v>8.4456964059661101E-4</c:v>
                </c:pt>
                <c:pt idx="67">
                  <c:v>9.3365210029610897E-4</c:v>
                </c:pt>
                <c:pt idx="68">
                  <c:v>7.8877738845527397E-4</c:v>
                </c:pt>
                <c:pt idx="69">
                  <c:v>7.9739744837184099E-4</c:v>
                </c:pt>
                <c:pt idx="70">
                  <c:v>8.3307570454891895E-4</c:v>
                </c:pt>
                <c:pt idx="71">
                  <c:v>9.5975571402006298E-4</c:v>
                </c:pt>
                <c:pt idx="72">
                  <c:v>8.8623626025744601E-4</c:v>
                </c:pt>
                <c:pt idx="73">
                  <c:v>1.0498064082561001E-3</c:v>
                </c:pt>
                <c:pt idx="74">
                  <c:v>8.9294139482323299E-4</c:v>
                </c:pt>
                <c:pt idx="75">
                  <c:v>8.4025939918093298E-4</c:v>
                </c:pt>
                <c:pt idx="76">
                  <c:v>8.0074971385387197E-4</c:v>
                </c:pt>
                <c:pt idx="77">
                  <c:v>7.6722756199310395E-4</c:v>
                </c:pt>
                <c:pt idx="78">
                  <c:v>7.97158001265188E-4</c:v>
                </c:pt>
                <c:pt idx="79">
                  <c:v>8.7833383763720398E-4</c:v>
                </c:pt>
                <c:pt idx="80">
                  <c:v>7.8877738845527397E-4</c:v>
                </c:pt>
                <c:pt idx="81">
                  <c:v>8.7569971056564297E-4</c:v>
                </c:pt>
                <c:pt idx="82">
                  <c:v>8.0601758219383298E-4</c:v>
                </c:pt>
                <c:pt idx="83">
                  <c:v>8.7138933569786098E-4</c:v>
                </c:pt>
                <c:pt idx="84">
                  <c:v>8.75939176378096E-4</c:v>
                </c:pt>
                <c:pt idx="85">
                  <c:v>8.3331516020977204E-4</c:v>
                </c:pt>
                <c:pt idx="86">
                  <c:v>7.9332685531285398E-4</c:v>
                </c:pt>
                <c:pt idx="87">
                  <c:v>6.8869432559927801E-4</c:v>
                </c:pt>
                <c:pt idx="88">
                  <c:v>7.87819608582172E-4</c:v>
                </c:pt>
                <c:pt idx="89">
                  <c:v>8.6348702976571899E-4</c:v>
                </c:pt>
                <c:pt idx="90">
                  <c:v>8.2900496704035496E-4</c:v>
                </c:pt>
                <c:pt idx="91">
                  <c:v>7.6531204421621899E-4</c:v>
                </c:pt>
                <c:pt idx="92">
                  <c:v>8.1128547813429498E-4</c:v>
                </c:pt>
                <c:pt idx="93">
                  <c:v>8.2756824008996905E-4</c:v>
                </c:pt>
                <c:pt idx="94">
                  <c:v>8.1679285340168504E-4</c:v>
                </c:pt>
                <c:pt idx="95">
                  <c:v>8.2158189989521297E-4</c:v>
                </c:pt>
                <c:pt idx="96">
                  <c:v>8.0314419604130298E-4</c:v>
                </c:pt>
                <c:pt idx="97">
                  <c:v>8.8312317726542205E-4</c:v>
                </c:pt>
                <c:pt idx="98">
                  <c:v>8.24455338740439E-4</c:v>
                </c:pt>
                <c:pt idx="99">
                  <c:v>8.5199287746030199E-4</c:v>
                </c:pt>
                <c:pt idx="100">
                  <c:v>8.5989509305504301E-4</c:v>
                </c:pt>
                <c:pt idx="101">
                  <c:v>8.0721482884753802E-4</c:v>
                </c:pt>
                <c:pt idx="102">
                  <c:v>8.6779737075674704E-4</c:v>
                </c:pt>
                <c:pt idx="103">
                  <c:v>8.2397643169594703E-4</c:v>
                </c:pt>
                <c:pt idx="104">
                  <c:v>8.2900496704035496E-4</c:v>
                </c:pt>
                <c:pt idx="105">
                  <c:v>1.02633497153615E-3</c:v>
                </c:pt>
                <c:pt idx="106">
                  <c:v>1.4012249423298699E-3</c:v>
                </c:pt>
                <c:pt idx="107">
                  <c:v>1.5291746543106301E-3</c:v>
                </c:pt>
                <c:pt idx="108">
                  <c:v>3.3138871046099099E-3</c:v>
                </c:pt>
                <c:pt idx="109">
                  <c:v>8.1981717139365303E-3</c:v>
                </c:pt>
                <c:pt idx="110">
                  <c:v>1.26374464573461E-2</c:v>
                </c:pt>
                <c:pt idx="111">
                  <c:v>1.42023123451319E-2</c:v>
                </c:pt>
                <c:pt idx="112">
                  <c:v>1.5089454726421E-2</c:v>
                </c:pt>
                <c:pt idx="113">
                  <c:v>1.63191777434454E-2</c:v>
                </c:pt>
                <c:pt idx="114">
                  <c:v>1.6154613669706198E-2</c:v>
                </c:pt>
                <c:pt idx="115">
                  <c:v>1.5879354354200102E-2</c:v>
                </c:pt>
                <c:pt idx="116">
                  <c:v>1.6103946829740499E-2</c:v>
                </c:pt>
                <c:pt idx="117">
                  <c:v>1.6087299706816102E-2</c:v>
                </c:pt>
                <c:pt idx="118">
                  <c:v>1.6686768519296701E-2</c:v>
                </c:pt>
                <c:pt idx="119">
                  <c:v>1.7578180556613102E-2</c:v>
                </c:pt>
                <c:pt idx="120">
                  <c:v>1.76209474641566E-2</c:v>
                </c:pt>
                <c:pt idx="121">
                  <c:v>1.8089568640718302E-2</c:v>
                </c:pt>
                <c:pt idx="122">
                  <c:v>1.8041947423799699E-2</c:v>
                </c:pt>
                <c:pt idx="123">
                  <c:v>1.7945986587791299E-2</c:v>
                </c:pt>
                <c:pt idx="124">
                  <c:v>1.7718810734549999E-2</c:v>
                </c:pt>
                <c:pt idx="125">
                  <c:v>1.7877828487275E-2</c:v>
                </c:pt>
                <c:pt idx="126">
                  <c:v>1.8463341668977899E-2</c:v>
                </c:pt>
                <c:pt idx="127">
                  <c:v>1.9228047715018699E-2</c:v>
                </c:pt>
                <c:pt idx="128">
                  <c:v>1.8939917419484802E-2</c:v>
                </c:pt>
                <c:pt idx="129">
                  <c:v>1.8907800670373301E-2</c:v>
                </c:pt>
                <c:pt idx="130">
                  <c:v>1.8357691237658701E-2</c:v>
                </c:pt>
                <c:pt idx="131">
                  <c:v>1.7722193831333E-2</c:v>
                </c:pt>
                <c:pt idx="132">
                  <c:v>1.7856560230672398E-2</c:v>
                </c:pt>
                <c:pt idx="133">
                  <c:v>1.8080140912618899E-2</c:v>
                </c:pt>
                <c:pt idx="134">
                  <c:v>1.8167894693818E-2</c:v>
                </c:pt>
                <c:pt idx="135">
                  <c:v>1.85642392268154E-2</c:v>
                </c:pt>
                <c:pt idx="136">
                  <c:v>1.8455376499769E-2</c:v>
                </c:pt>
                <c:pt idx="137">
                  <c:v>1.8431481367451E-2</c:v>
                </c:pt>
                <c:pt idx="138">
                  <c:v>1.8726951646394301E-2</c:v>
                </c:pt>
                <c:pt idx="139">
                  <c:v>1.86395568648281E-2</c:v>
                </c:pt>
                <c:pt idx="140">
                  <c:v>1.7953479424446799E-2</c:v>
                </c:pt>
                <c:pt idx="141">
                  <c:v>1.8076031417543902E-2</c:v>
                </c:pt>
                <c:pt idx="142">
                  <c:v>1.7296495613123901E-2</c:v>
                </c:pt>
                <c:pt idx="143">
                  <c:v>1.6504766661422199E-2</c:v>
                </c:pt>
                <c:pt idx="144">
                  <c:v>1.63686487093243E-2</c:v>
                </c:pt>
                <c:pt idx="145">
                  <c:v>1.66087982038375E-2</c:v>
                </c:pt>
                <c:pt idx="146">
                  <c:v>1.6600349768295899E-2</c:v>
                </c:pt>
                <c:pt idx="147">
                  <c:v>1.60723416557777E-2</c:v>
                </c:pt>
                <c:pt idx="148">
                  <c:v>1.6257885360516599E-2</c:v>
                </c:pt>
                <c:pt idx="149">
                  <c:v>1.6020955195364301E-2</c:v>
                </c:pt>
                <c:pt idx="150">
                  <c:v>1.5774915310692101E-2</c:v>
                </c:pt>
                <c:pt idx="151">
                  <c:v>1.5636966152451099E-2</c:v>
                </c:pt>
                <c:pt idx="152">
                  <c:v>1.5634313468145099E-2</c:v>
                </c:pt>
                <c:pt idx="153">
                  <c:v>1.61497881472022E-2</c:v>
                </c:pt>
                <c:pt idx="154">
                  <c:v>1.61567851623317E-2</c:v>
                </c:pt>
                <c:pt idx="155">
                  <c:v>1.6187910401438799E-2</c:v>
                </c:pt>
                <c:pt idx="156">
                  <c:v>1.6708012245786399E-2</c:v>
                </c:pt>
                <c:pt idx="157">
                  <c:v>1.6417398072669901E-2</c:v>
                </c:pt>
                <c:pt idx="158">
                  <c:v>1.6674939819160399E-2</c:v>
                </c:pt>
                <c:pt idx="159">
                  <c:v>1.73363519359311E-2</c:v>
                </c:pt>
                <c:pt idx="160">
                  <c:v>1.76310958087482E-2</c:v>
                </c:pt>
                <c:pt idx="161">
                  <c:v>1.9696282980289099E-2</c:v>
                </c:pt>
                <c:pt idx="162">
                  <c:v>2.0994602702833601E-2</c:v>
                </c:pt>
                <c:pt idx="163">
                  <c:v>2.1138586528621901E-2</c:v>
                </c:pt>
                <c:pt idx="164">
                  <c:v>1.9176356961864899E-2</c:v>
                </c:pt>
                <c:pt idx="165">
                  <c:v>1.8124137726983101E-2</c:v>
                </c:pt>
                <c:pt idx="166">
                  <c:v>1.6731429142118798E-2</c:v>
                </c:pt>
                <c:pt idx="167">
                  <c:v>1.55643815696086E-2</c:v>
                </c:pt>
                <c:pt idx="168">
                  <c:v>1.66795264415995E-2</c:v>
                </c:pt>
                <c:pt idx="169">
                  <c:v>1.72515685463005E-2</c:v>
                </c:pt>
                <c:pt idx="170">
                  <c:v>1.6673008615923E-2</c:v>
                </c:pt>
                <c:pt idx="171">
                  <c:v>1.7331037669013501E-2</c:v>
                </c:pt>
                <c:pt idx="172">
                  <c:v>1.69550032506946E-2</c:v>
                </c:pt>
                <c:pt idx="173">
                  <c:v>1.68630083636639E-2</c:v>
                </c:pt>
                <c:pt idx="174">
                  <c:v>1.7090958489914401E-2</c:v>
                </c:pt>
                <c:pt idx="175">
                  <c:v>1.7465352233216699E-2</c:v>
                </c:pt>
                <c:pt idx="176">
                  <c:v>1.72305549566109E-2</c:v>
                </c:pt>
                <c:pt idx="177">
                  <c:v>1.68989843724578E-2</c:v>
                </c:pt>
                <c:pt idx="178">
                  <c:v>1.6489802445833E-2</c:v>
                </c:pt>
                <c:pt idx="179">
                  <c:v>1.66276263993064E-2</c:v>
                </c:pt>
                <c:pt idx="180">
                  <c:v>1.6402435147319101E-2</c:v>
                </c:pt>
                <c:pt idx="181">
                  <c:v>1.52511941376686E-2</c:v>
                </c:pt>
                <c:pt idx="182">
                  <c:v>1.52275703771427E-2</c:v>
                </c:pt>
                <c:pt idx="183">
                  <c:v>1.52707203149294E-2</c:v>
                </c:pt>
                <c:pt idx="184">
                  <c:v>1.5797587074805199E-2</c:v>
                </c:pt>
                <c:pt idx="185">
                  <c:v>1.5301336190326901E-2</c:v>
                </c:pt>
                <c:pt idx="186">
                  <c:v>1.50930700792573E-2</c:v>
                </c:pt>
                <c:pt idx="187">
                  <c:v>1.4814966633729399E-2</c:v>
                </c:pt>
                <c:pt idx="188">
                  <c:v>1.49448511971786E-2</c:v>
                </c:pt>
                <c:pt idx="189">
                  <c:v>1.6291668105070701E-2</c:v>
                </c:pt>
                <c:pt idx="190">
                  <c:v>1.6300113967218699E-2</c:v>
                </c:pt>
                <c:pt idx="191">
                  <c:v>1.6058348840232099E-2</c:v>
                </c:pt>
                <c:pt idx="192">
                  <c:v>1.6448289972403999E-2</c:v>
                </c:pt>
                <c:pt idx="193">
                  <c:v>1.6149546871680201E-2</c:v>
                </c:pt>
                <c:pt idx="194">
                  <c:v>1.5956544862992101E-2</c:v>
                </c:pt>
                <c:pt idx="195">
                  <c:v>1.4949670982114799E-2</c:v>
                </c:pt>
                <c:pt idx="196">
                  <c:v>1.4388106464597501E-2</c:v>
                </c:pt>
                <c:pt idx="197">
                  <c:v>1.51171727613884E-2</c:v>
                </c:pt>
                <c:pt idx="198">
                  <c:v>1.5339667606904001E-2</c:v>
                </c:pt>
                <c:pt idx="199">
                  <c:v>1.5884419801005099E-2</c:v>
                </c:pt>
                <c:pt idx="200">
                  <c:v>1.55880131882731E-2</c:v>
                </c:pt>
                <c:pt idx="201">
                  <c:v>1.5372937559692599E-2</c:v>
                </c:pt>
                <c:pt idx="202">
                  <c:v>1.5691950627960999E-2</c:v>
                </c:pt>
                <c:pt idx="203">
                  <c:v>1.51841812322872E-2</c:v>
                </c:pt>
                <c:pt idx="204">
                  <c:v>1.51868327378042E-2</c:v>
                </c:pt>
                <c:pt idx="205">
                  <c:v>1.45644015732638E-2</c:v>
                </c:pt>
                <c:pt idx="206">
                  <c:v>1.5490837713261501E-2</c:v>
                </c:pt>
                <c:pt idx="207">
                  <c:v>1.52620419674423E-2</c:v>
                </c:pt>
                <c:pt idx="208">
                  <c:v>1.49291870545879E-2</c:v>
                </c:pt>
                <c:pt idx="209">
                  <c:v>1.5364258336198601E-2</c:v>
                </c:pt>
                <c:pt idx="210">
                  <c:v>1.7216304609186401E-2</c:v>
                </c:pt>
                <c:pt idx="211">
                  <c:v>1.5447919504153799E-2</c:v>
                </c:pt>
                <c:pt idx="212">
                  <c:v>1.45680150516534E-2</c:v>
                </c:pt>
                <c:pt idx="213">
                  <c:v>1.3920790673874001E-2</c:v>
                </c:pt>
                <c:pt idx="214">
                  <c:v>1.3661531935889501E-2</c:v>
                </c:pt>
                <c:pt idx="215">
                  <c:v>1.34763533417723E-2</c:v>
                </c:pt>
                <c:pt idx="216">
                  <c:v>1.4035368022157799E-2</c:v>
                </c:pt>
                <c:pt idx="217">
                  <c:v>1.4751596726165699E-2</c:v>
                </c:pt>
                <c:pt idx="218">
                  <c:v>1.50429383381192E-2</c:v>
                </c:pt>
                <c:pt idx="219">
                  <c:v>1.5560523398512801E-2</c:v>
                </c:pt>
                <c:pt idx="220">
                  <c:v>1.53015772638848E-2</c:v>
                </c:pt>
                <c:pt idx="221">
                  <c:v>1.56900212975884E-2</c:v>
                </c:pt>
                <c:pt idx="222">
                  <c:v>1.5009197217518E-2</c:v>
                </c:pt>
                <c:pt idx="223">
                  <c:v>1.5782392112989398E-2</c:v>
                </c:pt>
                <c:pt idx="224">
                  <c:v>1.50631835501855E-2</c:v>
                </c:pt>
                <c:pt idx="225">
                  <c:v>1.4229817375692099E-2</c:v>
                </c:pt>
                <c:pt idx="226">
                  <c:v>1.54199513129906E-2</c:v>
                </c:pt>
                <c:pt idx="227">
                  <c:v>1.52634883535254E-2</c:v>
                </c:pt>
                <c:pt idx="228">
                  <c:v>1.45921052372143E-2</c:v>
                </c:pt>
                <c:pt idx="229">
                  <c:v>1.38616979544009E-2</c:v>
                </c:pt>
                <c:pt idx="230">
                  <c:v>1.4516734578232901E-2</c:v>
                </c:pt>
                <c:pt idx="231">
                  <c:v>1.5222508214444701E-2</c:v>
                </c:pt>
                <c:pt idx="232">
                  <c:v>1.4108945579903999E-2</c:v>
                </c:pt>
                <c:pt idx="233">
                  <c:v>1.4162021237537801E-2</c:v>
                </c:pt>
                <c:pt idx="234">
                  <c:v>1.4418271065415499E-2</c:v>
                </c:pt>
                <c:pt idx="235">
                  <c:v>1.49691913457362E-2</c:v>
                </c:pt>
                <c:pt idx="236">
                  <c:v>1.48395446235609E-2</c:v>
                </c:pt>
                <c:pt idx="237">
                  <c:v>1.47303939925177E-2</c:v>
                </c:pt>
                <c:pt idx="238">
                  <c:v>1.42681809034547E-2</c:v>
                </c:pt>
                <c:pt idx="239">
                  <c:v>1.4854725444766299E-2</c:v>
                </c:pt>
                <c:pt idx="240">
                  <c:v>1.45439254393593E-2</c:v>
                </c:pt>
                <c:pt idx="241">
                  <c:v>1.43328472476979E-2</c:v>
                </c:pt>
                <c:pt idx="242">
                  <c:v>1.54881854116587E-2</c:v>
                </c:pt>
                <c:pt idx="243">
                  <c:v>1.50063051737834E-2</c:v>
                </c:pt>
                <c:pt idx="244">
                  <c:v>1.4238503330107E-2</c:v>
                </c:pt>
                <c:pt idx="245">
                  <c:v>1.38879877586057E-2</c:v>
                </c:pt>
                <c:pt idx="246">
                  <c:v>1.3540969105623499E-2</c:v>
                </c:pt>
                <c:pt idx="247">
                  <c:v>1.4805328369212899E-2</c:v>
                </c:pt>
                <c:pt idx="248">
                  <c:v>1.55525659670444E-2</c:v>
                </c:pt>
                <c:pt idx="249">
                  <c:v>1.4998111094727399E-2</c:v>
                </c:pt>
                <c:pt idx="250">
                  <c:v>1.51492302175974E-2</c:v>
                </c:pt>
                <c:pt idx="251">
                  <c:v>1.48002683170727E-2</c:v>
                </c:pt>
                <c:pt idx="252">
                  <c:v>1.4483429671113201E-2</c:v>
                </c:pt>
                <c:pt idx="253">
                  <c:v>1.46330598683737E-2</c:v>
                </c:pt>
                <c:pt idx="254">
                  <c:v>1.41596086472617E-2</c:v>
                </c:pt>
                <c:pt idx="255">
                  <c:v>1.4536042272512199E-2</c:v>
                </c:pt>
                <c:pt idx="256">
                  <c:v>1.53266492272503E-2</c:v>
                </c:pt>
                <c:pt idx="257">
                  <c:v>1.49212345826354E-2</c:v>
                </c:pt>
                <c:pt idx="258">
                  <c:v>1.49961830857629E-2</c:v>
                </c:pt>
                <c:pt idx="259">
                  <c:v>1.4559583622142399E-2</c:v>
                </c:pt>
                <c:pt idx="260">
                  <c:v>1.53630528943742E-2</c:v>
                </c:pt>
                <c:pt idx="261">
                  <c:v>1.46255915474078E-2</c:v>
                </c:pt>
                <c:pt idx="262">
                  <c:v>1.3150685205713599E-2</c:v>
                </c:pt>
                <c:pt idx="263">
                  <c:v>1.37430405476122E-2</c:v>
                </c:pt>
                <c:pt idx="264">
                  <c:v>1.4147304526309299E-2</c:v>
                </c:pt>
                <c:pt idx="265">
                  <c:v>1.3872069079992701E-2</c:v>
                </c:pt>
                <c:pt idx="266">
                  <c:v>1.35216803858484E-2</c:v>
                </c:pt>
                <c:pt idx="267">
                  <c:v>1.35703851112681E-2</c:v>
                </c:pt>
                <c:pt idx="268">
                  <c:v>1.421823621909E-2</c:v>
                </c:pt>
                <c:pt idx="269">
                  <c:v>1.4153335939458099E-2</c:v>
                </c:pt>
                <c:pt idx="270">
                  <c:v>1.38899173124232E-2</c:v>
                </c:pt>
                <c:pt idx="271">
                  <c:v>1.3479246496681301E-2</c:v>
                </c:pt>
                <c:pt idx="272">
                  <c:v>1.34259655538849E-2</c:v>
                </c:pt>
                <c:pt idx="273">
                  <c:v>1.3326402806084599E-2</c:v>
                </c:pt>
                <c:pt idx="274">
                  <c:v>1.27063450697766E-2</c:v>
                </c:pt>
                <c:pt idx="275">
                  <c:v>1.27205590039222E-2</c:v>
                </c:pt>
                <c:pt idx="276">
                  <c:v>1.30318701619972E-2</c:v>
                </c:pt>
                <c:pt idx="277">
                  <c:v>1.30340390742521E-2</c:v>
                </c:pt>
                <c:pt idx="278">
                  <c:v>1.31277887263751E-2</c:v>
                </c:pt>
                <c:pt idx="279">
                  <c:v>1.3130439871137701E-2</c:v>
                </c:pt>
                <c:pt idx="280">
                  <c:v>1.3154300486667599E-2</c:v>
                </c:pt>
                <c:pt idx="281">
                  <c:v>1.2999578018494501E-2</c:v>
                </c:pt>
                <c:pt idx="282">
                  <c:v>1.2385018920495299E-2</c:v>
                </c:pt>
                <c:pt idx="283">
                  <c:v>1.25167647452782E-2</c:v>
                </c:pt>
                <c:pt idx="284">
                  <c:v>1.3122727469303701E-2</c:v>
                </c:pt>
                <c:pt idx="285">
                  <c:v>1.40401926161643E-2</c:v>
                </c:pt>
                <c:pt idx="286">
                  <c:v>1.40812025938509E-2</c:v>
                </c:pt>
                <c:pt idx="287">
                  <c:v>1.41977282460408E-2</c:v>
                </c:pt>
                <c:pt idx="288">
                  <c:v>1.3697221289199899E-2</c:v>
                </c:pt>
                <c:pt idx="289">
                  <c:v>1.35416924397684E-2</c:v>
                </c:pt>
                <c:pt idx="290">
                  <c:v>1.36345246133535E-2</c:v>
                </c:pt>
                <c:pt idx="291">
                  <c:v>1.3465745177885E-2</c:v>
                </c:pt>
                <c:pt idx="292">
                  <c:v>1.3221547067614E-2</c:v>
                </c:pt>
                <c:pt idx="293">
                  <c:v>1.28501800266885E-2</c:v>
                </c:pt>
                <c:pt idx="294">
                  <c:v>1.3036448982212101E-2</c:v>
                </c:pt>
                <c:pt idx="295">
                  <c:v>1.3152372335217599E-2</c:v>
                </c:pt>
                <c:pt idx="296">
                  <c:v>1.27619973757359E-2</c:v>
                </c:pt>
                <c:pt idx="297">
                  <c:v>1.27646475619283E-2</c:v>
                </c:pt>
                <c:pt idx="298">
                  <c:v>1.17520594700989E-2</c:v>
                </c:pt>
                <c:pt idx="299">
                  <c:v>1.2024311071228399E-2</c:v>
                </c:pt>
                <c:pt idx="300">
                  <c:v>1.19215160427107E-2</c:v>
                </c:pt>
                <c:pt idx="301">
                  <c:v>1.2771634449722499E-2</c:v>
                </c:pt>
                <c:pt idx="302">
                  <c:v>1.38238321890332E-2</c:v>
                </c:pt>
                <c:pt idx="303">
                  <c:v>1.33630446149977E-2</c:v>
                </c:pt>
                <c:pt idx="304">
                  <c:v>1.4367112432964201E-2</c:v>
                </c:pt>
                <c:pt idx="305">
                  <c:v>1.4014622530009299E-2</c:v>
                </c:pt>
                <c:pt idx="306">
                  <c:v>1.38655569654603E-2</c:v>
                </c:pt>
                <c:pt idx="307">
                  <c:v>1.3623191398079999E-2</c:v>
                </c:pt>
                <c:pt idx="308">
                  <c:v>1.5069691025744699E-2</c:v>
                </c:pt>
                <c:pt idx="309">
                  <c:v>1.4682930391634701E-2</c:v>
                </c:pt>
                <c:pt idx="310">
                  <c:v>1.31309218982047E-2</c:v>
                </c:pt>
                <c:pt idx="311">
                  <c:v>1.31015186674428E-2</c:v>
                </c:pt>
                <c:pt idx="312">
                  <c:v>1.1867354248534299E-2</c:v>
                </c:pt>
                <c:pt idx="313">
                  <c:v>1.41448919711137E-2</c:v>
                </c:pt>
                <c:pt idx="314">
                  <c:v>1.37727035949244E-2</c:v>
                </c:pt>
                <c:pt idx="315">
                  <c:v>1.17263064832461E-2</c:v>
                </c:pt>
                <c:pt idx="316">
                  <c:v>1.2276648567938E-2</c:v>
                </c:pt>
                <c:pt idx="317">
                  <c:v>1.29070450482875E-2</c:v>
                </c:pt>
                <c:pt idx="318">
                  <c:v>1.2987047016567801E-2</c:v>
                </c:pt>
                <c:pt idx="319">
                  <c:v>1.2949213971862701E-2</c:v>
                </c:pt>
                <c:pt idx="320">
                  <c:v>1.5215758703544999E-2</c:v>
                </c:pt>
                <c:pt idx="321">
                  <c:v>1.3892329259869E-2</c:v>
                </c:pt>
                <c:pt idx="322">
                  <c:v>1.25316986274515E-2</c:v>
                </c:pt>
                <c:pt idx="323">
                  <c:v>1.1782626950846699E-2</c:v>
                </c:pt>
                <c:pt idx="324">
                  <c:v>1.22032041543743E-2</c:v>
                </c:pt>
                <c:pt idx="325">
                  <c:v>1.17648158654357E-2</c:v>
                </c:pt>
                <c:pt idx="326">
                  <c:v>1.12984696800916E-2</c:v>
                </c:pt>
                <c:pt idx="327">
                  <c:v>1.1753503582245899E-2</c:v>
                </c:pt>
                <c:pt idx="328">
                  <c:v>1.2127838876006001E-2</c:v>
                </c:pt>
                <c:pt idx="329">
                  <c:v>1.1692852648246099E-2</c:v>
                </c:pt>
                <c:pt idx="330">
                  <c:v>1.2009625427241001E-2</c:v>
                </c:pt>
                <c:pt idx="331">
                  <c:v>1.2046941825499599E-2</c:v>
                </c:pt>
                <c:pt idx="332">
                  <c:v>1.19499220547195E-2</c:v>
                </c:pt>
                <c:pt idx="333">
                  <c:v>1.19655697751335E-2</c:v>
                </c:pt>
                <c:pt idx="334">
                  <c:v>1.27485056264201E-2</c:v>
                </c:pt>
                <c:pt idx="335">
                  <c:v>1.2897406684021199E-2</c:v>
                </c:pt>
                <c:pt idx="336">
                  <c:v>1.28272903484168E-2</c:v>
                </c:pt>
                <c:pt idx="337">
                  <c:v>1.25485597272179E-2</c:v>
                </c:pt>
                <c:pt idx="338">
                  <c:v>1.1889018618006101E-2</c:v>
                </c:pt>
                <c:pt idx="339">
                  <c:v>1.1839672674245899E-2</c:v>
                </c:pt>
                <c:pt idx="340">
                  <c:v>1.2560844419784001E-2</c:v>
                </c:pt>
                <c:pt idx="341">
                  <c:v>1.276344293098E-2</c:v>
                </c:pt>
                <c:pt idx="342">
                  <c:v>1.28181346221494E-2</c:v>
                </c:pt>
                <c:pt idx="343">
                  <c:v>1.2590231936880501E-2</c:v>
                </c:pt>
                <c:pt idx="344">
                  <c:v>1.2785126507572299E-2</c:v>
                </c:pt>
                <c:pt idx="345">
                  <c:v>1.28383737068934E-2</c:v>
                </c:pt>
                <c:pt idx="346">
                  <c:v>1.55542539018286E-2</c:v>
                </c:pt>
                <c:pt idx="347">
                  <c:v>1.47870159194159E-2</c:v>
                </c:pt>
                <c:pt idx="348">
                  <c:v>1.3847226793991901E-2</c:v>
                </c:pt>
                <c:pt idx="349">
                  <c:v>1.3238178631955699E-2</c:v>
                </c:pt>
                <c:pt idx="350">
                  <c:v>1.4826050751356901E-2</c:v>
                </c:pt>
                <c:pt idx="351">
                  <c:v>1.41173892483483E-2</c:v>
                </c:pt>
                <c:pt idx="352">
                  <c:v>1.42725240359594E-2</c:v>
                </c:pt>
                <c:pt idx="353">
                  <c:v>1.5366669224152399E-2</c:v>
                </c:pt>
                <c:pt idx="354">
                  <c:v>1.54633505609431E-2</c:v>
                </c:pt>
                <c:pt idx="355">
                  <c:v>1.5998760910519501E-2</c:v>
                </c:pt>
                <c:pt idx="356">
                  <c:v>1.5895274415169601E-2</c:v>
                </c:pt>
                <c:pt idx="357">
                  <c:v>1.5996348517552599E-2</c:v>
                </c:pt>
                <c:pt idx="358">
                  <c:v>1.43567362332914E-2</c:v>
                </c:pt>
                <c:pt idx="359">
                  <c:v>1.3868692422781799E-2</c:v>
                </c:pt>
                <c:pt idx="360">
                  <c:v>1.2431019625703E-2</c:v>
                </c:pt>
                <c:pt idx="361">
                  <c:v>1.32531231693746E-2</c:v>
                </c:pt>
                <c:pt idx="362">
                  <c:v>1.3310251903822E-2</c:v>
                </c:pt>
                <c:pt idx="363">
                  <c:v>1.29747571462342E-2</c:v>
                </c:pt>
                <c:pt idx="364">
                  <c:v>1.2114837127776499E-2</c:v>
                </c:pt>
                <c:pt idx="365">
                  <c:v>1.10521486446097E-2</c:v>
                </c:pt>
                <c:pt idx="366">
                  <c:v>1.19910881156355E-2</c:v>
                </c:pt>
                <c:pt idx="367">
                  <c:v>1.2299525786362399E-2</c:v>
                </c:pt>
                <c:pt idx="368">
                  <c:v>1.17282319175149E-2</c:v>
                </c:pt>
                <c:pt idx="369">
                  <c:v>1.17368964171087E-2</c:v>
                </c:pt>
                <c:pt idx="370">
                  <c:v>1.21656412048247E-2</c:v>
                </c:pt>
                <c:pt idx="371">
                  <c:v>1.30875403820586E-2</c:v>
                </c:pt>
                <c:pt idx="372">
                  <c:v>1.3626567236163799E-2</c:v>
                </c:pt>
                <c:pt idx="373">
                  <c:v>1.4037780316286001E-2</c:v>
                </c:pt>
                <c:pt idx="374">
                  <c:v>1.28350004979785E-2</c:v>
                </c:pt>
                <c:pt idx="375">
                  <c:v>1.4474017613345399E-2</c:v>
                </c:pt>
                <c:pt idx="376">
                  <c:v>1.41441682056764E-2</c:v>
                </c:pt>
                <c:pt idx="377">
                  <c:v>1.14546163459782E-2</c:v>
                </c:pt>
                <c:pt idx="378">
                  <c:v>1.11303202042463E-2</c:v>
                </c:pt>
                <c:pt idx="379">
                  <c:v>1.16733584779623E-2</c:v>
                </c:pt>
                <c:pt idx="380">
                  <c:v>1.1616322138845E-2</c:v>
                </c:pt>
                <c:pt idx="381">
                  <c:v>1.1590572609800899E-2</c:v>
                </c:pt>
                <c:pt idx="382">
                  <c:v>1.24671473010188E-2</c:v>
                </c:pt>
                <c:pt idx="383">
                  <c:v>1.11471579470355E-2</c:v>
                </c:pt>
                <c:pt idx="384">
                  <c:v>1.1382194014421801E-2</c:v>
                </c:pt>
                <c:pt idx="385">
                  <c:v>1.23968199489769E-2</c:v>
                </c:pt>
                <c:pt idx="386">
                  <c:v>1.2144693242922701E-2</c:v>
                </c:pt>
                <c:pt idx="387">
                  <c:v>1.23245709136879E-2</c:v>
                </c:pt>
                <c:pt idx="388">
                  <c:v>1.21271165522736E-2</c:v>
                </c:pt>
                <c:pt idx="389">
                  <c:v>1.17619276108851E-2</c:v>
                </c:pt>
                <c:pt idx="390">
                  <c:v>1.1753503582245899E-2</c:v>
                </c:pt>
                <c:pt idx="391">
                  <c:v>1.19788103431103E-2</c:v>
                </c:pt>
                <c:pt idx="392">
                  <c:v>1.1568192710821599E-2</c:v>
                </c:pt>
                <c:pt idx="393">
                  <c:v>1.17879221989175E-2</c:v>
                </c:pt>
                <c:pt idx="394">
                  <c:v>1.2041163712423E-2</c:v>
                </c:pt>
                <c:pt idx="395">
                  <c:v>1.2024311071228399E-2</c:v>
                </c:pt>
                <c:pt idx="396">
                  <c:v>1.2228006097467801E-2</c:v>
                </c:pt>
                <c:pt idx="397">
                  <c:v>1.0772945156908501E-2</c:v>
                </c:pt>
                <c:pt idx="398">
                  <c:v>1.03605044740358E-2</c:v>
                </c:pt>
                <c:pt idx="399">
                  <c:v>1.09386302544042E-2</c:v>
                </c:pt>
                <c:pt idx="400">
                  <c:v>1.0483566355244099E-2</c:v>
                </c:pt>
                <c:pt idx="401">
                  <c:v>1.0590745959462199E-2</c:v>
                </c:pt>
                <c:pt idx="402">
                  <c:v>1.1215473953002699E-2</c:v>
                </c:pt>
                <c:pt idx="403">
                  <c:v>1.12378460432212E-2</c:v>
                </c:pt>
                <c:pt idx="404">
                  <c:v>1.1184201968685401E-2</c:v>
                </c:pt>
                <c:pt idx="405">
                  <c:v>1.13564504490744E-2</c:v>
                </c:pt>
                <c:pt idx="406">
                  <c:v>1.16748024776838E-2</c:v>
                </c:pt>
                <c:pt idx="407">
                  <c:v>1.17819048737135E-2</c:v>
                </c:pt>
                <c:pt idx="408">
                  <c:v>1.1576133908580999E-2</c:v>
                </c:pt>
                <c:pt idx="409">
                  <c:v>1.17520594700989E-2</c:v>
                </c:pt>
                <c:pt idx="410">
                  <c:v>1.2090037960478099E-2</c:v>
                </c:pt>
                <c:pt idx="411">
                  <c:v>1.27367004934034E-2</c:v>
                </c:pt>
                <c:pt idx="412">
                  <c:v>1.28082561683388E-2</c:v>
                </c:pt>
                <c:pt idx="413">
                  <c:v>1.2994758383997501E-2</c:v>
                </c:pt>
                <c:pt idx="414">
                  <c:v>1.2939575205766E-2</c:v>
                </c:pt>
                <c:pt idx="415">
                  <c:v>1.2988492893483E-2</c:v>
                </c:pt>
                <c:pt idx="416">
                  <c:v>1.29193340959307E-2</c:v>
                </c:pt>
                <c:pt idx="417">
                  <c:v>1.2829458822040601E-2</c:v>
                </c:pt>
                <c:pt idx="418">
                  <c:v>1.276344293098E-2</c:v>
                </c:pt>
                <c:pt idx="419">
                  <c:v>1.2638891834580701E-2</c:v>
                </c:pt>
                <c:pt idx="420">
                  <c:v>1.29557201909021E-2</c:v>
                </c:pt>
                <c:pt idx="421">
                  <c:v>1.3056210444050099E-2</c:v>
                </c:pt>
                <c:pt idx="422">
                  <c:v>1.2858854145377199E-2</c:v>
                </c:pt>
                <c:pt idx="423">
                  <c:v>1.2304342108826199E-2</c:v>
                </c:pt>
                <c:pt idx="424">
                  <c:v>1.1577096482245801E-2</c:v>
                </c:pt>
                <c:pt idx="425">
                  <c:v>1.17881628926708E-2</c:v>
                </c:pt>
                <c:pt idx="426">
                  <c:v>1.2077277460925E-2</c:v>
                </c:pt>
                <c:pt idx="427">
                  <c:v>1.1612712352250899E-2</c:v>
                </c:pt>
                <c:pt idx="428">
                  <c:v>1.16473668356987E-2</c:v>
                </c:pt>
                <c:pt idx="429">
                  <c:v>1.19491998580857E-2</c:v>
                </c:pt>
                <c:pt idx="430">
                  <c:v>1.14803624117808E-2</c:v>
                </c:pt>
                <c:pt idx="431">
                  <c:v>1.0903038131001099E-2</c:v>
                </c:pt>
                <c:pt idx="432">
                  <c:v>1.07748687757412E-2</c:v>
                </c:pt>
                <c:pt idx="433">
                  <c:v>1.0387475658417701E-2</c:v>
                </c:pt>
                <c:pt idx="434">
                  <c:v>1.0757796786576001E-2</c:v>
                </c:pt>
                <c:pt idx="435">
                  <c:v>1.14139533349167E-2</c:v>
                </c:pt>
                <c:pt idx="436">
                  <c:v>1.17210115579163E-2</c:v>
                </c:pt>
                <c:pt idx="437">
                  <c:v>1.2203926532464601E-2</c:v>
                </c:pt>
                <c:pt idx="438">
                  <c:v>1.19419779201216E-2</c:v>
                </c:pt>
                <c:pt idx="439">
                  <c:v>1.19369225942422E-2</c:v>
                </c:pt>
                <c:pt idx="440">
                  <c:v>1.24274069291587E-2</c:v>
                </c:pt>
                <c:pt idx="441">
                  <c:v>1.2841987871786E-2</c:v>
                </c:pt>
                <c:pt idx="442">
                  <c:v>1.2448360748776499E-2</c:v>
                </c:pt>
                <c:pt idx="443">
                  <c:v>1.15511073150312E-2</c:v>
                </c:pt>
                <c:pt idx="444">
                  <c:v>1.1617284750780501E-2</c:v>
                </c:pt>
                <c:pt idx="445">
                  <c:v>1.2716463443088201E-2</c:v>
                </c:pt>
                <c:pt idx="446">
                  <c:v>1.2410788691288799E-2</c:v>
                </c:pt>
                <c:pt idx="447">
                  <c:v>1.18100662641012E-2</c:v>
                </c:pt>
                <c:pt idx="448">
                  <c:v>1.12823511360304E-2</c:v>
                </c:pt>
                <c:pt idx="449">
                  <c:v>1.13119420932477E-2</c:v>
                </c:pt>
                <c:pt idx="450">
                  <c:v>1.16841885261525E-2</c:v>
                </c:pt>
                <c:pt idx="451">
                  <c:v>1.2243417320016201E-2</c:v>
                </c:pt>
                <c:pt idx="452">
                  <c:v>1.3102723701088399E-2</c:v>
                </c:pt>
                <c:pt idx="453">
                  <c:v>1.20967794214845E-2</c:v>
                </c:pt>
                <c:pt idx="454">
                  <c:v>1.0689505772068701E-2</c:v>
                </c:pt>
                <c:pt idx="455">
                  <c:v>1.08982284807475E-2</c:v>
                </c:pt>
                <c:pt idx="456">
                  <c:v>1.1782386258411701E-2</c:v>
                </c:pt>
                <c:pt idx="457">
                  <c:v>1.2771875377748701E-2</c:v>
                </c:pt>
                <c:pt idx="458">
                  <c:v>1.2130728176095401E-2</c:v>
                </c:pt>
                <c:pt idx="459">
                  <c:v>1.1947033271279699E-2</c:v>
                </c:pt>
                <c:pt idx="460">
                  <c:v>1.16531426984468E-2</c:v>
                </c:pt>
                <c:pt idx="461">
                  <c:v>1.16865952192851E-2</c:v>
                </c:pt>
                <c:pt idx="462">
                  <c:v>1.1369201852757299E-2</c:v>
                </c:pt>
                <c:pt idx="463">
                  <c:v>1.0204952589125999E-2</c:v>
                </c:pt>
                <c:pt idx="464">
                  <c:v>9.4720621753365906E-3</c:v>
                </c:pt>
                <c:pt idx="465">
                  <c:v>9.2047918482364606E-3</c:v>
                </c:pt>
                <c:pt idx="466">
                  <c:v>9.0592783493823707E-3</c:v>
                </c:pt>
                <c:pt idx="467">
                  <c:v>8.8483811368024901E-3</c:v>
                </c:pt>
                <c:pt idx="468">
                  <c:v>8.6209404859411004E-3</c:v>
                </c:pt>
                <c:pt idx="469">
                  <c:v>8.6735886784612606E-3</c:v>
                </c:pt>
                <c:pt idx="470">
                  <c:v>9.6672069755917509E-3</c:v>
                </c:pt>
                <c:pt idx="471">
                  <c:v>1.04570742731436E-2</c:v>
                </c:pt>
                <c:pt idx="472">
                  <c:v>1.10035650607315E-2</c:v>
                </c:pt>
                <c:pt idx="473">
                  <c:v>1.1633889950962199E-2</c:v>
                </c:pt>
                <c:pt idx="474">
                  <c:v>1.23934482125006E-2</c:v>
                </c:pt>
                <c:pt idx="475">
                  <c:v>1.25121882771455E-2</c:v>
                </c:pt>
                <c:pt idx="476">
                  <c:v>1.26246790481523E-2</c:v>
                </c:pt>
                <c:pt idx="477">
                  <c:v>1.2320717776800201E-2</c:v>
                </c:pt>
                <c:pt idx="478">
                  <c:v>1.22347484784304E-2</c:v>
                </c:pt>
                <c:pt idx="479">
                  <c:v>1.22850769566134E-2</c:v>
                </c:pt>
                <c:pt idx="480">
                  <c:v>1.23387794828567E-2</c:v>
                </c:pt>
                <c:pt idx="481">
                  <c:v>1.1805974389435101E-2</c:v>
                </c:pt>
                <c:pt idx="482">
                  <c:v>1.1304484128059801E-2</c:v>
                </c:pt>
                <c:pt idx="483">
                  <c:v>1.16569932919469E-2</c:v>
                </c:pt>
                <c:pt idx="484">
                  <c:v>1.30506675560419E-2</c:v>
                </c:pt>
                <c:pt idx="485">
                  <c:v>1.35817177350834E-2</c:v>
                </c:pt>
                <c:pt idx="486">
                  <c:v>1.4209791709274701E-2</c:v>
                </c:pt>
                <c:pt idx="487">
                  <c:v>1.4494289846513801E-2</c:v>
                </c:pt>
                <c:pt idx="488">
                  <c:v>1.4680039279726101E-2</c:v>
                </c:pt>
                <c:pt idx="489">
                  <c:v>1.32577029911647E-2</c:v>
                </c:pt>
                <c:pt idx="490">
                  <c:v>1.25851733689931E-2</c:v>
                </c:pt>
                <c:pt idx="491">
                  <c:v>1.2110021707897701E-2</c:v>
                </c:pt>
                <c:pt idx="492">
                  <c:v>1.18842042735581E-2</c:v>
                </c:pt>
                <c:pt idx="493">
                  <c:v>1.20890748982895E-2</c:v>
                </c:pt>
                <c:pt idx="494">
                  <c:v>1.2016607100241701E-2</c:v>
                </c:pt>
                <c:pt idx="495">
                  <c:v>1.21716608143822E-2</c:v>
                </c:pt>
                <c:pt idx="496">
                  <c:v>1.2125431132238299E-2</c:v>
                </c:pt>
                <c:pt idx="497">
                  <c:v>1.2296395189062901E-2</c:v>
                </c:pt>
                <c:pt idx="498">
                  <c:v>1.2087871071843699E-2</c:v>
                </c:pt>
                <c:pt idx="499">
                  <c:v>1.22590695833416E-2</c:v>
                </c:pt>
                <c:pt idx="500">
                  <c:v>1.1753022211300901E-2</c:v>
                </c:pt>
                <c:pt idx="501">
                  <c:v>1.1975921477126001E-2</c:v>
                </c:pt>
                <c:pt idx="502">
                  <c:v>1.16086212763614E-2</c:v>
                </c:pt>
                <c:pt idx="503">
                  <c:v>1.17205302024434E-2</c:v>
                </c:pt>
                <c:pt idx="504">
                  <c:v>1.14885435419553E-2</c:v>
                </c:pt>
                <c:pt idx="505">
                  <c:v>1.1441863864661899E-2</c:v>
                </c:pt>
                <c:pt idx="506">
                  <c:v>1.1704404926554101E-2</c:v>
                </c:pt>
                <c:pt idx="507">
                  <c:v>1.16974254092902E-2</c:v>
                </c:pt>
                <c:pt idx="508">
                  <c:v>1.15571232665237E-2</c:v>
                </c:pt>
                <c:pt idx="509">
                  <c:v>1.1565545658765899E-2</c:v>
                </c:pt>
                <c:pt idx="510">
                  <c:v>1.17202895247931E-2</c:v>
                </c:pt>
                <c:pt idx="511">
                  <c:v>1.2334203820143301E-2</c:v>
                </c:pt>
                <c:pt idx="512">
                  <c:v>1.21153186710257E-2</c:v>
                </c:pt>
                <c:pt idx="513">
                  <c:v>1.1708015040599699E-2</c:v>
                </c:pt>
                <c:pt idx="514">
                  <c:v>1.10812518110245E-2</c:v>
                </c:pt>
                <c:pt idx="515">
                  <c:v>1.05709951553375E-2</c:v>
                </c:pt>
                <c:pt idx="516">
                  <c:v>1.06256721069358E-2</c:v>
                </c:pt>
                <c:pt idx="517">
                  <c:v>1.1275615104226901E-2</c:v>
                </c:pt>
                <c:pt idx="518">
                  <c:v>1.18054929935045E-2</c:v>
                </c:pt>
                <c:pt idx="519">
                  <c:v>1.20129958840497E-2</c:v>
                </c:pt>
                <c:pt idx="520">
                  <c:v>1.21210972079054E-2</c:v>
                </c:pt>
                <c:pt idx="521">
                  <c:v>1.2069813847154101E-2</c:v>
                </c:pt>
                <c:pt idx="522">
                  <c:v>1.15070716403831E-2</c:v>
                </c:pt>
                <c:pt idx="523">
                  <c:v>1.0476582011621801E-2</c:v>
                </c:pt>
                <c:pt idx="524">
                  <c:v>9.9040301029907907E-3</c:v>
                </c:pt>
                <c:pt idx="525">
                  <c:v>1.00349805506492E-2</c:v>
                </c:pt>
                <c:pt idx="526">
                  <c:v>1.03660431406459E-2</c:v>
                </c:pt>
                <c:pt idx="527">
                  <c:v>1.14719407292979E-2</c:v>
                </c:pt>
                <c:pt idx="528">
                  <c:v>1.16697484876832E-2</c:v>
                </c:pt>
                <c:pt idx="529">
                  <c:v>1.1771795848001599E-2</c:v>
                </c:pt>
                <c:pt idx="530">
                  <c:v>1.2189479068710899E-2</c:v>
                </c:pt>
                <c:pt idx="531">
                  <c:v>1.23435959922918E-2</c:v>
                </c:pt>
                <c:pt idx="532">
                  <c:v>1.23874272824698E-2</c:v>
                </c:pt>
                <c:pt idx="533">
                  <c:v>1.28583722479429E-2</c:v>
                </c:pt>
                <c:pt idx="534">
                  <c:v>1.3049221590252401E-2</c:v>
                </c:pt>
                <c:pt idx="535">
                  <c:v>1.2238842088806601E-2</c:v>
                </c:pt>
                <c:pt idx="536">
                  <c:v>1.2133617484441601E-2</c:v>
                </c:pt>
                <c:pt idx="537">
                  <c:v>1.1962921682346301E-2</c:v>
                </c:pt>
                <c:pt idx="538">
                  <c:v>1.1596588796180401E-2</c:v>
                </c:pt>
                <c:pt idx="539">
                  <c:v>1.16485701377164E-2</c:v>
                </c:pt>
                <c:pt idx="540">
                  <c:v>1.2069332325577E-2</c:v>
                </c:pt>
                <c:pt idx="541">
                  <c:v>1.1763853113002E-2</c:v>
                </c:pt>
                <c:pt idx="542">
                  <c:v>1.1836543500488701E-2</c:v>
                </c:pt>
                <c:pt idx="543">
                  <c:v>1.18661506860647E-2</c:v>
                </c:pt>
                <c:pt idx="544">
                  <c:v>1.19258491115987E-2</c:v>
                </c:pt>
                <c:pt idx="545">
                  <c:v>1.20621095294389E-2</c:v>
                </c:pt>
                <c:pt idx="546">
                  <c:v>1.25805965912786E-2</c:v>
                </c:pt>
                <c:pt idx="547">
                  <c:v>1.2082815016423E-2</c:v>
                </c:pt>
                <c:pt idx="548">
                  <c:v>1.1491671638639501E-2</c:v>
                </c:pt>
                <c:pt idx="549">
                  <c:v>1.15383536162802E-2</c:v>
                </c:pt>
                <c:pt idx="550">
                  <c:v>1.1220285113400501E-2</c:v>
                </c:pt>
                <c:pt idx="551">
                  <c:v>1.1326858188725799E-2</c:v>
                </c:pt>
                <c:pt idx="552">
                  <c:v>1.16663791750542E-2</c:v>
                </c:pt>
                <c:pt idx="553">
                  <c:v>1.24151238574477E-2</c:v>
                </c:pt>
                <c:pt idx="554">
                  <c:v>1.2207056843487199E-2</c:v>
                </c:pt>
                <c:pt idx="555">
                  <c:v>1.2421626641533101E-2</c:v>
                </c:pt>
                <c:pt idx="556">
                  <c:v>1.1931626565671399E-2</c:v>
                </c:pt>
                <c:pt idx="557">
                  <c:v>1.1605011517267999E-2</c:v>
                </c:pt>
                <c:pt idx="558">
                  <c:v>1.14555788039281E-2</c:v>
                </c:pt>
                <c:pt idx="559">
                  <c:v>1.15024997403769E-2</c:v>
                </c:pt>
                <c:pt idx="560">
                  <c:v>1.16610845636123E-2</c:v>
                </c:pt>
                <c:pt idx="561">
                  <c:v>1.2692613153624599E-2</c:v>
                </c:pt>
                <c:pt idx="562">
                  <c:v>1.2327219953815201E-2</c:v>
                </c:pt>
                <c:pt idx="563">
                  <c:v>1.2488342804597799E-2</c:v>
                </c:pt>
                <c:pt idx="564">
                  <c:v>1.27665749744301E-2</c:v>
                </c:pt>
                <c:pt idx="565">
                  <c:v>1.24300562386959E-2</c:v>
                </c:pt>
                <c:pt idx="566">
                  <c:v>1.2278575050584301E-2</c:v>
                </c:pt>
                <c:pt idx="567">
                  <c:v>1.1128155371955399E-2</c:v>
                </c:pt>
                <c:pt idx="568">
                  <c:v>1.1174580014338501E-2</c:v>
                </c:pt>
                <c:pt idx="569">
                  <c:v>1.0891014048291099E-2</c:v>
                </c:pt>
                <c:pt idx="570">
                  <c:v>1.0697936935011801E-2</c:v>
                </c:pt>
                <c:pt idx="571">
                  <c:v>1.05117450595523E-2</c:v>
                </c:pt>
                <c:pt idx="572">
                  <c:v>1.0510781672069799E-2</c:v>
                </c:pt>
                <c:pt idx="573">
                  <c:v>1.05274002348983E-2</c:v>
                </c:pt>
                <c:pt idx="574">
                  <c:v>1.0736637538344701E-2</c:v>
                </c:pt>
                <c:pt idx="575">
                  <c:v>1.0866725837632501E-2</c:v>
                </c:pt>
                <c:pt idx="576">
                  <c:v>1.0788093754353099E-2</c:v>
                </c:pt>
                <c:pt idx="577">
                  <c:v>1.11178123483492E-2</c:v>
                </c:pt>
                <c:pt idx="578">
                  <c:v>1.0776311492269E-2</c:v>
                </c:pt>
                <c:pt idx="579">
                  <c:v>1.0610978890875001E-2</c:v>
                </c:pt>
                <c:pt idx="580">
                  <c:v>1.1086062332472399E-2</c:v>
                </c:pt>
                <c:pt idx="581">
                  <c:v>1.15872035610686E-2</c:v>
                </c:pt>
                <c:pt idx="582">
                  <c:v>1.1706811667818701E-2</c:v>
                </c:pt>
                <c:pt idx="583">
                  <c:v>1.16288361655091E-2</c:v>
                </c:pt>
                <c:pt idx="584">
                  <c:v>1.14914310154739E-2</c:v>
                </c:pt>
                <c:pt idx="585">
                  <c:v>1.1383878195754401E-2</c:v>
                </c:pt>
                <c:pt idx="586">
                  <c:v>1.16950186903727E-2</c:v>
                </c:pt>
                <c:pt idx="587">
                  <c:v>1.17356930099462E-2</c:v>
                </c:pt>
                <c:pt idx="588">
                  <c:v>1.1936681865069E-2</c:v>
                </c:pt>
                <c:pt idx="589">
                  <c:v>1.2714054297403399E-2</c:v>
                </c:pt>
                <c:pt idx="590">
                  <c:v>1.3729535708443499E-2</c:v>
                </c:pt>
                <c:pt idx="591">
                  <c:v>1.4411514116705699E-2</c:v>
                </c:pt>
                <c:pt idx="592">
                  <c:v>1.4046947086412701E-2</c:v>
                </c:pt>
                <c:pt idx="593">
                  <c:v>1.05054830573385E-2</c:v>
                </c:pt>
                <c:pt idx="594">
                  <c:v>7.7222580740892097E-3</c:v>
                </c:pt>
                <c:pt idx="595">
                  <c:v>5.4837902577473396E-3</c:v>
                </c:pt>
                <c:pt idx="596">
                  <c:v>4.1024455966270704E-3</c:v>
                </c:pt>
                <c:pt idx="597">
                  <c:v>3.1737369486293599E-3</c:v>
                </c:pt>
                <c:pt idx="598">
                  <c:v>2.7325541432477798E-3</c:v>
                </c:pt>
                <c:pt idx="599">
                  <c:v>2.38498715313047E-3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02720"/>
        <c:axId val="67703296"/>
      </c:scatterChart>
      <c:valAx>
        <c:axId val="67702720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0005502457"/>
              <c:y val="0.8766956761983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703296"/>
        <c:crossesAt val="0"/>
        <c:crossBetween val="midCat"/>
        <c:majorUnit val="100"/>
        <c:minorUnit val="25"/>
      </c:valAx>
      <c:valAx>
        <c:axId val="67703296"/>
        <c:scaling>
          <c:orientation val="minMax"/>
          <c:max val="3.0000000000000009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1.1678414412034975E-2"/>
              <c:y val="0.346678008739212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702720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I$5" max="1000" page="10" val="100"/>
</file>

<file path=xl/ctrlProps/ctrlProp2.xml><?xml version="1.0" encoding="utf-8"?>
<formControlPr xmlns="http://schemas.microsoft.com/office/spreadsheetml/2009/9/main" objectType="Spin" dx="15" fmlaLink="$I$4" max="1000" page="10" val="284"/>
</file>

<file path=xl/ctrlProps/ctrlProp3.xml><?xml version="1.0" encoding="utf-8"?>
<formControlPr xmlns="http://schemas.microsoft.com/office/spreadsheetml/2009/9/main" objectType="Spin" dx="15" fmlaLink="$I$3" max="1000" page="10" val="50"/>
</file>

<file path=xl/ctrlProps/ctrlProp4.xml><?xml version="1.0" encoding="utf-8"?>
<formControlPr xmlns="http://schemas.microsoft.com/office/spreadsheetml/2009/9/main" objectType="Spin" dx="15" fmlaLink="$I$2" max="1000" page="1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7</xdr:row>
      <xdr:rowOff>152400</xdr:rowOff>
    </xdr:from>
    <xdr:to>
      <xdr:col>10</xdr:col>
      <xdr:colOff>38100</xdr:colOff>
      <xdr:row>23</xdr:row>
      <xdr:rowOff>95250</xdr:rowOff>
    </xdr:to>
    <xdr:graphicFrame macro="">
      <xdr:nvGraphicFramePr>
        <xdr:cNvPr id="1528930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981075</xdr:colOff>
      <xdr:row>8</xdr:row>
      <xdr:rowOff>123825</xdr:rowOff>
    </xdr:from>
    <xdr:to>
      <xdr:col>19</xdr:col>
      <xdr:colOff>800100</xdr:colOff>
      <xdr:row>24</xdr:row>
      <xdr:rowOff>57150</xdr:rowOff>
    </xdr:to>
    <xdr:graphicFrame macro="">
      <xdr:nvGraphicFramePr>
        <xdr:cNvPr id="1528931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666750</xdr:colOff>
      <xdr:row>6</xdr:row>
      <xdr:rowOff>171450</xdr:rowOff>
    </xdr:from>
    <xdr:to>
      <xdr:col>27</xdr:col>
      <xdr:colOff>238125</xdr:colOff>
      <xdr:row>23</xdr:row>
      <xdr:rowOff>123825</xdr:rowOff>
    </xdr:to>
    <xdr:graphicFrame macro="">
      <xdr:nvGraphicFramePr>
        <xdr:cNvPr id="1528932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26</xdr:row>
      <xdr:rowOff>142875</xdr:rowOff>
    </xdr:from>
    <xdr:to>
      <xdr:col>14</xdr:col>
      <xdr:colOff>1019175</xdr:colOff>
      <xdr:row>48</xdr:row>
      <xdr:rowOff>85725</xdr:rowOff>
    </xdr:to>
    <xdr:graphicFrame macro="">
      <xdr:nvGraphicFramePr>
        <xdr:cNvPr id="1528933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25</xdr:row>
      <xdr:rowOff>152400</xdr:rowOff>
    </xdr:from>
    <xdr:to>
      <xdr:col>6</xdr:col>
      <xdr:colOff>323850</xdr:colOff>
      <xdr:row>47</xdr:row>
      <xdr:rowOff>85725</xdr:rowOff>
    </xdr:to>
    <xdr:graphicFrame macro="">
      <xdr:nvGraphicFramePr>
        <xdr:cNvPr id="1528934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971550</xdr:colOff>
      <xdr:row>8</xdr:row>
      <xdr:rowOff>38100</xdr:rowOff>
    </xdr:from>
    <xdr:to>
      <xdr:col>23</xdr:col>
      <xdr:colOff>1162050</xdr:colOff>
      <xdr:row>23</xdr:row>
      <xdr:rowOff>142875</xdr:rowOff>
    </xdr:to>
    <xdr:graphicFrame macro="">
      <xdr:nvGraphicFramePr>
        <xdr:cNvPr id="1528935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238125</xdr:colOff>
      <xdr:row>26</xdr:row>
      <xdr:rowOff>19050</xdr:rowOff>
    </xdr:from>
    <xdr:to>
      <xdr:col>10</xdr:col>
      <xdr:colOff>171450</xdr:colOff>
      <xdr:row>47</xdr:row>
      <xdr:rowOff>114300</xdr:rowOff>
    </xdr:to>
    <xdr:graphicFrame macro="">
      <xdr:nvGraphicFramePr>
        <xdr:cNvPr id="1528936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47625</xdr:colOff>
      <xdr:row>33</xdr:row>
      <xdr:rowOff>85725</xdr:rowOff>
    </xdr:from>
    <xdr:to>
      <xdr:col>1</xdr:col>
      <xdr:colOff>400050</xdr:colOff>
      <xdr:row>44</xdr:row>
      <xdr:rowOff>95250</xdr:rowOff>
    </xdr:to>
    <xdr:pic>
      <xdr:nvPicPr>
        <xdr:cNvPr id="1528937" name="Immagine 1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 l="15929" t="7425" r="14159"/>
        <a:stretch>
          <a:fillRect/>
        </a:stretch>
      </xdr:blipFill>
      <xdr:spPr bwMode="auto">
        <a:xfrm>
          <a:off x="47625" y="6505575"/>
          <a:ext cx="1504950" cy="1790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10</xdr:col>
      <xdr:colOff>342900</xdr:colOff>
      <xdr:row>8</xdr:row>
      <xdr:rowOff>19050</xdr:rowOff>
    </xdr:from>
    <xdr:to>
      <xdr:col>14</xdr:col>
      <xdr:colOff>866775</xdr:colOff>
      <xdr:row>23</xdr:row>
      <xdr:rowOff>152400</xdr:rowOff>
    </xdr:to>
    <xdr:graphicFrame macro="">
      <xdr:nvGraphicFramePr>
        <xdr:cNvPr id="1528938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0</xdr:rowOff>
        </xdr:from>
        <xdr:to>
          <xdr:col>6</xdr:col>
          <xdr:colOff>1038225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3</xdr:row>
          <xdr:rowOff>9525</xdr:rowOff>
        </xdr:from>
        <xdr:to>
          <xdr:col>6</xdr:col>
          <xdr:colOff>1038225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0</xdr:rowOff>
        </xdr:from>
        <xdr:to>
          <xdr:col>6</xdr:col>
          <xdr:colOff>1038225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0</xdr:rowOff>
        </xdr:from>
        <xdr:to>
          <xdr:col>6</xdr:col>
          <xdr:colOff>1038225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30</xdr:row>
          <xdr:rowOff>95250</xdr:rowOff>
        </xdr:from>
        <xdr:to>
          <xdr:col>1</xdr:col>
          <xdr:colOff>304800</xdr:colOff>
          <xdr:row>32</xdr:row>
          <xdr:rowOff>133350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18</xdr:row>
          <xdr:rowOff>85725</xdr:rowOff>
        </xdr:from>
        <xdr:to>
          <xdr:col>4</xdr:col>
          <xdr:colOff>1000125</xdr:colOff>
          <xdr:row>20</xdr:row>
          <xdr:rowOff>104774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18</xdr:row>
          <xdr:rowOff>76200</xdr:rowOff>
        </xdr:from>
        <xdr:to>
          <xdr:col>5</xdr:col>
          <xdr:colOff>1085850</xdr:colOff>
          <xdr:row>20</xdr:row>
          <xdr:rowOff>95250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F1875"/>
  <sheetViews>
    <sheetView tabSelected="1" zoomScaleNormal="100" workbookViewId="0">
      <selection activeCell="H25" sqref="H25"/>
    </sheetView>
  </sheetViews>
  <sheetFormatPr defaultColWidth="15.7109375" defaultRowHeight="12.75" x14ac:dyDescent="0.2"/>
  <cols>
    <col min="1" max="1" width="17.28515625" style="2" customWidth="1"/>
    <col min="2" max="3" width="15.7109375" style="2"/>
    <col min="4" max="5" width="15.7109375" style="2" customWidth="1"/>
    <col min="6" max="6" width="18" style="2" customWidth="1"/>
    <col min="7" max="7" width="17" style="2" customWidth="1"/>
    <col min="8" max="9" width="15.7109375" style="2"/>
    <col min="10" max="11" width="13.140625" style="2" customWidth="1"/>
    <col min="12" max="22" width="15.7109375" style="2"/>
    <col min="23" max="23" width="13.85546875" style="2" customWidth="1"/>
    <col min="24" max="24" width="22.28515625" style="2" customWidth="1"/>
    <col min="25" max="35" width="21.140625" style="2" customWidth="1"/>
    <col min="36" max="47" width="20" style="2" customWidth="1"/>
    <col min="48" max="98" width="15.7109375" style="2"/>
    <col min="99" max="99" width="21.7109375" style="2" customWidth="1"/>
    <col min="100" max="107" width="15.7109375" style="2"/>
    <col min="108" max="117" width="20.7109375" style="2" customWidth="1"/>
    <col min="118" max="125" width="15.7109375" style="2"/>
    <col min="126" max="126" width="19.28515625" style="2" customWidth="1"/>
    <col min="127" max="16384" width="15.7109375" style="2"/>
  </cols>
  <sheetData>
    <row r="1" spans="1:136" ht="15" x14ac:dyDescent="0.2">
      <c r="A1" s="99" t="s">
        <v>0</v>
      </c>
      <c r="B1" s="99"/>
      <c r="C1" s="1"/>
      <c r="D1" s="59" t="s">
        <v>13</v>
      </c>
      <c r="E1" s="62" t="s">
        <v>102</v>
      </c>
      <c r="F1" s="63" t="s">
        <v>33</v>
      </c>
      <c r="H1" s="100" t="s">
        <v>1</v>
      </c>
      <c r="I1" s="100"/>
      <c r="J1" s="3" t="s">
        <v>2</v>
      </c>
      <c r="K1" s="3" t="s">
        <v>3</v>
      </c>
      <c r="M1" s="101" t="s">
        <v>31</v>
      </c>
      <c r="N1" s="101"/>
      <c r="O1" s="4"/>
      <c r="P1" s="101" t="s">
        <v>32</v>
      </c>
      <c r="Q1" s="101"/>
      <c r="R1" s="68"/>
      <c r="S1" s="102"/>
      <c r="T1" s="102"/>
      <c r="U1" s="30"/>
      <c r="V1" s="102"/>
      <c r="W1" s="102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DI1" s="2" t="s">
        <v>106</v>
      </c>
      <c r="DJ1" s="59" t="s">
        <v>13</v>
      </c>
      <c r="DK1" s="85" t="s">
        <v>38</v>
      </c>
      <c r="DL1" s="72" t="s">
        <v>40</v>
      </c>
      <c r="DM1" s="75" t="s">
        <v>10</v>
      </c>
      <c r="DN1" s="78" t="s">
        <v>76</v>
      </c>
      <c r="DO1" s="72" t="s">
        <v>45</v>
      </c>
      <c r="DP1" s="72" t="s">
        <v>47</v>
      </c>
      <c r="DQ1" s="81" t="s">
        <v>49</v>
      </c>
      <c r="DR1" s="81" t="s">
        <v>35</v>
      </c>
      <c r="DS1" s="81" t="s">
        <v>36</v>
      </c>
      <c r="DT1" s="72" t="s">
        <v>71</v>
      </c>
      <c r="DU1" s="72" t="s">
        <v>72</v>
      </c>
      <c r="DV1" s="72" t="s">
        <v>73</v>
      </c>
      <c r="DW1" s="72" t="s">
        <v>75</v>
      </c>
      <c r="DX1" s="72" t="s">
        <v>43</v>
      </c>
      <c r="DY1" s="81" t="s">
        <v>51</v>
      </c>
      <c r="DZ1" s="81" t="s">
        <v>53</v>
      </c>
      <c r="EA1" s="78" t="s">
        <v>74</v>
      </c>
      <c r="EC1" s="5" t="s">
        <v>4</v>
      </c>
      <c r="ED1" s="5" t="s">
        <v>6</v>
      </c>
      <c r="EE1" s="7" t="s">
        <v>8</v>
      </c>
      <c r="EF1" s="7" t="s">
        <v>11</v>
      </c>
    </row>
    <row r="2" spans="1:136" ht="15" x14ac:dyDescent="0.2">
      <c r="A2" s="52" t="s">
        <v>37</v>
      </c>
      <c r="B2" s="53">
        <v>84.911799599999995</v>
      </c>
      <c r="C2" s="20"/>
      <c r="D2" s="85" t="s">
        <v>38</v>
      </c>
      <c r="E2" s="86">
        <f ca="1">AVERAGE(OFFSET(Data!AY67,Data!J4,0,Data!J5))</f>
        <v>0.70867726121974939</v>
      </c>
      <c r="F2" s="87">
        <f ca="1">AVERAGE(OFFSET(Data!BH67,Data!J4,0,Data!J5))</f>
        <v>0.70859120060368896</v>
      </c>
      <c r="G2" s="19"/>
      <c r="H2" s="5" t="s">
        <v>4</v>
      </c>
      <c r="I2" s="6">
        <v>5</v>
      </c>
      <c r="J2" s="45">
        <f>I2+1</f>
        <v>6</v>
      </c>
      <c r="K2" s="46">
        <v>0</v>
      </c>
      <c r="L2" s="19"/>
      <c r="M2" s="47">
        <f ca="1">AVERAGE((OFFSET(AW67,J4,0,J5)))</f>
        <v>0.7086888989335276</v>
      </c>
      <c r="N2" s="48" t="s">
        <v>5</v>
      </c>
      <c r="O2" s="49"/>
      <c r="P2" s="47">
        <f ca="1">AVERAGE((OFFSET(BF67,J4,0,J5)))</f>
        <v>0.70861132160694107</v>
      </c>
      <c r="Q2" s="48" t="s">
        <v>5</v>
      </c>
      <c r="R2" s="49"/>
      <c r="S2" s="27"/>
      <c r="T2" s="51"/>
      <c r="U2" s="30"/>
      <c r="V2" s="27"/>
      <c r="W2" s="51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W2" s="19"/>
      <c r="DJ2" s="59" t="s">
        <v>102</v>
      </c>
      <c r="DK2" s="9">
        <f ca="1">E2</f>
        <v>0.70867726121974939</v>
      </c>
      <c r="DL2" s="9">
        <f ca="1">E3</f>
        <v>6.9827852306326136E-5</v>
      </c>
      <c r="DM2" s="2">
        <f ca="1">E4</f>
        <v>93</v>
      </c>
      <c r="DN2" s="95">
        <f ca="1">E5</f>
        <v>2.5041859652775464</v>
      </c>
      <c r="DO2" s="9">
        <f ca="1">E6</f>
        <v>5.3045075162734052E-2</v>
      </c>
      <c r="DP2" s="9">
        <f ca="1">E7</f>
        <v>6.4735559342639964E-5</v>
      </c>
      <c r="DQ2" s="96">
        <f ca="1">E8</f>
        <v>2.2775296530421954E-4</v>
      </c>
      <c r="DR2" s="96">
        <f ca="1">E9</f>
        <v>-8.0152560494553593E-6</v>
      </c>
      <c r="DS2" s="96">
        <f ca="1">E10</f>
        <v>-8.0152560494553593E-6</v>
      </c>
      <c r="DT2" s="96">
        <f ca="1">E11</f>
        <v>1.2215940142989809E-2</v>
      </c>
      <c r="DU2" s="96">
        <f ca="1">E12</f>
        <v>4.4776743402410828E-4</v>
      </c>
      <c r="DV2" s="96">
        <f ca="1">E13</f>
        <v>0.23924979419473336</v>
      </c>
      <c r="DW2" s="96">
        <f ca="1">E14</f>
        <v>0.17276991539951092</v>
      </c>
      <c r="DX2" s="96">
        <f ca="1">E15</f>
        <v>2.0799503155403123</v>
      </c>
      <c r="DY2" s="96">
        <f ca="1">E16</f>
        <v>1.1050454793546231E-5</v>
      </c>
      <c r="DZ2" s="96">
        <f ca="1">E17</f>
        <v>1.9725156579116257E-6</v>
      </c>
      <c r="EA2" s="96">
        <f ca="1">E18</f>
        <v>5.6022139795056187</v>
      </c>
      <c r="EC2" s="97">
        <f>I2</f>
        <v>5</v>
      </c>
      <c r="ED2" s="97">
        <f>I3</f>
        <v>50</v>
      </c>
      <c r="EE2" s="97">
        <f>I4</f>
        <v>284</v>
      </c>
      <c r="EF2" s="97">
        <f>I5</f>
        <v>100</v>
      </c>
    </row>
    <row r="3" spans="1:136" ht="15" x14ac:dyDescent="0.2">
      <c r="A3" s="52" t="s">
        <v>39</v>
      </c>
      <c r="B3" s="53">
        <v>86.909183600000006</v>
      </c>
      <c r="C3" s="20"/>
      <c r="D3" s="72" t="s">
        <v>40</v>
      </c>
      <c r="E3" s="73">
        <f ca="1">2*STDEV(OFFSET(Data!AY67,Data!J4,0,Data!J5))/SQRT(COUNT(OFFSET(Data!AY67,Data!J4,0,Data!J5)))</f>
        <v>6.9827852306326136E-5</v>
      </c>
      <c r="F3" s="74">
        <f ca="1">2*STDEV(OFFSET(Data!BH67,Data!J4,0,Data!J5))/SQRT(COUNT(OFFSET(Data!BH67,Data!J4,0,Data!J5)))</f>
        <v>7.7350333328466496E-5</v>
      </c>
      <c r="G3" s="19"/>
      <c r="H3" s="5" t="s">
        <v>6</v>
      </c>
      <c r="I3" s="6">
        <v>50</v>
      </c>
      <c r="J3" s="50">
        <f>I3</f>
        <v>50</v>
      </c>
      <c r="K3" s="46">
        <f>I2+I3</f>
        <v>55</v>
      </c>
      <c r="L3" s="19"/>
      <c r="M3" s="47">
        <f ca="1">M2+2*STDEV((OFFSET(AW67,J4,0,J5)))</f>
        <v>0.70951190393518582</v>
      </c>
      <c r="N3" s="48" t="s">
        <v>7</v>
      </c>
      <c r="O3" s="19"/>
      <c r="P3" s="47">
        <f ca="1">P2+2*STDEV((OFFSET(BF67,J4,0,J5)))</f>
        <v>0.70945385122936777</v>
      </c>
      <c r="Q3" s="48" t="s">
        <v>7</v>
      </c>
      <c r="R3" s="19"/>
      <c r="S3" s="27"/>
      <c r="T3" s="51"/>
      <c r="U3" s="30"/>
      <c r="V3" s="27"/>
      <c r="W3" s="51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DJ3" s="63" t="s">
        <v>33</v>
      </c>
      <c r="DK3" s="9">
        <f ca="1">F2</f>
        <v>0.70859120060368896</v>
      </c>
      <c r="DL3" s="9">
        <f ca="1">F3</f>
        <v>7.7350333328466496E-5</v>
      </c>
      <c r="DM3" s="2">
        <f ca="1">F4</f>
        <v>96</v>
      </c>
      <c r="DN3" s="95">
        <f ca="1">F5</f>
        <v>2.5041049541616962</v>
      </c>
      <c r="DO3" s="9">
        <f ca="1">F6</f>
        <v>5.2971613488731008E-2</v>
      </c>
      <c r="DP3" s="9">
        <f ca="1">F7</f>
        <v>6.3182629698019374E-5</v>
      </c>
      <c r="DQ3" s="96">
        <f ca="1">F8</f>
        <v>2.2174845296405878E-4</v>
      </c>
      <c r="DR3" s="96" t="str">
        <f>F9</f>
        <v>-</v>
      </c>
      <c r="DS3" s="96" t="str">
        <f>F10</f>
        <v>-</v>
      </c>
      <c r="DT3" s="96">
        <f ca="1">F11</f>
        <v>1.2196836166092127E-2</v>
      </c>
      <c r="DU3" s="96">
        <f ca="1">F12</f>
        <v>4.3590435729463315E-4</v>
      </c>
      <c r="DV3" s="96">
        <f ca="1">F13</f>
        <v>0.23922812836314811</v>
      </c>
      <c r="DW3" s="96">
        <f ca="1">F14</f>
        <v>0.17274265700653277</v>
      </c>
      <c r="DX3" s="96">
        <f ca="1">F15</f>
        <v>2.0799373326259234</v>
      </c>
      <c r="DY3" s="96" t="str">
        <f>F16</f>
        <v>-</v>
      </c>
      <c r="DZ3" s="96" t="str">
        <f>F17</f>
        <v>-</v>
      </c>
      <c r="EA3" s="96" t="str">
        <f>F18</f>
        <v>-</v>
      </c>
      <c r="EC3" s="97">
        <f>I2</f>
        <v>5</v>
      </c>
      <c r="ED3" s="97">
        <f>I3</f>
        <v>50</v>
      </c>
      <c r="EE3" s="97">
        <f>I4</f>
        <v>284</v>
      </c>
      <c r="EF3" s="97">
        <f>I5</f>
        <v>100</v>
      </c>
    </row>
    <row r="4" spans="1:136" ht="15" x14ac:dyDescent="0.2">
      <c r="A4" s="52" t="s">
        <v>41</v>
      </c>
      <c r="B4" s="53">
        <v>83.913427999999996</v>
      </c>
      <c r="C4" s="20"/>
      <c r="D4" s="75" t="s">
        <v>10</v>
      </c>
      <c r="E4" s="76">
        <f ca="1">COUNT(OFFSET(Data!AY67,Data!J4,0,Data!J5))</f>
        <v>93</v>
      </c>
      <c r="F4" s="77">
        <f ca="1">COUNT(OFFSET(Data!BH67,Data!J4,0,Data!J5))</f>
        <v>96</v>
      </c>
      <c r="G4" s="19"/>
      <c r="H4" s="7" t="s">
        <v>8</v>
      </c>
      <c r="I4" s="8">
        <v>284</v>
      </c>
      <c r="J4" s="45">
        <f>I4+1</f>
        <v>285</v>
      </c>
      <c r="K4" s="46">
        <v>0</v>
      </c>
      <c r="L4" s="19"/>
      <c r="M4" s="47">
        <f ca="1">M2-2*STDEV((OFFSET(AW67,J4,0,J5)))</f>
        <v>0.70786589393186938</v>
      </c>
      <c r="N4" s="48" t="s">
        <v>9</v>
      </c>
      <c r="O4" s="19"/>
      <c r="P4" s="47">
        <f ca="1">P2-2*STDEV((OFFSET(BF67,J4,0,J5)))</f>
        <v>0.70776879198451437</v>
      </c>
      <c r="Q4" s="48" t="s">
        <v>9</v>
      </c>
      <c r="R4" s="19"/>
      <c r="S4" s="27"/>
      <c r="T4" s="51"/>
      <c r="U4" s="30"/>
      <c r="V4" s="27"/>
      <c r="W4" s="51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W4" s="19"/>
    </row>
    <row r="5" spans="1:136" ht="15" x14ac:dyDescent="0.2">
      <c r="A5" s="52" t="s">
        <v>42</v>
      </c>
      <c r="B5" s="53">
        <v>85.909273200000001</v>
      </c>
      <c r="C5" s="20"/>
      <c r="D5" s="78" t="s">
        <v>76</v>
      </c>
      <c r="E5" s="79">
        <f ca="1">E11+E13+E14+E15</f>
        <v>2.5041859652775464</v>
      </c>
      <c r="F5" s="80">
        <f ca="1">F11+F13+F14+F15</f>
        <v>2.5041049541616962</v>
      </c>
      <c r="G5" s="19"/>
      <c r="H5" s="7" t="s">
        <v>11</v>
      </c>
      <c r="I5" s="8">
        <v>100</v>
      </c>
      <c r="J5" s="50">
        <f>I5</f>
        <v>100</v>
      </c>
      <c r="K5" s="46">
        <f>I4+I5</f>
        <v>384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</row>
    <row r="6" spans="1:136" ht="15" x14ac:dyDescent="0.2">
      <c r="A6" s="52" t="s">
        <v>44</v>
      </c>
      <c r="B6" s="53">
        <v>86.908890200000002</v>
      </c>
      <c r="C6" s="20"/>
      <c r="D6" s="72" t="s">
        <v>45</v>
      </c>
      <c r="E6" s="73">
        <f ca="1">AVERAGE(OFFSET(Data!AX67,Data!J4,0,Data!J5))</f>
        <v>5.3045075162734052E-2</v>
      </c>
      <c r="F6" s="74">
        <f ca="1">AVERAGE(OFFSET(Data!BG67,Data!J4,0,Data!J5))</f>
        <v>5.2971613488731008E-2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</row>
    <row r="7" spans="1:136" ht="15" x14ac:dyDescent="0.2">
      <c r="A7" s="52" t="s">
        <v>46</v>
      </c>
      <c r="B7" s="53">
        <v>87.905624900000007</v>
      </c>
      <c r="C7" s="20"/>
      <c r="D7" s="72" t="s">
        <v>47</v>
      </c>
      <c r="E7" s="73">
        <f ca="1">2*STDEV(OFFSET(Data!AX67,Data!J4,0,Data!J5))/SQRT(COUNT((OFFSET(Data!AX67,Data!J4,0,Data!J5))))</f>
        <v>6.4735559342639964E-5</v>
      </c>
      <c r="F7" s="74">
        <f ca="1">2*STDEV(OFFSET(Data!BG67,Data!J4,0,Data!J5))/SQRT(COUNT((OFFSET(Data!BG67,Data!J4,0,Data!J5))))</f>
        <v>6.3182629698019374E-5</v>
      </c>
      <c r="G7" s="19"/>
      <c r="H7" s="33"/>
      <c r="I7" s="33"/>
      <c r="J7" s="34"/>
      <c r="K7" s="19"/>
      <c r="L7" s="35"/>
      <c r="M7" s="36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</row>
    <row r="8" spans="1:136" ht="15" x14ac:dyDescent="0.2">
      <c r="A8" s="54" t="s">
        <v>48</v>
      </c>
      <c r="B8" s="53">
        <v>0.38566558166082998</v>
      </c>
      <c r="C8" s="20"/>
      <c r="D8" s="81" t="s">
        <v>49</v>
      </c>
      <c r="E8" s="82">
        <f ca="1">(AVERAGE(OFFSET(Data!R67,Data!J4,0,Data!J5))/AVERAGE(OFFSET(Data!W67,Data!J4,0,Data!J5)))/(AVERAGE(OFFSET(AS67,J4,0,J5))^-1/$B$10^-1)^(LN(B2/B7)/LN(B5/B7))</f>
        <v>2.2775296530421954E-4</v>
      </c>
      <c r="F8" s="83">
        <f ca="1">(AVERAGE(OFFSET(Data!AL67,Data!J4,0,Data!J5))/AVERAGE(OFFSET(Data!AQ67,Data!J4,0,Data!J5)))/(AVERAGE(OFFSET(BB67,J4,0,J5))^-1/$B$10^-1)^(LN(B2/B7)/LN(B5/B7))</f>
        <v>2.2174845296405878E-4</v>
      </c>
      <c r="G8" s="22"/>
      <c r="H8" s="37"/>
      <c r="I8" s="38"/>
      <c r="J8" s="38"/>
      <c r="K8" s="39"/>
      <c r="L8" s="40"/>
      <c r="M8" s="41"/>
      <c r="N8" s="4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</row>
    <row r="9" spans="1:136" ht="15" x14ac:dyDescent="0.2">
      <c r="A9" s="54" t="s">
        <v>50</v>
      </c>
      <c r="B9" s="53">
        <v>1.5056570931244599</v>
      </c>
      <c r="C9" s="20"/>
      <c r="D9" s="81" t="s">
        <v>35</v>
      </c>
      <c r="E9" s="84">
        <f ca="1">AVERAGE(OFFSET(Data!O67,Data!J4,0,Data!J5))</f>
        <v>-8.0152560494553593E-6</v>
      </c>
      <c r="F9" s="83" t="s">
        <v>34</v>
      </c>
      <c r="G9" s="19"/>
      <c r="H9" s="43"/>
      <c r="I9" s="30"/>
      <c r="J9" s="30"/>
      <c r="K9" s="30"/>
      <c r="L9" s="30"/>
      <c r="M9" s="30"/>
      <c r="N9" s="30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</row>
    <row r="10" spans="1:136" ht="15" x14ac:dyDescent="0.2">
      <c r="A10" s="54" t="s">
        <v>52</v>
      </c>
      <c r="B10" s="53">
        <v>8.3752089999999999</v>
      </c>
      <c r="C10" s="20"/>
      <c r="D10" s="81" t="s">
        <v>36</v>
      </c>
      <c r="E10" s="83">
        <f ca="1">AVERAGE(OFFSET(Data!O67,Data!J4,0,Data!J5))</f>
        <v>-8.0152560494553593E-6</v>
      </c>
      <c r="F10" s="83" t="s">
        <v>34</v>
      </c>
      <c r="G10" s="19"/>
      <c r="H10" s="33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</row>
    <row r="11" spans="1:136" ht="28.5" customHeight="1" x14ac:dyDescent="0.2">
      <c r="A11" s="55" t="s">
        <v>54</v>
      </c>
      <c r="B11" s="56">
        <f>LN(B3/B2)/LN(B7/B5)</f>
        <v>1.0121287866004218</v>
      </c>
      <c r="C11" s="23"/>
      <c r="D11" s="72" t="s">
        <v>71</v>
      </c>
      <c r="E11" s="83">
        <f ca="1">AVERAGE(OFFSET(Data!Q67,Data!J4,0,Data!J5))</f>
        <v>1.2215940142989809E-2</v>
      </c>
      <c r="F11" s="83">
        <f ca="1">AVERAGE(OFFSET(Data!AK67,Data!J4,0,Data!J5))</f>
        <v>1.2196836166092127E-2</v>
      </c>
      <c r="G11" s="24"/>
      <c r="H11" s="44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</row>
    <row r="12" spans="1:136" ht="30" x14ac:dyDescent="0.2">
      <c r="A12" s="55" t="s">
        <v>55</v>
      </c>
      <c r="B12" s="56">
        <f>LN(B6/B5)/LN(B7/B5)</f>
        <v>0.50359329323329083</v>
      </c>
      <c r="C12" s="23"/>
      <c r="D12" s="72" t="s">
        <v>72</v>
      </c>
      <c r="E12" s="83">
        <f ca="1">AVERAGE(OFFSET(Data!R67,Data!J4,0,Data!J5))</f>
        <v>4.4776743402410828E-4</v>
      </c>
      <c r="F12" s="83">
        <f ca="1">AVERAGE(OFFSET(Data!AL67,Data!J4,0,Data!J5))</f>
        <v>4.3590435729463315E-4</v>
      </c>
      <c r="G12" s="25"/>
      <c r="H12" s="27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</row>
    <row r="13" spans="1:136" ht="30" x14ac:dyDescent="0.2">
      <c r="A13" s="55" t="s">
        <v>56</v>
      </c>
      <c r="B13" s="56">
        <f>LN(B4/B5)/LN(B7/B5)</f>
        <v>-1.0232504680702372</v>
      </c>
      <c r="C13" s="26"/>
      <c r="D13" s="72" t="s">
        <v>73</v>
      </c>
      <c r="E13" s="83">
        <f ca="1">AVERAGE(OFFSET(Data!T67,Data!J4,0,Data!J5))</f>
        <v>0.23924979419473336</v>
      </c>
      <c r="F13" s="83">
        <f ca="1">AVERAGE(OFFSET(Data!AN67,Data!J4,0,Data!J5))</f>
        <v>0.23922812836314811</v>
      </c>
      <c r="G13" s="27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</row>
    <row r="14" spans="1:136" ht="15" x14ac:dyDescent="0.2">
      <c r="A14" s="21" t="s">
        <v>14</v>
      </c>
      <c r="B14" s="48">
        <v>0.1232</v>
      </c>
      <c r="C14" s="28"/>
      <c r="D14" s="72" t="s">
        <v>75</v>
      </c>
      <c r="E14" s="83">
        <f ca="1">AVERAGE(OFFSET(Data!AV67,Data!J4,0,Data!J5))</f>
        <v>0.17276991539951092</v>
      </c>
      <c r="F14" s="83">
        <f ca="1">AVERAGE(OFFSET(Data!BE67,Data!J4,0,Data!J5))</f>
        <v>0.17274265700653277</v>
      </c>
      <c r="G14" s="2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</row>
    <row r="15" spans="1:136" ht="15" x14ac:dyDescent="0.2">
      <c r="A15" s="21" t="s">
        <v>15</v>
      </c>
      <c r="B15" s="48">
        <v>2.9820000000000002</v>
      </c>
      <c r="C15" s="28"/>
      <c r="D15" s="72" t="s">
        <v>43</v>
      </c>
      <c r="E15" s="83">
        <f ca="1">AVERAGE(OFFSET(Data!W67,Data!J4,0,Data!J5))</f>
        <v>2.0799503155403123</v>
      </c>
      <c r="F15" s="83">
        <f ca="1">AVERAGE(OFFSET(Data!AQ67,Data!J4,0,Data!J5))</f>
        <v>2.0799373326259234</v>
      </c>
      <c r="G15" s="30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</row>
    <row r="16" spans="1:136" ht="14.25" customHeight="1" x14ac:dyDescent="0.2">
      <c r="A16" s="21" t="s">
        <v>16</v>
      </c>
      <c r="B16" s="48">
        <v>14.086</v>
      </c>
      <c r="C16" s="28"/>
      <c r="D16" s="81" t="s">
        <v>51</v>
      </c>
      <c r="E16" s="83">
        <f ca="1">AVERAGE(OFFSET(Data!S67,Data!J4,0,Data!J5))</f>
        <v>1.1050454793546231E-5</v>
      </c>
      <c r="F16" s="83" t="s">
        <v>34</v>
      </c>
      <c r="G16" s="31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1:50" ht="14.25" customHeight="1" x14ac:dyDescent="0.2">
      <c r="A17" s="21" t="s">
        <v>17</v>
      </c>
      <c r="B17" s="48">
        <v>21.686</v>
      </c>
      <c r="C17" s="28"/>
      <c r="D17" s="81" t="s">
        <v>53</v>
      </c>
      <c r="E17" s="83">
        <f ca="1">AVERAGE(OFFSET(Data!U67,Data!J4,0,Data!J5))</f>
        <v>1.9725156579116257E-6</v>
      </c>
      <c r="F17" s="83" t="s">
        <v>34</v>
      </c>
      <c r="G17" s="27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</row>
    <row r="18" spans="1:50" ht="15" x14ac:dyDescent="0.2">
      <c r="A18" s="21" t="s">
        <v>18</v>
      </c>
      <c r="B18" s="48">
        <v>16.103000000000002</v>
      </c>
      <c r="C18" s="28"/>
      <c r="D18" s="78" t="s">
        <v>74</v>
      </c>
      <c r="E18" s="83">
        <f ca="1">E16/E17</f>
        <v>5.6022139795056187</v>
      </c>
      <c r="F18" s="83" t="s">
        <v>34</v>
      </c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</row>
    <row r="19" spans="1:50" x14ac:dyDescent="0.2">
      <c r="A19" s="21" t="s">
        <v>19</v>
      </c>
      <c r="B19" s="48">
        <v>32.024999999999999</v>
      </c>
      <c r="C19" s="28"/>
      <c r="D19" s="61"/>
      <c r="E19" s="22"/>
      <c r="F19" s="30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</row>
    <row r="20" spans="1:50" x14ac:dyDescent="0.2">
      <c r="A20" s="21" t="s">
        <v>20</v>
      </c>
      <c r="B20" s="48">
        <v>12.994999999999999</v>
      </c>
      <c r="C20" s="28"/>
      <c r="D20" s="61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</row>
    <row r="21" spans="1:50" x14ac:dyDescent="0.2">
      <c r="A21" s="21" t="s">
        <v>23</v>
      </c>
      <c r="B21" s="48">
        <v>0.1391</v>
      </c>
      <c r="C21" s="28"/>
      <c r="D21" s="9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</row>
    <row r="22" spans="1:50" ht="15" x14ac:dyDescent="0.25">
      <c r="A22" s="21" t="s">
        <v>24</v>
      </c>
      <c r="B22" s="48">
        <v>1.6006</v>
      </c>
      <c r="C22" s="28"/>
      <c r="D22" s="61" t="s">
        <v>77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</row>
    <row r="23" spans="1:50" ht="15" x14ac:dyDescent="0.25">
      <c r="A23" s="21" t="s">
        <v>25</v>
      </c>
      <c r="B23" s="48">
        <v>33.501399999999997</v>
      </c>
      <c r="C23" s="28"/>
      <c r="D23" s="61" t="s">
        <v>78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</row>
    <row r="24" spans="1:50" x14ac:dyDescent="0.2">
      <c r="A24" s="21" t="s">
        <v>26</v>
      </c>
      <c r="B24" s="48">
        <v>22.872399999999999</v>
      </c>
      <c r="C24" s="28"/>
      <c r="D24" s="92" t="s">
        <v>103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19"/>
      <c r="AW24" s="19"/>
      <c r="AX24" s="19"/>
    </row>
    <row r="25" spans="1:50" x14ac:dyDescent="0.2">
      <c r="A25" s="21" t="s">
        <v>27</v>
      </c>
      <c r="B25" s="48">
        <v>26.985199999999999</v>
      </c>
      <c r="C25" s="28"/>
      <c r="D25" s="19"/>
      <c r="E25" s="60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30"/>
      <c r="W25" s="30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19"/>
      <c r="AW25" s="19"/>
      <c r="AX25" s="19"/>
    </row>
    <row r="26" spans="1:50" x14ac:dyDescent="0.2">
      <c r="A26" s="21" t="s">
        <v>28</v>
      </c>
      <c r="B26" s="48">
        <v>14.901300000000001</v>
      </c>
      <c r="C26" s="2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30"/>
      <c r="W26" s="30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19"/>
      <c r="AW26" s="19"/>
      <c r="AX26" s="19"/>
    </row>
    <row r="27" spans="1:50" x14ac:dyDescent="0.2">
      <c r="A27" s="57"/>
      <c r="B27" s="51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19"/>
      <c r="AW27" s="19"/>
      <c r="AX27" s="19"/>
    </row>
    <row r="28" spans="1:50" x14ac:dyDescent="0.2">
      <c r="A28" s="57"/>
      <c r="B28" s="51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</row>
    <row r="29" spans="1:50" x14ac:dyDescent="0.2">
      <c r="A29" s="57"/>
      <c r="B29" s="51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65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</row>
    <row r="30" spans="1:50" x14ac:dyDescent="0.2">
      <c r="A30" s="57"/>
      <c r="B30" s="51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64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</row>
    <row r="31" spans="1:50" x14ac:dyDescent="0.2">
      <c r="A31" s="57"/>
      <c r="B31" s="51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30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</row>
    <row r="32" spans="1:50" x14ac:dyDescent="0.2">
      <c r="A32" s="57"/>
      <c r="B32" s="51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30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</row>
    <row r="33" spans="1:50" x14ac:dyDescent="0.2">
      <c r="A33" s="57"/>
      <c r="B33" s="51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</row>
    <row r="34" spans="1:50" x14ac:dyDescent="0.2">
      <c r="A34" s="57"/>
      <c r="B34" s="51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</row>
    <row r="35" spans="1:50" x14ac:dyDescent="0.2">
      <c r="A35" s="57"/>
      <c r="B35" s="51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</row>
    <row r="36" spans="1:50" x14ac:dyDescent="0.2">
      <c r="A36" s="57"/>
      <c r="B36" s="51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</row>
    <row r="37" spans="1:50" x14ac:dyDescent="0.2">
      <c r="A37" s="57"/>
      <c r="B37" s="51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</row>
    <row r="38" spans="1:50" x14ac:dyDescent="0.2">
      <c r="A38" s="57"/>
      <c r="B38" s="51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</row>
    <row r="39" spans="1:50" x14ac:dyDescent="0.2">
      <c r="A39" s="57"/>
      <c r="B39" s="51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</row>
    <row r="40" spans="1:50" x14ac:dyDescent="0.2">
      <c r="A40" s="57"/>
      <c r="B40" s="51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</row>
    <row r="41" spans="1:50" x14ac:dyDescent="0.2">
      <c r="A41" s="57"/>
      <c r="B41" s="51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</row>
    <row r="42" spans="1:50" x14ac:dyDescent="0.2">
      <c r="A42" s="57"/>
      <c r="B42" s="51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</row>
    <row r="43" spans="1:50" x14ac:dyDescent="0.2">
      <c r="A43" s="32"/>
      <c r="B43" s="51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</row>
    <row r="44" spans="1:50" x14ac:dyDescent="0.2">
      <c r="A44" s="32"/>
      <c r="B44" s="51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</row>
    <row r="45" spans="1:50" x14ac:dyDescent="0.2">
      <c r="A45" s="57"/>
      <c r="B45" s="51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</row>
    <row r="46" spans="1:50" x14ac:dyDescent="0.2">
      <c r="A46" s="57" t="s">
        <v>104</v>
      </c>
      <c r="B46" s="51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</row>
    <row r="47" spans="1:50" x14ac:dyDescent="0.2">
      <c r="A47" s="57"/>
      <c r="B47" s="51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</row>
    <row r="48" spans="1:50" x14ac:dyDescent="0.2">
      <c r="A48" s="57"/>
      <c r="B48" s="51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</row>
    <row r="49" spans="1:117" ht="15" x14ac:dyDescent="0.25">
      <c r="A49" s="58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</row>
    <row r="50" spans="1:117" ht="15" x14ac:dyDescent="0.25">
      <c r="A50" s="66" t="s">
        <v>80</v>
      </c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17" ht="15" x14ac:dyDescent="0.25">
      <c r="A51" s="66" t="s">
        <v>81</v>
      </c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17" ht="15" x14ac:dyDescent="0.25">
      <c r="A52" s="66" t="s">
        <v>82</v>
      </c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17" ht="15" x14ac:dyDescent="0.25">
      <c r="A53" s="66" t="s">
        <v>83</v>
      </c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17" ht="15" x14ac:dyDescent="0.25">
      <c r="A54" s="66" t="s">
        <v>84</v>
      </c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17" ht="15" x14ac:dyDescent="0.25">
      <c r="A55" s="66" t="s">
        <v>85</v>
      </c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17" ht="15" x14ac:dyDescent="0.25">
      <c r="A56" s="66" t="s">
        <v>86</v>
      </c>
      <c r="B56"/>
      <c r="C56"/>
      <c r="D56"/>
      <c r="E56"/>
      <c r="F56"/>
      <c r="G56"/>
      <c r="H56"/>
      <c r="I56"/>
      <c r="J56"/>
      <c r="K56"/>
      <c r="L56"/>
      <c r="M56"/>
      <c r="N56"/>
      <c r="DD56" s="11"/>
      <c r="DE56" s="11"/>
      <c r="DF56" s="11"/>
      <c r="DG56" s="11"/>
      <c r="DH56" s="11"/>
      <c r="DI56" s="11"/>
      <c r="DJ56" s="11"/>
      <c r="DK56" s="11"/>
      <c r="DL56" s="11"/>
      <c r="DM56" s="11"/>
    </row>
    <row r="57" spans="1:117" ht="15" x14ac:dyDescent="0.25">
      <c r="A57" s="66" t="s">
        <v>87</v>
      </c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17" ht="15" x14ac:dyDescent="0.25">
      <c r="A58" s="66" t="s">
        <v>88</v>
      </c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17" ht="15" x14ac:dyDescent="0.25">
      <c r="A59" s="66" t="s">
        <v>89</v>
      </c>
      <c r="B59"/>
      <c r="C59"/>
      <c r="D59"/>
      <c r="E59"/>
      <c r="F59"/>
      <c r="G59"/>
      <c r="H59"/>
      <c r="I59"/>
      <c r="J59"/>
      <c r="K59"/>
      <c r="L59"/>
      <c r="M59"/>
      <c r="N59"/>
      <c r="O59" s="93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</row>
    <row r="60" spans="1:117" ht="15" x14ac:dyDescent="0.25">
      <c r="A60" s="66" t="s">
        <v>90</v>
      </c>
      <c r="B60"/>
      <c r="C60"/>
      <c r="D60"/>
      <c r="E60"/>
      <c r="F60"/>
      <c r="G60"/>
      <c r="H60"/>
      <c r="I60"/>
      <c r="J60"/>
      <c r="K60"/>
      <c r="L60"/>
      <c r="M60"/>
      <c r="N60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89"/>
      <c r="CH60" s="89"/>
      <c r="CI60" s="89"/>
      <c r="CJ60" s="89"/>
      <c r="CK60" s="89"/>
      <c r="CL60" s="89"/>
      <c r="CM60" s="89"/>
      <c r="CN60" s="89"/>
      <c r="CO60" s="89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</row>
    <row r="61" spans="1:117" ht="15" x14ac:dyDescent="0.25">
      <c r="A61" s="66" t="s">
        <v>91</v>
      </c>
      <c r="B61"/>
      <c r="C61"/>
      <c r="D61"/>
      <c r="E61"/>
      <c r="F61"/>
      <c r="G61"/>
      <c r="H61"/>
      <c r="I61"/>
      <c r="J61"/>
      <c r="K61"/>
      <c r="L61"/>
      <c r="M61"/>
      <c r="N61"/>
      <c r="Z61" s="89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71"/>
      <c r="AL61" s="98"/>
      <c r="AM61" s="98"/>
      <c r="AN61" s="98"/>
      <c r="AO61" s="98"/>
      <c r="AP61" s="98"/>
      <c r="AQ61" s="98"/>
      <c r="AR61" s="98"/>
      <c r="AS61" s="98"/>
      <c r="AT61" s="98"/>
      <c r="AU61" s="71"/>
      <c r="BL61" s="89"/>
      <c r="BM61" s="89"/>
      <c r="BN61" s="89"/>
      <c r="BO61" s="89"/>
      <c r="BP61" s="89"/>
      <c r="BQ61" s="89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89"/>
      <c r="CC61" s="98"/>
      <c r="CD61" s="98"/>
      <c r="CE61" s="98"/>
      <c r="CF61" s="98"/>
      <c r="CG61" s="98"/>
      <c r="CH61" s="98"/>
      <c r="CI61" s="98"/>
      <c r="CJ61" s="98"/>
      <c r="CK61" s="98"/>
      <c r="CL61" s="98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91"/>
      <c r="CY61" s="91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</row>
    <row r="62" spans="1:117" ht="15" x14ac:dyDescent="0.25">
      <c r="A62" s="66" t="s">
        <v>92</v>
      </c>
      <c r="B62"/>
      <c r="C62"/>
      <c r="D62"/>
      <c r="E62"/>
      <c r="F62"/>
      <c r="G62"/>
      <c r="H62"/>
      <c r="I62"/>
      <c r="J62"/>
      <c r="K62"/>
      <c r="L62"/>
      <c r="M62"/>
      <c r="N62"/>
      <c r="Z62" s="89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8"/>
      <c r="AS62" s="88"/>
      <c r="AT62" s="88"/>
      <c r="AU62" s="69"/>
      <c r="BK62" s="88"/>
      <c r="BL62" s="88"/>
      <c r="BM62" s="88"/>
      <c r="BN62" s="88"/>
      <c r="BO62" s="88"/>
      <c r="BP62" s="88"/>
      <c r="BQ62" s="88"/>
      <c r="BR62" s="88"/>
      <c r="BS62" s="88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</row>
    <row r="63" spans="1:117" ht="15" x14ac:dyDescent="0.25">
      <c r="A63" s="66" t="s">
        <v>93</v>
      </c>
      <c r="B63"/>
      <c r="C63"/>
      <c r="D63"/>
      <c r="E63"/>
      <c r="F63"/>
      <c r="G63"/>
      <c r="H63"/>
      <c r="I63"/>
      <c r="J63"/>
      <c r="K63"/>
      <c r="L63"/>
      <c r="M63"/>
      <c r="N63"/>
      <c r="Z63" s="89"/>
      <c r="AA63" s="89"/>
      <c r="AB63" s="89"/>
      <c r="AC63" s="90"/>
      <c r="AD63" s="89"/>
      <c r="AE63" s="89"/>
      <c r="AF63" s="89"/>
      <c r="AG63" s="90"/>
      <c r="AH63" s="89"/>
      <c r="AI63" s="90"/>
      <c r="AJ63" s="89"/>
      <c r="AK63" s="89"/>
      <c r="AL63" s="89"/>
      <c r="AM63" s="89"/>
      <c r="AN63" s="90"/>
      <c r="AO63" s="89"/>
      <c r="AP63" s="89"/>
      <c r="AQ63" s="89"/>
      <c r="AR63" s="89"/>
      <c r="AS63" s="89"/>
      <c r="AT63" s="89"/>
      <c r="AU63" s="70"/>
      <c r="BK63" s="89"/>
      <c r="BL63" s="90"/>
      <c r="BM63" s="89"/>
      <c r="BN63" s="89"/>
      <c r="BO63" s="89"/>
      <c r="BP63" s="89"/>
      <c r="BQ63" s="89"/>
      <c r="BR63" s="89"/>
      <c r="BS63" s="89"/>
      <c r="BT63" s="89"/>
      <c r="BU63" s="89"/>
      <c r="BV63" s="89"/>
      <c r="BW63" s="89"/>
      <c r="BX63" s="89"/>
      <c r="BY63" s="89"/>
      <c r="BZ63" s="89"/>
      <c r="CA63" s="89"/>
      <c r="CB63" s="89"/>
      <c r="CC63" s="89"/>
      <c r="CD63" s="89"/>
      <c r="CE63" s="89"/>
      <c r="CF63" s="89"/>
      <c r="CG63" s="89"/>
      <c r="CH63" s="89"/>
      <c r="CI63" s="89"/>
      <c r="CJ63" s="89"/>
      <c r="CK63" s="89"/>
      <c r="CL63" s="89"/>
      <c r="CM63" s="89"/>
      <c r="CN63" s="89"/>
      <c r="CO63" s="89"/>
      <c r="CP63" s="89"/>
      <c r="CQ63" s="89"/>
      <c r="CR63" s="89"/>
    </row>
    <row r="64" spans="1:117" ht="15" x14ac:dyDescent="0.25">
      <c r="A64" s="66" t="s">
        <v>94</v>
      </c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6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12" t="s">
        <v>57</v>
      </c>
      <c r="Y65" s="12" t="s">
        <v>21</v>
      </c>
      <c r="AI65" s="12" t="s">
        <v>22</v>
      </c>
      <c r="AS65" s="12" t="s">
        <v>29</v>
      </c>
      <c r="BB65" s="12" t="s">
        <v>30</v>
      </c>
    </row>
    <row r="66" spans="1:62" ht="15.75" x14ac:dyDescent="0.25">
      <c r="A66" s="66" t="s">
        <v>95</v>
      </c>
      <c r="B66" s="66" t="s">
        <v>96</v>
      </c>
      <c r="C66" s="66" t="s">
        <v>97</v>
      </c>
      <c r="D66" s="66">
        <v>83.468000000000004</v>
      </c>
      <c r="E66" s="66" t="s">
        <v>12</v>
      </c>
      <c r="F66" s="66" t="s">
        <v>98</v>
      </c>
      <c r="G66" s="66">
        <v>85.468000000000004</v>
      </c>
      <c r="H66" s="66" t="s">
        <v>99</v>
      </c>
      <c r="I66" s="66">
        <v>86.468999999999994</v>
      </c>
      <c r="J66" s="66" t="s">
        <v>100</v>
      </c>
      <c r="K66" s="66" t="s">
        <v>101</v>
      </c>
      <c r="L66" s="66"/>
      <c r="M66" s="66"/>
      <c r="O66" s="13" t="s">
        <v>58</v>
      </c>
      <c r="P66" s="13" t="s">
        <v>79</v>
      </c>
      <c r="Q66" s="13" t="s">
        <v>59</v>
      </c>
      <c r="R66" s="13" t="s">
        <v>60</v>
      </c>
      <c r="S66" s="13" t="s">
        <v>61</v>
      </c>
      <c r="T66" s="13" t="s">
        <v>62</v>
      </c>
      <c r="U66" s="13" t="s">
        <v>63</v>
      </c>
      <c r="V66" s="13" t="s">
        <v>64</v>
      </c>
      <c r="W66" s="13" t="s">
        <v>65</v>
      </c>
      <c r="X66" s="13"/>
      <c r="Y66" s="13" t="s">
        <v>58</v>
      </c>
      <c r="Z66" s="13" t="s">
        <v>79</v>
      </c>
      <c r="AA66" s="13" t="s">
        <v>59</v>
      </c>
      <c r="AB66" s="13" t="s">
        <v>60</v>
      </c>
      <c r="AC66" s="13" t="s">
        <v>61</v>
      </c>
      <c r="AD66" s="13" t="s">
        <v>62</v>
      </c>
      <c r="AE66" s="13" t="s">
        <v>63</v>
      </c>
      <c r="AF66" s="13" t="s">
        <v>64</v>
      </c>
      <c r="AG66" s="13" t="s">
        <v>65</v>
      </c>
      <c r="AH66" s="13"/>
      <c r="AI66" s="13" t="s">
        <v>58</v>
      </c>
      <c r="AJ66" s="13" t="s">
        <v>79</v>
      </c>
      <c r="AK66" s="13" t="s">
        <v>59</v>
      </c>
      <c r="AL66" s="13" t="s">
        <v>60</v>
      </c>
      <c r="AM66" s="13" t="s">
        <v>61</v>
      </c>
      <c r="AN66" s="13" t="s">
        <v>62</v>
      </c>
      <c r="AO66" s="13" t="s">
        <v>63</v>
      </c>
      <c r="AP66" s="13" t="s">
        <v>64</v>
      </c>
      <c r="AQ66" s="13" t="s">
        <v>65</v>
      </c>
      <c r="AR66" s="13"/>
      <c r="AS66" s="13" t="s">
        <v>66</v>
      </c>
      <c r="AT66" s="13" t="s">
        <v>67</v>
      </c>
      <c r="AU66" s="13" t="s">
        <v>68</v>
      </c>
      <c r="AV66" s="13" t="s">
        <v>64</v>
      </c>
      <c r="AW66" s="14" t="s">
        <v>38</v>
      </c>
      <c r="AX66" s="13" t="s">
        <v>45</v>
      </c>
      <c r="AY66" s="15" t="s">
        <v>69</v>
      </c>
      <c r="AZ66" s="18" t="s">
        <v>70</v>
      </c>
      <c r="BB66" s="13" t="s">
        <v>66</v>
      </c>
      <c r="BC66" s="13" t="s">
        <v>67</v>
      </c>
      <c r="BD66" s="13" t="s">
        <v>68</v>
      </c>
      <c r="BE66" s="13" t="s">
        <v>64</v>
      </c>
      <c r="BF66" s="14" t="s">
        <v>38</v>
      </c>
      <c r="BG66" s="13" t="s">
        <v>45</v>
      </c>
      <c r="BH66" s="15" t="s">
        <v>69</v>
      </c>
      <c r="BI66" s="18" t="s">
        <v>70</v>
      </c>
      <c r="BJ66" s="18"/>
    </row>
    <row r="67" spans="1:62" ht="15" x14ac:dyDescent="0.25">
      <c r="A67" s="66">
        <v>1</v>
      </c>
      <c r="B67" s="66">
        <v>1498730119.9860001</v>
      </c>
      <c r="C67" s="67">
        <v>-2.3150483167629299E-5</v>
      </c>
      <c r="D67" s="67">
        <v>-3.0190344872191701E-5</v>
      </c>
      <c r="E67" s="67">
        <v>7.3729801370647503E-4</v>
      </c>
      <c r="F67" s="67">
        <v>-1.02144842559526E-4</v>
      </c>
      <c r="G67" s="67">
        <v>-5.89894039755265E-5</v>
      </c>
      <c r="H67" s="67">
        <v>1.0785234579290799E-3</v>
      </c>
      <c r="I67" s="67">
        <v>-3.0190344872191701E-5</v>
      </c>
      <c r="J67" s="67">
        <v>6.3205029080447197E-4</v>
      </c>
      <c r="K67" s="67">
        <v>7.2755430393622103E-3</v>
      </c>
      <c r="L67" s="67"/>
      <c r="M67" s="67"/>
      <c r="O67" s="11">
        <f t="shared" ref="O67:O130" ca="1" si="0">C67-AVERAGE(OFFSET(C$67,$J$2,0,$J$3))</f>
        <v>-3.5954413877589327E-5</v>
      </c>
      <c r="P67" s="11">
        <f t="shared" ref="P67:P130" ca="1" si="1">D67-AVERAGE(OFFSET(D$67,$J$2,0,$J$3))</f>
        <v>-3.0955445102496443E-5</v>
      </c>
      <c r="Q67" s="11">
        <f t="shared" ref="Q67:Q130" ca="1" si="2">E67-AVERAGE(OFFSET(E$67,$J$2,0,$J$3))</f>
        <v>-9.9193598561808866E-5</v>
      </c>
      <c r="R67" s="11">
        <f t="shared" ref="R67:R130" ca="1" si="3">F67-AVERAGE(OFFSET(F$67,$J$2,0,$J$3))</f>
        <v>-1.1379133020587312E-4</v>
      </c>
      <c r="S67" s="11">
        <f t="shared" ref="S67:S130" ca="1" si="4">G67-AVERAGE(OFFSET(G$67,$J$2,0,$J$3))</f>
        <v>-6.9917056022496621E-5</v>
      </c>
      <c r="T67" s="11">
        <f t="shared" ref="T67:T130" ca="1" si="5">H67-AVERAGE(OFFSET(H$67,$J$2,0,$J$3))</f>
        <v>-6.0031580653222222E-5</v>
      </c>
      <c r="U67" s="11">
        <f t="shared" ref="U67:U130" ca="1" si="6">I67-AVERAGE(OFFSET(I$67,$J$2,0,$J$3))</f>
        <v>-3.0955445102496443E-5</v>
      </c>
      <c r="V67" s="11">
        <f t="shared" ref="V67:V130" ca="1" si="7">J67-AVERAGE(OFFSET(J$67,$J$2,0,$J$3))</f>
        <v>-1.8145714889302388E-5</v>
      </c>
      <c r="W67" s="11">
        <f t="shared" ref="W67:W130" ca="1" si="8">K67-AVERAGE(OFFSET(K$67,$J$2,0,$J$3))</f>
        <v>1.5269477585722231E-4</v>
      </c>
      <c r="X67" s="11"/>
      <c r="Y67" s="2">
        <f t="shared" ref="Y67:Y130" ca="1" si="9">O67</f>
        <v>-3.5954413877589327E-5</v>
      </c>
      <c r="Z67" s="11">
        <f t="shared" ref="Z67:Z130" ca="1" si="10">P67</f>
        <v>-3.0955445102496443E-5</v>
      </c>
      <c r="AA67" s="2">
        <f t="shared" ref="AA67:AA130" ca="1" si="11">IF($U67&gt;0,Q67-($B$14/$B$18*$U67), Q67)</f>
        <v>-9.9193598561808866E-5</v>
      </c>
      <c r="AB67" s="2">
        <f t="shared" ref="AB67:AB130" ca="1" si="12">IF($U67&gt;0,R67-($B$15/$B$18*$U67), R67)</f>
        <v>-1.1379133020587312E-4</v>
      </c>
      <c r="AC67" s="2">
        <f t="shared" ref="AC67:AC130" ca="1" si="13">S67</f>
        <v>-6.9917056022496621E-5</v>
      </c>
      <c r="AD67" s="2">
        <f t="shared" ref="AD67:AD130" ca="1" si="14">IF($U67&gt;0,T67-($B$17/$B$18*$U67), T67)</f>
        <v>-6.0031580653222222E-5</v>
      </c>
      <c r="AE67" s="2">
        <f t="shared" ref="AE67:AE130" ca="1" si="15">U67</f>
        <v>-3.0955445102496443E-5</v>
      </c>
      <c r="AF67" s="2">
        <f t="shared" ref="AF67:AF130" ca="1" si="16">IF($U67&gt;0,V67-($B$19/$B$18*$U67), V67)</f>
        <v>-1.8145714889302388E-5</v>
      </c>
      <c r="AG67" s="2">
        <f t="shared" ref="AG67:AG130" ca="1" si="17">IF($U67&gt;0,W67-($B$20/$B$18*$U67), W67)</f>
        <v>1.5269477585722231E-4</v>
      </c>
      <c r="AI67" s="2">
        <f t="shared" ref="AI67:AI130" ca="1" si="18">Y67</f>
        <v>-3.5954413877589327E-5</v>
      </c>
      <c r="AJ67" s="11">
        <f t="shared" ref="AJ67:AJ130" ca="1" si="19">Z67</f>
        <v>-3.0955445102496443E-5</v>
      </c>
      <c r="AK67" s="2">
        <f t="shared" ref="AK67:AK130" ca="1" si="20">IF($AJ67&gt;0,AA67-($B$25/$B$24*$AJ67),AA67)</f>
        <v>-9.9193598561808866E-5</v>
      </c>
      <c r="AL67" s="2">
        <f t="shared" ref="AL67:AL130" ca="1" si="21">IF($AJ67&gt;0,AB67-($B$26/$B$25*$AJ67),AB67)</f>
        <v>-1.1379133020587312E-4</v>
      </c>
      <c r="AM67" s="2">
        <f t="shared" ref="AM67:AM130" ca="1" si="22">AC67</f>
        <v>-6.9917056022496621E-5</v>
      </c>
      <c r="AN67" s="2">
        <f t="shared" ref="AN67:AN130" ca="1" si="23">AD67</f>
        <v>-6.0031580653222222E-5</v>
      </c>
      <c r="AO67" s="2">
        <f t="shared" ref="AO67:AO130" ca="1" si="24">AE67</f>
        <v>-3.0955445102496443E-5</v>
      </c>
      <c r="AP67" s="2">
        <f t="shared" ref="AP67:AP130" ca="1" si="25">AF67</f>
        <v>-1.8145714889302388E-5</v>
      </c>
      <c r="AQ67" s="2">
        <f t="shared" ref="AQ67:AQ130" ca="1" si="26">AG67</f>
        <v>1.5269477585722231E-4</v>
      </c>
      <c r="AS67" s="2" t="e">
        <f t="shared" ref="AS67:AS130" ca="1" si="27">IF(AND(T67&gt;0,W67&gt;0),W67/T67, #N/A)</f>
        <v>#N/A</v>
      </c>
      <c r="AT67" s="2" t="e">
        <f t="shared" ref="AT67:AT130" ca="1" si="28">$B$8*((AS67/$B$10)^$B$11)</f>
        <v>#N/A</v>
      </c>
      <c r="AU67" s="2" t="e">
        <f t="shared" ref="AU67:AU130" ca="1" si="29">AT67*R67</f>
        <v>#N/A</v>
      </c>
      <c r="AV67" s="2" t="e">
        <f t="shared" ref="AV67:AV130" ca="1" si="30">V67-AU67</f>
        <v>#N/A</v>
      </c>
      <c r="AW67" s="2" t="e">
        <f t="shared" ref="AW67:AW130" ca="1" si="31">(AV67/T67)/((AS67/$B$10)^$B$12)</f>
        <v>#N/A</v>
      </c>
      <c r="AX67" s="2" t="e">
        <f t="shared" ref="AX67:AX130" ca="1" si="32">(Q67/T67)/((AS67/$B$10)^$B$13)</f>
        <v>#N/A</v>
      </c>
      <c r="AY67" s="9" t="e">
        <f t="shared" ref="AY67:AY130" ca="1" si="33">IF(AND(AW67&lt;$M$3,AW67&gt;$M$4),AW67,"rejected")</f>
        <v>#N/A</v>
      </c>
      <c r="AZ67" s="9" t="e">
        <f t="shared" ref="AZ67:AZ130" ca="1" si="34">IF(AND(AW67&lt;$M$3,AW67&gt;$M$4),AW67,#N/A)</f>
        <v>#N/A</v>
      </c>
      <c r="BA67" s="17"/>
      <c r="BB67" s="2" t="e">
        <f t="shared" ref="BB67:BB130" ca="1" si="35">IF(AND(AQ67&gt;0, AN67&gt;0),AQ67/AN67, #N/A)</f>
        <v>#N/A</v>
      </c>
      <c r="BC67" s="2" t="e">
        <f ca="1">$B$8*((BB67/$B$10)^$B$11)</f>
        <v>#N/A</v>
      </c>
      <c r="BD67" s="2" t="e">
        <f t="shared" ref="BD67:BD130" ca="1" si="36">BC67*AL67</f>
        <v>#N/A</v>
      </c>
      <c r="BE67" s="2" t="e">
        <f t="shared" ref="BE67:BE130" ca="1" si="37">AP67-BD67</f>
        <v>#N/A</v>
      </c>
      <c r="BF67" s="2" t="e">
        <f t="shared" ref="BF67:BF130" ca="1" si="38">(BE67/AN67)/((BB67/$B$10)^$B$12)</f>
        <v>#N/A</v>
      </c>
      <c r="BG67" s="2" t="e">
        <f t="shared" ref="BG67:BG130" ca="1" si="39">(AK67/AN67)/((BB67/$B$10)^$B$13)</f>
        <v>#N/A</v>
      </c>
      <c r="BH67" s="2" t="e">
        <f ca="1">IF(AND(BF67&lt;$P$3,BF67&gt;$P$4),BF67,"rejected")</f>
        <v>#N/A</v>
      </c>
      <c r="BI67" s="2" t="e">
        <f t="shared" ref="BI67:BI130" ca="1" si="40">IF(AND(BF67&lt;$P$3,BF67&gt;$P$4),BF67,#N/A)</f>
        <v>#N/A</v>
      </c>
    </row>
    <row r="68" spans="1:62" ht="15" x14ac:dyDescent="0.25">
      <c r="A68" s="66">
        <v>2</v>
      </c>
      <c r="B68" s="66">
        <v>1498730120.513</v>
      </c>
      <c r="C68" s="67">
        <v>1.2046233825178899E-5</v>
      </c>
      <c r="D68" s="67">
        <v>-4.5184264771313401E-5</v>
      </c>
      <c r="E68" s="67">
        <v>9.1281759215682305E-4</v>
      </c>
      <c r="F68" s="67">
        <v>-8.5490942029847205E-5</v>
      </c>
      <c r="G68" s="67">
        <v>3.3016744707286001E-5</v>
      </c>
      <c r="H68" s="67">
        <v>1.1848619309429501E-3</v>
      </c>
      <c r="I68" s="67">
        <v>-4.5184264771313401E-5</v>
      </c>
      <c r="J68" s="67">
        <v>5.9903955558512803E-4</v>
      </c>
      <c r="K68" s="67">
        <v>7.2633622645115496E-3</v>
      </c>
      <c r="L68" s="67"/>
      <c r="M68" s="67"/>
      <c r="O68" s="11">
        <f t="shared" ca="1" si="0"/>
        <v>-7.5769688478112837E-7</v>
      </c>
      <c r="P68" s="11">
        <f t="shared" ca="1" si="1"/>
        <v>-4.594936500161814E-5</v>
      </c>
      <c r="Q68" s="11">
        <f t="shared" ca="1" si="2"/>
        <v>7.6325979888539151E-5</v>
      </c>
      <c r="R68" s="11">
        <f t="shared" ca="1" si="3"/>
        <v>-9.7137429676194325E-5</v>
      </c>
      <c r="S68" s="11">
        <f t="shared" ca="1" si="4"/>
        <v>2.2089092660315881E-5</v>
      </c>
      <c r="T68" s="11">
        <f t="shared" ca="1" si="5"/>
        <v>4.6306892360647913E-5</v>
      </c>
      <c r="U68" s="11">
        <f t="shared" ca="1" si="6"/>
        <v>-4.594936500161814E-5</v>
      </c>
      <c r="V68" s="11">
        <f t="shared" ca="1" si="7"/>
        <v>-5.1156450108646328E-5</v>
      </c>
      <c r="W68" s="11">
        <f t="shared" ca="1" si="8"/>
        <v>1.4051400100656159E-4</v>
      </c>
      <c r="X68" s="11"/>
      <c r="Y68" s="2">
        <f t="shared" ca="1" si="9"/>
        <v>-7.5769688478112837E-7</v>
      </c>
      <c r="Z68" s="11">
        <f t="shared" ca="1" si="10"/>
        <v>-4.594936500161814E-5</v>
      </c>
      <c r="AA68" s="2">
        <f t="shared" ca="1" si="11"/>
        <v>7.6325979888539151E-5</v>
      </c>
      <c r="AB68" s="2">
        <f t="shared" ca="1" si="12"/>
        <v>-9.7137429676194325E-5</v>
      </c>
      <c r="AC68" s="2">
        <f t="shared" ca="1" si="13"/>
        <v>2.2089092660315881E-5</v>
      </c>
      <c r="AD68" s="2">
        <f t="shared" ca="1" si="14"/>
        <v>4.6306892360647913E-5</v>
      </c>
      <c r="AE68" s="2">
        <f t="shared" ca="1" si="15"/>
        <v>-4.594936500161814E-5</v>
      </c>
      <c r="AF68" s="2">
        <f t="shared" ca="1" si="16"/>
        <v>-5.1156450108646328E-5</v>
      </c>
      <c r="AG68" s="2">
        <f t="shared" ca="1" si="17"/>
        <v>1.4051400100656159E-4</v>
      </c>
      <c r="AI68" s="2">
        <f t="shared" ca="1" si="18"/>
        <v>-7.5769688478112837E-7</v>
      </c>
      <c r="AJ68" s="11">
        <f t="shared" ca="1" si="19"/>
        <v>-4.594936500161814E-5</v>
      </c>
      <c r="AK68" s="2">
        <f t="shared" ca="1" si="20"/>
        <v>7.6325979888539151E-5</v>
      </c>
      <c r="AL68" s="2">
        <f t="shared" ca="1" si="21"/>
        <v>-9.7137429676194325E-5</v>
      </c>
      <c r="AM68" s="2">
        <f t="shared" ca="1" si="22"/>
        <v>2.2089092660315881E-5</v>
      </c>
      <c r="AN68" s="2">
        <f t="shared" ca="1" si="23"/>
        <v>4.6306892360647913E-5</v>
      </c>
      <c r="AO68" s="2">
        <f t="shared" ca="1" si="24"/>
        <v>-4.594936500161814E-5</v>
      </c>
      <c r="AP68" s="2">
        <f t="shared" ca="1" si="25"/>
        <v>-5.1156450108646328E-5</v>
      </c>
      <c r="AQ68" s="2">
        <f t="shared" ca="1" si="26"/>
        <v>1.4051400100656159E-4</v>
      </c>
      <c r="AS68" s="2">
        <f t="shared" ca="1" si="27"/>
        <v>3.0344079216590201</v>
      </c>
      <c r="AT68" s="2">
        <f t="shared" ca="1" si="28"/>
        <v>0.13801978524285397</v>
      </c>
      <c r="AU68" s="2">
        <f t="shared" ca="1" si="29"/>
        <v>-1.3406887182951171E-5</v>
      </c>
      <c r="AV68" s="2">
        <f t="shared" ca="1" si="30"/>
        <v>-3.774956292569516E-5</v>
      </c>
      <c r="AW68" s="2">
        <f t="shared" ca="1" si="31"/>
        <v>-1.3592880439270907</v>
      </c>
      <c r="AX68" s="2">
        <f t="shared" ca="1" si="32"/>
        <v>0.58324822563550904</v>
      </c>
      <c r="AY68" s="9" t="str">
        <f t="shared" ca="1" si="33"/>
        <v>rejected</v>
      </c>
      <c r="AZ68" s="9" t="e">
        <f t="shared" ca="1" si="34"/>
        <v>#N/A</v>
      </c>
      <c r="BA68" s="11"/>
      <c r="BB68" s="2">
        <f t="shared" ca="1" si="35"/>
        <v>3.0344079216590201</v>
      </c>
      <c r="BC68" s="2">
        <f t="shared" ref="BC68:BC130" ca="1" si="41">$B$8*((BB68/$B$10)^$B$11)</f>
        <v>0.13801978524285397</v>
      </c>
      <c r="BD68" s="2">
        <f t="shared" ca="1" si="36"/>
        <v>-1.3406887182951171E-5</v>
      </c>
      <c r="BE68" s="2">
        <f t="shared" ca="1" si="37"/>
        <v>-3.774956292569516E-5</v>
      </c>
      <c r="BF68" s="2">
        <f t="shared" ca="1" si="38"/>
        <v>-1.3592880439270907</v>
      </c>
      <c r="BG68" s="2">
        <f t="shared" ca="1" si="39"/>
        <v>0.58324822563550904</v>
      </c>
      <c r="BH68" s="2" t="str">
        <f t="shared" ref="BH68:BH130" ca="1" si="42">IF(AND(BF68&lt;$P$3,BF68&gt;$P$4),BF68,"rejected")</f>
        <v>rejected</v>
      </c>
      <c r="BI68" s="2" t="e">
        <f t="shared" ca="1" si="40"/>
        <v>#N/A</v>
      </c>
    </row>
    <row r="69" spans="1:62" ht="15" x14ac:dyDescent="0.25">
      <c r="A69" s="66">
        <v>3</v>
      </c>
      <c r="B69" s="66">
        <v>1498730121.04</v>
      </c>
      <c r="C69" s="67">
        <v>6.1654465071966306E-5</v>
      </c>
      <c r="D69" s="67">
        <v>8.2229981577971697E-5</v>
      </c>
      <c r="E69" s="67">
        <v>9.1521234124846405E-4</v>
      </c>
      <c r="F69" s="67">
        <v>1.27941483564668E-4</v>
      </c>
      <c r="G69" s="67">
        <v>8.8275687305196701E-5</v>
      </c>
      <c r="H69" s="67">
        <v>1.2022681835948501E-3</v>
      </c>
      <c r="I69" s="67">
        <v>8.2229981577971697E-5</v>
      </c>
      <c r="J69" s="67">
        <v>7.4747770616185704E-4</v>
      </c>
      <c r="K69" s="67">
        <v>7.2597797118233703E-3</v>
      </c>
      <c r="L69" s="67"/>
      <c r="M69" s="67"/>
      <c r="O69" s="11">
        <f t="shared" ca="1" si="0"/>
        <v>4.8850534362006278E-5</v>
      </c>
      <c r="P69" s="11">
        <f t="shared" ca="1" si="1"/>
        <v>8.1464881347666958E-5</v>
      </c>
      <c r="Q69" s="11">
        <f t="shared" ca="1" si="2"/>
        <v>7.8720728980180153E-5</v>
      </c>
      <c r="R69" s="11">
        <f t="shared" ca="1" si="3"/>
        <v>1.1629499591832088E-4</v>
      </c>
      <c r="S69" s="11">
        <f t="shared" ca="1" si="4"/>
        <v>7.7348035258226574E-5</v>
      </c>
      <c r="T69" s="11">
        <f t="shared" ca="1" si="5"/>
        <v>6.3713145012547941E-5</v>
      </c>
      <c r="U69" s="11">
        <f t="shared" ca="1" si="6"/>
        <v>8.1464881347666958E-5</v>
      </c>
      <c r="V69" s="11">
        <f t="shared" ca="1" si="7"/>
        <v>9.7281700468082686E-5</v>
      </c>
      <c r="W69" s="11">
        <f t="shared" ca="1" si="8"/>
        <v>1.3693144831838228E-4</v>
      </c>
      <c r="X69" s="11"/>
      <c r="Y69" s="2">
        <f t="shared" ca="1" si="9"/>
        <v>4.8850534362006278E-5</v>
      </c>
      <c r="Z69" s="11">
        <f t="shared" ca="1" si="10"/>
        <v>8.1464881347666958E-5</v>
      </c>
      <c r="AA69" s="2">
        <f t="shared" ca="1" si="11"/>
        <v>7.8097461677066905E-5</v>
      </c>
      <c r="AB69" s="2">
        <f t="shared" ca="1" si="12"/>
        <v>1.012090941497844E-4</v>
      </c>
      <c r="AC69" s="2">
        <f t="shared" ca="1" si="13"/>
        <v>7.7348035258226574E-5</v>
      </c>
      <c r="AD69" s="2">
        <f t="shared" ca="1" si="14"/>
        <v>-4.5996065501362849E-5</v>
      </c>
      <c r="AE69" s="2">
        <f t="shared" ca="1" si="15"/>
        <v>8.1464881347666958E-5</v>
      </c>
      <c r="AF69" s="2">
        <f t="shared" ca="1" si="16"/>
        <v>-6.4732385426411127E-5</v>
      </c>
      <c r="AG69" s="2">
        <f t="shared" ca="1" si="17"/>
        <v>7.1189901208344887E-5</v>
      </c>
      <c r="AI69" s="2">
        <f t="shared" ca="1" si="18"/>
        <v>4.8850534362006278E-5</v>
      </c>
      <c r="AJ69" s="11">
        <f t="shared" ca="1" si="19"/>
        <v>8.1464881347666958E-5</v>
      </c>
      <c r="AK69" s="2">
        <f t="shared" ca="1" si="20"/>
        <v>-1.8016025151733843E-5</v>
      </c>
      <c r="AL69" s="2">
        <f t="shared" ca="1" si="21"/>
        <v>5.6223967620205607E-5</v>
      </c>
      <c r="AM69" s="2">
        <f t="shared" ca="1" si="22"/>
        <v>7.7348035258226574E-5</v>
      </c>
      <c r="AN69" s="2">
        <f t="shared" ca="1" si="23"/>
        <v>-4.5996065501362849E-5</v>
      </c>
      <c r="AO69" s="2">
        <f t="shared" ca="1" si="24"/>
        <v>8.1464881347666958E-5</v>
      </c>
      <c r="AP69" s="2">
        <f t="shared" ca="1" si="25"/>
        <v>-6.4732385426411127E-5</v>
      </c>
      <c r="AQ69" s="2">
        <f t="shared" ca="1" si="26"/>
        <v>7.1189901208344887E-5</v>
      </c>
      <c r="AS69" s="2">
        <f t="shared" ca="1" si="27"/>
        <v>2.1491867697225495</v>
      </c>
      <c r="AT69" s="2">
        <f t="shared" ca="1" si="28"/>
        <v>9.7347466284995562E-2</v>
      </c>
      <c r="AU69" s="2">
        <f t="shared" ca="1" si="29"/>
        <v>1.1321023194272439E-5</v>
      </c>
      <c r="AV69" s="2">
        <f t="shared" ca="1" si="30"/>
        <v>8.5960677273810246E-5</v>
      </c>
      <c r="AW69" s="2">
        <f t="shared" ca="1" si="31"/>
        <v>2.6764193950335629</v>
      </c>
      <c r="AX69" s="2">
        <f t="shared" ca="1" si="32"/>
        <v>0.3071878381150529</v>
      </c>
      <c r="AY69" s="9" t="str">
        <f t="shared" ca="1" si="33"/>
        <v>rejected</v>
      </c>
      <c r="AZ69" s="9" t="e">
        <f t="shared" ca="1" si="34"/>
        <v>#N/A</v>
      </c>
      <c r="BB69" s="2" t="e">
        <f t="shared" ca="1" si="35"/>
        <v>#N/A</v>
      </c>
      <c r="BC69" s="2" t="e">
        <f t="shared" ca="1" si="41"/>
        <v>#N/A</v>
      </c>
      <c r="BD69" s="2" t="e">
        <f t="shared" ca="1" si="36"/>
        <v>#N/A</v>
      </c>
      <c r="BE69" s="2" t="e">
        <f t="shared" ca="1" si="37"/>
        <v>#N/A</v>
      </c>
      <c r="BF69" s="2" t="e">
        <f t="shared" ca="1" si="38"/>
        <v>#N/A</v>
      </c>
      <c r="BG69" s="2" t="e">
        <f t="shared" ca="1" si="39"/>
        <v>#N/A</v>
      </c>
      <c r="BH69" s="2" t="e">
        <f t="shared" ca="1" si="42"/>
        <v>#N/A</v>
      </c>
      <c r="BI69" s="2" t="e">
        <f t="shared" ca="1" si="40"/>
        <v>#N/A</v>
      </c>
    </row>
    <row r="70" spans="1:62" ht="15" x14ac:dyDescent="0.25">
      <c r="A70" s="66">
        <v>4</v>
      </c>
      <c r="B70" s="66">
        <v>1498730121.5669999</v>
      </c>
      <c r="C70" s="67">
        <v>-4.7480369741631198E-5</v>
      </c>
      <c r="D70" s="67">
        <v>-6.5732752627766196E-6</v>
      </c>
      <c r="E70" s="67">
        <v>9.1185969411729305E-4</v>
      </c>
      <c r="F70" s="67">
        <v>8.7588272942773404E-7</v>
      </c>
      <c r="G70" s="67">
        <v>8.2473954378956097E-6</v>
      </c>
      <c r="H70" s="67">
        <v>1.1111867635999E-3</v>
      </c>
      <c r="I70" s="67">
        <v>-6.5732752627766196E-6</v>
      </c>
      <c r="J70" s="67">
        <v>6.7384962326122802E-4</v>
      </c>
      <c r="K70" s="67">
        <v>7.2048488395096604E-3</v>
      </c>
      <c r="L70" s="67"/>
      <c r="M70" s="67"/>
      <c r="O70" s="11">
        <f t="shared" ca="1" si="0"/>
        <v>-6.0284300451591226E-5</v>
      </c>
      <c r="P70" s="11">
        <f t="shared" ca="1" si="1"/>
        <v>-7.3383754930813599E-6</v>
      </c>
      <c r="Q70" s="11">
        <f t="shared" ca="1" si="2"/>
        <v>7.5368081849009152E-5</v>
      </c>
      <c r="R70" s="11">
        <f t="shared" ca="1" si="3"/>
        <v>-1.077060491691939E-5</v>
      </c>
      <c r="S70" s="11">
        <f t="shared" ca="1" si="4"/>
        <v>-2.6802566090745127E-6</v>
      </c>
      <c r="T70" s="11">
        <f t="shared" ca="1" si="5"/>
        <v>-2.7368274982402137E-5</v>
      </c>
      <c r="U70" s="11">
        <f t="shared" ca="1" si="6"/>
        <v>-7.3383754930813599E-6</v>
      </c>
      <c r="V70" s="11">
        <f t="shared" ca="1" si="7"/>
        <v>2.3653617567453663E-5</v>
      </c>
      <c r="W70" s="11">
        <f t="shared" ca="1" si="8"/>
        <v>8.2000576004672386E-5</v>
      </c>
      <c r="X70" s="11"/>
      <c r="Y70" s="2">
        <f t="shared" ca="1" si="9"/>
        <v>-6.0284300451591226E-5</v>
      </c>
      <c r="Z70" s="11">
        <f t="shared" ca="1" si="10"/>
        <v>-7.3383754930813599E-6</v>
      </c>
      <c r="AA70" s="2">
        <f t="shared" ca="1" si="11"/>
        <v>7.5368081849009152E-5</v>
      </c>
      <c r="AB70" s="2">
        <f t="shared" ca="1" si="12"/>
        <v>-1.077060491691939E-5</v>
      </c>
      <c r="AC70" s="2">
        <f t="shared" ca="1" si="13"/>
        <v>-2.6802566090745127E-6</v>
      </c>
      <c r="AD70" s="2">
        <f t="shared" ca="1" si="14"/>
        <v>-2.7368274982402137E-5</v>
      </c>
      <c r="AE70" s="2">
        <f t="shared" ca="1" si="15"/>
        <v>-7.3383754930813599E-6</v>
      </c>
      <c r="AF70" s="2">
        <f t="shared" ca="1" si="16"/>
        <v>2.3653617567453663E-5</v>
      </c>
      <c r="AG70" s="2">
        <f t="shared" ca="1" si="17"/>
        <v>8.2000576004672386E-5</v>
      </c>
      <c r="AI70" s="2">
        <f t="shared" ca="1" si="18"/>
        <v>-6.0284300451591226E-5</v>
      </c>
      <c r="AJ70" s="11">
        <f t="shared" ca="1" si="19"/>
        <v>-7.3383754930813599E-6</v>
      </c>
      <c r="AK70" s="2">
        <f t="shared" ca="1" si="20"/>
        <v>7.5368081849009152E-5</v>
      </c>
      <c r="AL70" s="2">
        <f t="shared" ca="1" si="21"/>
        <v>-1.077060491691939E-5</v>
      </c>
      <c r="AM70" s="2">
        <f t="shared" ca="1" si="22"/>
        <v>-2.6802566090745127E-6</v>
      </c>
      <c r="AN70" s="2">
        <f t="shared" ca="1" si="23"/>
        <v>-2.7368274982402137E-5</v>
      </c>
      <c r="AO70" s="2">
        <f t="shared" ca="1" si="24"/>
        <v>-7.3383754930813599E-6</v>
      </c>
      <c r="AP70" s="2">
        <f t="shared" ca="1" si="25"/>
        <v>2.3653617567453663E-5</v>
      </c>
      <c r="AQ70" s="2">
        <f t="shared" ca="1" si="26"/>
        <v>8.2000576004672386E-5</v>
      </c>
      <c r="AS70" s="2" t="e">
        <f t="shared" ca="1" si="27"/>
        <v>#N/A</v>
      </c>
      <c r="AT70" s="2" t="e">
        <f t="shared" ca="1" si="28"/>
        <v>#N/A</v>
      </c>
      <c r="AU70" s="2" t="e">
        <f t="shared" ca="1" si="29"/>
        <v>#N/A</v>
      </c>
      <c r="AV70" s="2" t="e">
        <f t="shared" ca="1" si="30"/>
        <v>#N/A</v>
      </c>
      <c r="AW70" s="2" t="e">
        <f t="shared" ca="1" si="31"/>
        <v>#N/A</v>
      </c>
      <c r="AX70" s="2" t="e">
        <f t="shared" ca="1" si="32"/>
        <v>#N/A</v>
      </c>
      <c r="AY70" s="9" t="e">
        <f t="shared" ca="1" si="33"/>
        <v>#N/A</v>
      </c>
      <c r="AZ70" s="9" t="e">
        <f t="shared" ca="1" si="34"/>
        <v>#N/A</v>
      </c>
      <c r="BB70" s="2" t="e">
        <f t="shared" ca="1" si="35"/>
        <v>#N/A</v>
      </c>
      <c r="BC70" s="2" t="e">
        <f t="shared" ca="1" si="41"/>
        <v>#N/A</v>
      </c>
      <c r="BD70" s="2" t="e">
        <f t="shared" ca="1" si="36"/>
        <v>#N/A</v>
      </c>
      <c r="BE70" s="2" t="e">
        <f t="shared" ca="1" si="37"/>
        <v>#N/A</v>
      </c>
      <c r="BF70" s="2" t="e">
        <f t="shared" ca="1" si="38"/>
        <v>#N/A</v>
      </c>
      <c r="BG70" s="2" t="e">
        <f t="shared" ca="1" si="39"/>
        <v>#N/A</v>
      </c>
      <c r="BH70" s="2" t="e">
        <f t="shared" ca="1" si="42"/>
        <v>#N/A</v>
      </c>
      <c r="BI70" s="2" t="e">
        <f t="shared" ca="1" si="40"/>
        <v>#N/A</v>
      </c>
    </row>
    <row r="71" spans="1:62" ht="15" x14ac:dyDescent="0.25">
      <c r="A71" s="66">
        <v>5</v>
      </c>
      <c r="B71" s="66">
        <v>1498730122.0940001</v>
      </c>
      <c r="C71" s="67">
        <v>-5.7873537475259103E-5</v>
      </c>
      <c r="D71" s="67">
        <v>-8.3355397213798004E-5</v>
      </c>
      <c r="E71" s="67">
        <v>7.9404519406680695E-4</v>
      </c>
      <c r="F71" s="67">
        <v>1.7055622766485799E-5</v>
      </c>
      <c r="G71" s="67">
        <v>-6.3476047731563202E-6</v>
      </c>
      <c r="H71" s="67">
        <v>1.16936346772639E-3</v>
      </c>
      <c r="I71" s="67">
        <v>-8.3355397213798004E-5</v>
      </c>
      <c r="J71" s="67">
        <v>6.4273745350141296E-4</v>
      </c>
      <c r="K71" s="67">
        <v>7.1487269247098896E-3</v>
      </c>
      <c r="L71" s="67"/>
      <c r="M71" s="67"/>
      <c r="O71" s="11">
        <f t="shared" ca="1" si="0"/>
        <v>-7.0677468185219137E-5</v>
      </c>
      <c r="P71" s="11">
        <f t="shared" ca="1" si="1"/>
        <v>-8.4120497444102743E-5</v>
      </c>
      <c r="Q71" s="11">
        <f t="shared" ca="1" si="2"/>
        <v>-4.2446418201476941E-5</v>
      </c>
      <c r="R71" s="11">
        <f t="shared" ca="1" si="3"/>
        <v>5.4091351201386753E-6</v>
      </c>
      <c r="S71" s="11">
        <f t="shared" ca="1" si="4"/>
        <v>-1.7275256820126444E-5</v>
      </c>
      <c r="T71" s="11">
        <f t="shared" ca="1" si="5"/>
        <v>3.0808429144087894E-5</v>
      </c>
      <c r="U71" s="11">
        <f t="shared" ca="1" si="6"/>
        <v>-8.4120497444102743E-5</v>
      </c>
      <c r="V71" s="11">
        <f t="shared" ca="1" si="7"/>
        <v>-7.4585521923613979E-6</v>
      </c>
      <c r="W71" s="11">
        <f t="shared" ca="1" si="8"/>
        <v>2.5878661204901607E-5</v>
      </c>
      <c r="X71" s="11"/>
      <c r="Y71" s="2">
        <f t="shared" ca="1" si="9"/>
        <v>-7.0677468185219137E-5</v>
      </c>
      <c r="Z71" s="11">
        <f t="shared" ca="1" si="10"/>
        <v>-8.4120497444102743E-5</v>
      </c>
      <c r="AA71" s="2">
        <f t="shared" ca="1" si="11"/>
        <v>-4.2446418201476941E-5</v>
      </c>
      <c r="AB71" s="2">
        <f t="shared" ca="1" si="12"/>
        <v>5.4091351201386753E-6</v>
      </c>
      <c r="AC71" s="2">
        <f t="shared" ca="1" si="13"/>
        <v>-1.7275256820126444E-5</v>
      </c>
      <c r="AD71" s="2">
        <f t="shared" ca="1" si="14"/>
        <v>3.0808429144087894E-5</v>
      </c>
      <c r="AE71" s="2">
        <f t="shared" ca="1" si="15"/>
        <v>-8.4120497444102743E-5</v>
      </c>
      <c r="AF71" s="2">
        <f t="shared" ca="1" si="16"/>
        <v>-7.4585521923613979E-6</v>
      </c>
      <c r="AG71" s="2">
        <f t="shared" ca="1" si="17"/>
        <v>2.5878661204901607E-5</v>
      </c>
      <c r="AI71" s="2">
        <f t="shared" ca="1" si="18"/>
        <v>-7.0677468185219137E-5</v>
      </c>
      <c r="AJ71" s="11">
        <f t="shared" ca="1" si="19"/>
        <v>-8.4120497444102743E-5</v>
      </c>
      <c r="AK71" s="2">
        <f t="shared" ca="1" si="20"/>
        <v>-4.2446418201476941E-5</v>
      </c>
      <c r="AL71" s="2">
        <f t="shared" ca="1" si="21"/>
        <v>5.4091351201386753E-6</v>
      </c>
      <c r="AM71" s="2">
        <f t="shared" ca="1" si="22"/>
        <v>-1.7275256820126444E-5</v>
      </c>
      <c r="AN71" s="2">
        <f t="shared" ca="1" si="23"/>
        <v>3.0808429144087894E-5</v>
      </c>
      <c r="AO71" s="2">
        <f t="shared" ca="1" si="24"/>
        <v>-8.4120497444102743E-5</v>
      </c>
      <c r="AP71" s="2">
        <f t="shared" ca="1" si="25"/>
        <v>-7.4585521923613979E-6</v>
      </c>
      <c r="AQ71" s="2">
        <f t="shared" ca="1" si="26"/>
        <v>2.5878661204901607E-5</v>
      </c>
      <c r="AS71" s="2">
        <f t="shared" ca="1" si="27"/>
        <v>0.8399863908630244</v>
      </c>
      <c r="AT71" s="2">
        <f t="shared" ca="1" si="28"/>
        <v>3.761613546104605E-2</v>
      </c>
      <c r="AU71" s="2">
        <f t="shared" ca="1" si="29"/>
        <v>2.0347075940623802E-7</v>
      </c>
      <c r="AV71" s="2">
        <f t="shared" ca="1" si="30"/>
        <v>-7.6620229517676351E-6</v>
      </c>
      <c r="AW71" s="2">
        <f t="shared" ca="1" si="31"/>
        <v>-0.79181605133083566</v>
      </c>
      <c r="AX71" s="2">
        <f t="shared" ca="1" si="32"/>
        <v>-0.13098673085795698</v>
      </c>
      <c r="AY71" s="9" t="str">
        <f t="shared" ca="1" si="33"/>
        <v>rejected</v>
      </c>
      <c r="AZ71" s="9" t="e">
        <f t="shared" ca="1" si="34"/>
        <v>#N/A</v>
      </c>
      <c r="BB71" s="2">
        <f t="shared" ca="1" si="35"/>
        <v>0.8399863908630244</v>
      </c>
      <c r="BC71" s="2">
        <f t="shared" ca="1" si="41"/>
        <v>3.761613546104605E-2</v>
      </c>
      <c r="BD71" s="2">
        <f t="shared" ca="1" si="36"/>
        <v>2.0347075940623802E-7</v>
      </c>
      <c r="BE71" s="2">
        <f t="shared" ca="1" si="37"/>
        <v>-7.6620229517676351E-6</v>
      </c>
      <c r="BF71" s="2">
        <f t="shared" ca="1" si="38"/>
        <v>-0.79181605133083566</v>
      </c>
      <c r="BG71" s="2">
        <f t="shared" ca="1" si="39"/>
        <v>-0.13098673085795698</v>
      </c>
      <c r="BH71" s="2" t="str">
        <f t="shared" ca="1" si="42"/>
        <v>rejected</v>
      </c>
      <c r="BI71" s="2" t="e">
        <f t="shared" ca="1" si="40"/>
        <v>#N/A</v>
      </c>
    </row>
    <row r="72" spans="1:62" ht="15" x14ac:dyDescent="0.25">
      <c r="A72" s="66">
        <v>6</v>
      </c>
      <c r="B72" s="66">
        <v>1498730122.6210001</v>
      </c>
      <c r="C72" s="67">
        <v>3.3059929410003501E-6</v>
      </c>
      <c r="D72" s="67">
        <v>1.19464412143437E-5</v>
      </c>
      <c r="E72" s="67">
        <v>8.1200382971920301E-4</v>
      </c>
      <c r="F72" s="67">
        <v>-5.8130359616032903E-5</v>
      </c>
      <c r="G72" s="67">
        <v>5.9653071441601197E-5</v>
      </c>
      <c r="H72" s="67">
        <v>1.14361270591983E-3</v>
      </c>
      <c r="I72" s="67">
        <v>1.19464412143437E-5</v>
      </c>
      <c r="J72" s="67">
        <v>6.6624961438429805E-4</v>
      </c>
      <c r="K72" s="67">
        <v>7.1972065217418401E-3</v>
      </c>
      <c r="L72" s="67"/>
      <c r="M72" s="67"/>
      <c r="O72" s="11">
        <f t="shared" ca="1" si="0"/>
        <v>-9.4979377689596781E-6</v>
      </c>
      <c r="P72" s="11">
        <f t="shared" ca="1" si="1"/>
        <v>1.118134098403896E-5</v>
      </c>
      <c r="Q72" s="11">
        <f t="shared" ca="1" si="2"/>
        <v>-2.4487782549080885E-5</v>
      </c>
      <c r="R72" s="11">
        <f t="shared" ca="1" si="3"/>
        <v>-6.9776847262380024E-5</v>
      </c>
      <c r="S72" s="11">
        <f t="shared" ca="1" si="4"/>
        <v>4.8725419394631076E-5</v>
      </c>
      <c r="T72" s="11">
        <f t="shared" ca="1" si="5"/>
        <v>5.0576673375278373E-6</v>
      </c>
      <c r="U72" s="11">
        <f t="shared" ca="1" si="6"/>
        <v>1.118134098403896E-5</v>
      </c>
      <c r="V72" s="11">
        <f t="shared" ca="1" si="7"/>
        <v>1.6053608690523688E-5</v>
      </c>
      <c r="W72" s="11">
        <f t="shared" ca="1" si="8"/>
        <v>7.4358258236852104E-5</v>
      </c>
      <c r="X72" s="11"/>
      <c r="Y72" s="2">
        <f t="shared" ca="1" si="9"/>
        <v>-9.4979377689596781E-6</v>
      </c>
      <c r="Z72" s="11">
        <f t="shared" ca="1" si="10"/>
        <v>1.118134098403896E-5</v>
      </c>
      <c r="AA72" s="2">
        <f t="shared" ca="1" si="11"/>
        <v>-2.4573328174693106E-5</v>
      </c>
      <c r="AB72" s="2">
        <f t="shared" ca="1" si="12"/>
        <v>-7.1847440245948561E-5</v>
      </c>
      <c r="AC72" s="2">
        <f t="shared" ca="1" si="13"/>
        <v>4.8725419394631076E-5</v>
      </c>
      <c r="AD72" s="2">
        <f t="shared" ca="1" si="14"/>
        <v>-1.0000306988987026E-5</v>
      </c>
      <c r="AE72" s="2">
        <f t="shared" ca="1" si="15"/>
        <v>1.118134098403896E-5</v>
      </c>
      <c r="AF72" s="2">
        <f t="shared" ca="1" si="16"/>
        <v>-6.1833934217440639E-6</v>
      </c>
      <c r="AG72" s="2">
        <f t="shared" ca="1" si="17"/>
        <v>6.5335000080757826E-5</v>
      </c>
      <c r="AI72" s="2">
        <f t="shared" ca="1" si="18"/>
        <v>-9.4979377689596781E-6</v>
      </c>
      <c r="AJ72" s="11">
        <f t="shared" ca="1" si="19"/>
        <v>1.118134098403896E-5</v>
      </c>
      <c r="AK72" s="2">
        <f t="shared" ca="1" si="20"/>
        <v>-3.7765241691529476E-5</v>
      </c>
      <c r="AL72" s="2">
        <f t="shared" ca="1" si="21"/>
        <v>-7.8021806802633698E-5</v>
      </c>
      <c r="AM72" s="2">
        <f t="shared" ca="1" si="22"/>
        <v>4.8725419394631076E-5</v>
      </c>
      <c r="AN72" s="2">
        <f t="shared" ca="1" si="23"/>
        <v>-1.0000306988987026E-5</v>
      </c>
      <c r="AO72" s="2">
        <f t="shared" ca="1" si="24"/>
        <v>1.118134098403896E-5</v>
      </c>
      <c r="AP72" s="2">
        <f t="shared" ca="1" si="25"/>
        <v>-6.1833934217440639E-6</v>
      </c>
      <c r="AQ72" s="2">
        <f t="shared" ca="1" si="26"/>
        <v>6.5335000080757826E-5</v>
      </c>
      <c r="AS72" s="2">
        <f t="shared" ca="1" si="27"/>
        <v>14.702085620601146</v>
      </c>
      <c r="AT72" s="2">
        <f t="shared" ca="1" si="28"/>
        <v>0.68164499364751563</v>
      </c>
      <c r="AU72" s="2">
        <f t="shared" ca="1" si="29"/>
        <v>-4.7563038608908698E-5</v>
      </c>
      <c r="AV72" s="2">
        <f t="shared" ca="1" si="30"/>
        <v>6.361664729943238E-5</v>
      </c>
      <c r="AW72" s="2">
        <f t="shared" ca="1" si="31"/>
        <v>9.4743784563575026</v>
      </c>
      <c r="AX72" s="2">
        <f t="shared" ca="1" si="32"/>
        <v>-8.6112167229789787</v>
      </c>
      <c r="AY72" s="9" t="str">
        <f t="shared" ca="1" si="33"/>
        <v>rejected</v>
      </c>
      <c r="AZ72" s="9" t="e">
        <f t="shared" ca="1" si="34"/>
        <v>#N/A</v>
      </c>
      <c r="BB72" s="2" t="e">
        <f t="shared" ca="1" si="35"/>
        <v>#N/A</v>
      </c>
      <c r="BC72" s="2" t="e">
        <f t="shared" ca="1" si="41"/>
        <v>#N/A</v>
      </c>
      <c r="BD72" s="2" t="e">
        <f t="shared" ca="1" si="36"/>
        <v>#N/A</v>
      </c>
      <c r="BE72" s="2" t="e">
        <f t="shared" ca="1" si="37"/>
        <v>#N/A</v>
      </c>
      <c r="BF72" s="2" t="e">
        <f t="shared" ca="1" si="38"/>
        <v>#N/A</v>
      </c>
      <c r="BG72" s="2" t="e">
        <f t="shared" ca="1" si="39"/>
        <v>#N/A</v>
      </c>
      <c r="BH72" s="2" t="e">
        <f t="shared" ca="1" si="42"/>
        <v>#N/A</v>
      </c>
      <c r="BI72" s="2" t="e">
        <f t="shared" ca="1" si="40"/>
        <v>#N/A</v>
      </c>
    </row>
    <row r="73" spans="1:62" ht="15" x14ac:dyDescent="0.25">
      <c r="A73" s="66">
        <v>7</v>
      </c>
      <c r="B73" s="66">
        <v>1498730123.148</v>
      </c>
      <c r="C73" s="67">
        <v>-5.4341709493278398E-6</v>
      </c>
      <c r="D73" s="67">
        <v>1.5995406410694301E-6</v>
      </c>
      <c r="E73" s="67">
        <v>8.7977063713032396E-4</v>
      </c>
      <c r="F73" s="67">
        <v>-5.5172880605543898E-7</v>
      </c>
      <c r="G73" s="67">
        <v>-3.1933839826305901E-6</v>
      </c>
      <c r="H73" s="67">
        <v>1.1173857595437699E-3</v>
      </c>
      <c r="I73" s="67">
        <v>1.5995406410694301E-6</v>
      </c>
      <c r="J73" s="67">
        <v>6.5342473067177395E-4</v>
      </c>
      <c r="K73" s="67">
        <v>7.1575629327999797E-3</v>
      </c>
      <c r="L73" s="67"/>
      <c r="M73" s="67"/>
      <c r="O73" s="11">
        <f t="shared" ca="1" si="0"/>
        <v>-1.8238101659287868E-5</v>
      </c>
      <c r="P73" s="11">
        <f t="shared" ca="1" si="1"/>
        <v>8.3444041076468965E-7</v>
      </c>
      <c r="Q73" s="11">
        <f t="shared" ca="1" si="2"/>
        <v>4.327902486204007E-5</v>
      </c>
      <c r="R73" s="11">
        <f t="shared" ca="1" si="3"/>
        <v>-1.2198216452402562E-5</v>
      </c>
      <c r="S73" s="11">
        <f t="shared" ca="1" si="4"/>
        <v>-1.4121036029600713E-5</v>
      </c>
      <c r="T73" s="11">
        <f t="shared" ca="1" si="5"/>
        <v>-2.1169279038532217E-5</v>
      </c>
      <c r="U73" s="11">
        <f t="shared" ca="1" si="6"/>
        <v>8.3444041076468965E-7</v>
      </c>
      <c r="V73" s="11">
        <f t="shared" ca="1" si="7"/>
        <v>3.2287249779995933E-6</v>
      </c>
      <c r="W73" s="11">
        <f t="shared" ca="1" si="8"/>
        <v>3.471466929499175E-5</v>
      </c>
      <c r="X73" s="11"/>
      <c r="Y73" s="2">
        <f t="shared" ca="1" si="9"/>
        <v>-1.8238101659287868E-5</v>
      </c>
      <c r="Z73" s="11">
        <f t="shared" ca="1" si="10"/>
        <v>8.3444041076468965E-7</v>
      </c>
      <c r="AA73" s="2">
        <f t="shared" ca="1" si="11"/>
        <v>4.3272640768479477E-5</v>
      </c>
      <c r="AB73" s="2">
        <f t="shared" ca="1" si="12"/>
        <v>-1.2352740535175978E-5</v>
      </c>
      <c r="AC73" s="2">
        <f t="shared" ca="1" si="13"/>
        <v>-1.4121036029600713E-5</v>
      </c>
      <c r="AD73" s="2">
        <f t="shared" ca="1" si="14"/>
        <v>-2.2293024598231843E-5</v>
      </c>
      <c r="AE73" s="2">
        <f t="shared" ca="1" si="15"/>
        <v>8.3444041076468965E-7</v>
      </c>
      <c r="AF73" s="2">
        <f t="shared" ca="1" si="16"/>
        <v>1.5692233848343953E-6</v>
      </c>
      <c r="AG73" s="2">
        <f t="shared" ca="1" si="17"/>
        <v>3.4041282153596536E-5</v>
      </c>
      <c r="AI73" s="2">
        <f t="shared" ca="1" si="18"/>
        <v>-1.8238101659287868E-5</v>
      </c>
      <c r="AJ73" s="11">
        <f t="shared" ca="1" si="19"/>
        <v>8.3444041076468965E-7</v>
      </c>
      <c r="AK73" s="2">
        <f t="shared" ca="1" si="20"/>
        <v>4.228815547736148E-5</v>
      </c>
      <c r="AL73" s="2">
        <f t="shared" ca="1" si="21"/>
        <v>-1.2813520773711466E-5</v>
      </c>
      <c r="AM73" s="2">
        <f t="shared" ca="1" si="22"/>
        <v>-1.4121036029600713E-5</v>
      </c>
      <c r="AN73" s="2">
        <f t="shared" ca="1" si="23"/>
        <v>-2.2293024598231843E-5</v>
      </c>
      <c r="AO73" s="2">
        <f t="shared" ca="1" si="24"/>
        <v>8.3444041076468965E-7</v>
      </c>
      <c r="AP73" s="2">
        <f t="shared" ca="1" si="25"/>
        <v>1.5692233848343953E-6</v>
      </c>
      <c r="AQ73" s="2">
        <f t="shared" ca="1" si="26"/>
        <v>3.4041282153596536E-5</v>
      </c>
      <c r="AS73" s="2" t="e">
        <f t="shared" ca="1" si="27"/>
        <v>#N/A</v>
      </c>
      <c r="AT73" s="2" t="e">
        <f t="shared" ca="1" si="28"/>
        <v>#N/A</v>
      </c>
      <c r="AU73" s="2" t="e">
        <f t="shared" ca="1" si="29"/>
        <v>#N/A</v>
      </c>
      <c r="AV73" s="2" t="e">
        <f t="shared" ca="1" si="30"/>
        <v>#N/A</v>
      </c>
      <c r="AW73" s="2" t="e">
        <f t="shared" ca="1" si="31"/>
        <v>#N/A</v>
      </c>
      <c r="AX73" s="2" t="e">
        <f t="shared" ca="1" si="32"/>
        <v>#N/A</v>
      </c>
      <c r="AY73" s="9" t="e">
        <f t="shared" ca="1" si="33"/>
        <v>#N/A</v>
      </c>
      <c r="AZ73" s="9" t="e">
        <f t="shared" ca="1" si="34"/>
        <v>#N/A</v>
      </c>
      <c r="BB73" s="2" t="e">
        <f t="shared" ca="1" si="35"/>
        <v>#N/A</v>
      </c>
      <c r="BC73" s="2" t="e">
        <f t="shared" ca="1" si="41"/>
        <v>#N/A</v>
      </c>
      <c r="BD73" s="2" t="e">
        <f t="shared" ca="1" si="36"/>
        <v>#N/A</v>
      </c>
      <c r="BE73" s="2" t="e">
        <f t="shared" ca="1" si="37"/>
        <v>#N/A</v>
      </c>
      <c r="BF73" s="2" t="e">
        <f t="shared" ca="1" si="38"/>
        <v>#N/A</v>
      </c>
      <c r="BG73" s="2" t="e">
        <f t="shared" ca="1" si="39"/>
        <v>#N/A</v>
      </c>
      <c r="BH73" s="2" t="e">
        <f t="shared" ca="1" si="42"/>
        <v>#N/A</v>
      </c>
      <c r="BI73" s="2" t="e">
        <f t="shared" ca="1" si="40"/>
        <v>#N/A</v>
      </c>
    </row>
    <row r="74" spans="1:62" ht="15" x14ac:dyDescent="0.25">
      <c r="A74" s="66">
        <v>8</v>
      </c>
      <c r="B74" s="66">
        <v>1498730123.675</v>
      </c>
      <c r="C74" s="67">
        <v>-4.1575112297952602E-5</v>
      </c>
      <c r="D74" s="67">
        <v>-1.0696900588165999E-6</v>
      </c>
      <c r="E74" s="67">
        <v>8.2397643169594703E-4</v>
      </c>
      <c r="F74" s="67">
        <v>3.53771154689378E-5</v>
      </c>
      <c r="G74" s="67">
        <v>1.02295545390711E-4</v>
      </c>
      <c r="H74" s="67">
        <v>1.2468581850764999E-3</v>
      </c>
      <c r="I74" s="67">
        <v>-1.0696900588165999E-6</v>
      </c>
      <c r="J74" s="67">
        <v>7.2348860502016103E-4</v>
      </c>
      <c r="K74" s="67">
        <v>7.2280149710170502E-3</v>
      </c>
      <c r="L74" s="67"/>
      <c r="M74" s="67"/>
      <c r="O74" s="11">
        <f t="shared" ca="1" si="0"/>
        <v>-5.4379043007912629E-5</v>
      </c>
      <c r="P74" s="11">
        <f t="shared" ca="1" si="1"/>
        <v>-1.8347902891213405E-6</v>
      </c>
      <c r="Q74" s="11">
        <f t="shared" ca="1" si="2"/>
        <v>-1.2515180572336866E-5</v>
      </c>
      <c r="R74" s="11">
        <f t="shared" ca="1" si="3"/>
        <v>2.3730627822590676E-5</v>
      </c>
      <c r="S74" s="11">
        <f t="shared" ca="1" si="4"/>
        <v>9.1367893343740868E-5</v>
      </c>
      <c r="T74" s="11">
        <f t="shared" ca="1" si="5"/>
        <v>1.0830314649419776E-4</v>
      </c>
      <c r="U74" s="11">
        <f t="shared" ca="1" si="6"/>
        <v>-1.8347902891213405E-6</v>
      </c>
      <c r="V74" s="11">
        <f t="shared" ca="1" si="7"/>
        <v>7.3292599326386671E-5</v>
      </c>
      <c r="W74" s="11">
        <f t="shared" ca="1" si="8"/>
        <v>1.0516670751206224E-4</v>
      </c>
      <c r="X74" s="11"/>
      <c r="Y74" s="2">
        <f t="shared" ca="1" si="9"/>
        <v>-5.4379043007912629E-5</v>
      </c>
      <c r="Z74" s="11">
        <f t="shared" ca="1" si="10"/>
        <v>-1.8347902891213405E-6</v>
      </c>
      <c r="AA74" s="2">
        <f t="shared" ca="1" si="11"/>
        <v>-1.2515180572336866E-5</v>
      </c>
      <c r="AB74" s="2">
        <f t="shared" ca="1" si="12"/>
        <v>2.3730627822590676E-5</v>
      </c>
      <c r="AC74" s="2">
        <f t="shared" ca="1" si="13"/>
        <v>9.1367893343740868E-5</v>
      </c>
      <c r="AD74" s="2">
        <f t="shared" ca="1" si="14"/>
        <v>1.0830314649419776E-4</v>
      </c>
      <c r="AE74" s="2">
        <f t="shared" ca="1" si="15"/>
        <v>-1.8347902891213405E-6</v>
      </c>
      <c r="AF74" s="2">
        <f t="shared" ca="1" si="16"/>
        <v>7.3292599326386671E-5</v>
      </c>
      <c r="AG74" s="2">
        <f t="shared" ca="1" si="17"/>
        <v>1.0516670751206224E-4</v>
      </c>
      <c r="AI74" s="2">
        <f t="shared" ca="1" si="18"/>
        <v>-5.4379043007912629E-5</v>
      </c>
      <c r="AJ74" s="11">
        <f t="shared" ca="1" si="19"/>
        <v>-1.8347902891213405E-6</v>
      </c>
      <c r="AK74" s="2">
        <f t="shared" ca="1" si="20"/>
        <v>-1.2515180572336866E-5</v>
      </c>
      <c r="AL74" s="2">
        <f t="shared" ca="1" si="21"/>
        <v>2.3730627822590676E-5</v>
      </c>
      <c r="AM74" s="2">
        <f t="shared" ca="1" si="22"/>
        <v>9.1367893343740868E-5</v>
      </c>
      <c r="AN74" s="2">
        <f t="shared" ca="1" si="23"/>
        <v>1.0830314649419776E-4</v>
      </c>
      <c r="AO74" s="2">
        <f t="shared" ca="1" si="24"/>
        <v>-1.8347902891213405E-6</v>
      </c>
      <c r="AP74" s="2">
        <f t="shared" ca="1" si="25"/>
        <v>7.3292599326386671E-5</v>
      </c>
      <c r="AQ74" s="2">
        <f t="shared" ca="1" si="26"/>
        <v>1.0516670751206224E-4</v>
      </c>
      <c r="AS74" s="2">
        <f t="shared" ca="1" si="27"/>
        <v>0.9710401859626161</v>
      </c>
      <c r="AT74" s="2">
        <f t="shared" ca="1" si="28"/>
        <v>4.3561499179960932E-2</v>
      </c>
      <c r="AU74" s="2">
        <f t="shared" ca="1" si="29"/>
        <v>1.0337417244337417E-6</v>
      </c>
      <c r="AV74" s="2">
        <f t="shared" ca="1" si="30"/>
        <v>7.2258857601952925E-5</v>
      </c>
      <c r="AW74" s="2">
        <f t="shared" ca="1" si="31"/>
        <v>1.9746571248037228</v>
      </c>
      <c r="AX74" s="2">
        <f t="shared" ca="1" si="32"/>
        <v>-1.2743266738962691E-2</v>
      </c>
      <c r="AY74" s="9" t="str">
        <f t="shared" ca="1" si="33"/>
        <v>rejected</v>
      </c>
      <c r="AZ74" s="9" t="e">
        <f t="shared" ca="1" si="34"/>
        <v>#N/A</v>
      </c>
      <c r="BB74" s="2">
        <f t="shared" ca="1" si="35"/>
        <v>0.9710401859626161</v>
      </c>
      <c r="BC74" s="2">
        <f t="shared" ca="1" si="41"/>
        <v>4.3561499179960932E-2</v>
      </c>
      <c r="BD74" s="2">
        <f t="shared" ca="1" si="36"/>
        <v>1.0337417244337417E-6</v>
      </c>
      <c r="BE74" s="2">
        <f t="shared" ca="1" si="37"/>
        <v>7.2258857601952925E-5</v>
      </c>
      <c r="BF74" s="2">
        <f t="shared" ca="1" si="38"/>
        <v>1.9746571248037228</v>
      </c>
      <c r="BG74" s="2">
        <f t="shared" ca="1" si="39"/>
        <v>-1.2743266738962691E-2</v>
      </c>
      <c r="BH74" s="2" t="str">
        <f t="shared" ca="1" si="42"/>
        <v>rejected</v>
      </c>
      <c r="BI74" s="2" t="e">
        <f t="shared" ca="1" si="40"/>
        <v>#N/A</v>
      </c>
    </row>
    <row r="75" spans="1:62" ht="15" x14ac:dyDescent="0.25">
      <c r="A75" s="66">
        <v>9</v>
      </c>
      <c r="B75" s="66">
        <v>1498730124.2019999</v>
      </c>
      <c r="C75" s="67">
        <v>3.6613809759812802E-5</v>
      </c>
      <c r="D75" s="67">
        <v>3.05641312154905E-5</v>
      </c>
      <c r="E75" s="67">
        <v>9.1664919344114902E-4</v>
      </c>
      <c r="F75" s="67">
        <v>1.7055622766485799E-5</v>
      </c>
      <c r="G75" s="67">
        <v>1.06325149499526E-4</v>
      </c>
      <c r="H75" s="67">
        <v>1.2609271006898E-3</v>
      </c>
      <c r="I75" s="67">
        <v>3.05641312154905E-5</v>
      </c>
      <c r="J75" s="67">
        <v>7.52703131422053E-4</v>
      </c>
      <c r="K75" s="67">
        <v>7.2270596560480502E-3</v>
      </c>
      <c r="L75" s="67"/>
      <c r="M75" s="67"/>
      <c r="O75" s="11">
        <f t="shared" ca="1" si="0"/>
        <v>2.3809879049852774E-5</v>
      </c>
      <c r="P75" s="11">
        <f t="shared" ca="1" si="1"/>
        <v>2.9799030985185758E-5</v>
      </c>
      <c r="Q75" s="11">
        <f t="shared" ca="1" si="2"/>
        <v>8.0157581172865121E-5</v>
      </c>
      <c r="R75" s="11">
        <f t="shared" ca="1" si="3"/>
        <v>5.4091351201386753E-6</v>
      </c>
      <c r="S75" s="11">
        <f t="shared" ca="1" si="4"/>
        <v>9.5397497452555868E-5</v>
      </c>
      <c r="T75" s="11">
        <f t="shared" ca="1" si="5"/>
        <v>1.223720621074979E-4</v>
      </c>
      <c r="U75" s="11">
        <f t="shared" ca="1" si="6"/>
        <v>2.9799030985185758E-5</v>
      </c>
      <c r="V75" s="11">
        <f t="shared" ca="1" si="7"/>
        <v>1.0250712572827865E-4</v>
      </c>
      <c r="W75" s="11">
        <f t="shared" ca="1" si="8"/>
        <v>1.0421139254306218E-4</v>
      </c>
      <c r="X75" s="11"/>
      <c r="Y75" s="2">
        <f t="shared" ca="1" si="9"/>
        <v>2.3809879049852774E-5</v>
      </c>
      <c r="Z75" s="11">
        <f t="shared" ca="1" si="10"/>
        <v>2.9799030985185758E-5</v>
      </c>
      <c r="AA75" s="2">
        <f t="shared" ca="1" si="11"/>
        <v>7.9929596286982057E-5</v>
      </c>
      <c r="AB75" s="2">
        <f t="shared" ca="1" si="12"/>
        <v>-1.0913541316716361E-7</v>
      </c>
      <c r="AC75" s="2">
        <f t="shared" ca="1" si="13"/>
        <v>9.5397497452555868E-5</v>
      </c>
      <c r="AD75" s="2">
        <f t="shared" ca="1" si="14"/>
        <v>8.2241540717400502E-5</v>
      </c>
      <c r="AE75" s="2">
        <f t="shared" ca="1" si="15"/>
        <v>2.9799030985185758E-5</v>
      </c>
      <c r="AF75" s="2">
        <f t="shared" ca="1" si="16"/>
        <v>4.3244009085381435E-5</v>
      </c>
      <c r="AG75" s="2">
        <f t="shared" ca="1" si="17"/>
        <v>8.0163798451744485E-5</v>
      </c>
      <c r="AI75" s="2">
        <f t="shared" ca="1" si="18"/>
        <v>2.3809879049852774E-5</v>
      </c>
      <c r="AJ75" s="11">
        <f t="shared" ca="1" si="19"/>
        <v>2.9799030985185758E-5</v>
      </c>
      <c r="AK75" s="2">
        <f t="shared" ca="1" si="20"/>
        <v>4.4772253334714925E-5</v>
      </c>
      <c r="AL75" s="2">
        <f t="shared" ca="1" si="21"/>
        <v>-1.6564240449244296E-5</v>
      </c>
      <c r="AM75" s="2">
        <f t="shared" ca="1" si="22"/>
        <v>9.5397497452555868E-5</v>
      </c>
      <c r="AN75" s="2">
        <f t="shared" ca="1" si="23"/>
        <v>8.2241540717400502E-5</v>
      </c>
      <c r="AO75" s="2">
        <f t="shared" ca="1" si="24"/>
        <v>2.9799030985185758E-5</v>
      </c>
      <c r="AP75" s="2">
        <f t="shared" ca="1" si="25"/>
        <v>4.3244009085381435E-5</v>
      </c>
      <c r="AQ75" s="2">
        <f t="shared" ca="1" si="26"/>
        <v>8.0163798451744485E-5</v>
      </c>
      <c r="AS75" s="2">
        <f t="shared" ca="1" si="27"/>
        <v>0.85159464299553556</v>
      </c>
      <c r="AT75" s="2">
        <f t="shared" ca="1" si="28"/>
        <v>3.8142323251353395E-2</v>
      </c>
      <c r="AU75" s="2">
        <f t="shared" ca="1" si="29"/>
        <v>2.0631698026257763E-7</v>
      </c>
      <c r="AV75" s="2">
        <f t="shared" ca="1" si="30"/>
        <v>1.0230080874801607E-4</v>
      </c>
      <c r="AW75" s="2">
        <f t="shared" ca="1" si="31"/>
        <v>2.6432938320846824</v>
      </c>
      <c r="AX75" s="2">
        <f t="shared" ca="1" si="32"/>
        <v>6.3156403997166266E-2</v>
      </c>
      <c r="AY75" s="9" t="str">
        <f t="shared" ca="1" si="33"/>
        <v>rejected</v>
      </c>
      <c r="AZ75" s="9" t="e">
        <f t="shared" ca="1" si="34"/>
        <v>#N/A</v>
      </c>
      <c r="BB75" s="2">
        <f t="shared" ca="1" si="35"/>
        <v>0.97473609750581425</v>
      </c>
      <c r="BC75" s="2">
        <f t="shared" ca="1" si="41"/>
        <v>4.3729315027852177E-2</v>
      </c>
      <c r="BD75" s="2">
        <f t="shared" ca="1" si="36"/>
        <v>-7.2434288880209545E-7</v>
      </c>
      <c r="BE75" s="2">
        <f t="shared" ca="1" si="37"/>
        <v>4.3968351974183533E-5</v>
      </c>
      <c r="BF75" s="2">
        <f t="shared" ca="1" si="38"/>
        <v>1.5792823359904955</v>
      </c>
      <c r="BG75" s="2">
        <f t="shared" ca="1" si="39"/>
        <v>6.0268536900856817E-2</v>
      </c>
      <c r="BH75" s="2" t="str">
        <f t="shared" ca="1" si="42"/>
        <v>rejected</v>
      </c>
      <c r="BI75" s="2" t="e">
        <f t="shared" ca="1" si="40"/>
        <v>#N/A</v>
      </c>
    </row>
    <row r="76" spans="1:62" ht="15" x14ac:dyDescent="0.25">
      <c r="A76" s="66">
        <v>10</v>
      </c>
      <c r="B76" s="66">
        <v>1498730124.7290001</v>
      </c>
      <c r="C76" s="67">
        <v>4.0393490820292603E-5</v>
      </c>
      <c r="D76" s="67">
        <v>-2.96944442231371E-5</v>
      </c>
      <c r="E76" s="67">
        <v>7.9596076658695002E-4</v>
      </c>
      <c r="F76" s="67">
        <v>-2.4582883329817301E-5</v>
      </c>
      <c r="G76" s="67">
        <v>-2.9695124937536099E-5</v>
      </c>
      <c r="H76" s="67">
        <v>1.11976999898195E-3</v>
      </c>
      <c r="I76" s="67">
        <v>-2.96944442231371E-5</v>
      </c>
      <c r="J76" s="67">
        <v>6.8073718130924404E-4</v>
      </c>
      <c r="K76" s="67">
        <v>7.24616612830274E-3</v>
      </c>
      <c r="L76" s="67"/>
      <c r="M76" s="67"/>
      <c r="O76" s="11">
        <f t="shared" ca="1" si="0"/>
        <v>2.7589560110332575E-5</v>
      </c>
      <c r="P76" s="11">
        <f t="shared" ca="1" si="1"/>
        <v>-3.0459544453441842E-5</v>
      </c>
      <c r="Q76" s="11">
        <f t="shared" ca="1" si="2"/>
        <v>-4.0530845681333873E-5</v>
      </c>
      <c r="R76" s="11">
        <f t="shared" ca="1" si="3"/>
        <v>-3.6229370976164428E-5</v>
      </c>
      <c r="S76" s="11">
        <f t="shared" ca="1" si="4"/>
        <v>-4.062277698450622E-5</v>
      </c>
      <c r="T76" s="11">
        <f t="shared" ca="1" si="5"/>
        <v>-1.878503960035219E-5</v>
      </c>
      <c r="U76" s="11">
        <f t="shared" ca="1" si="6"/>
        <v>-3.0459544453441842E-5</v>
      </c>
      <c r="V76" s="11">
        <f t="shared" ca="1" si="7"/>
        <v>3.0541175615469681E-5</v>
      </c>
      <c r="W76" s="11">
        <f t="shared" ca="1" si="8"/>
        <v>1.2331786479775203E-4</v>
      </c>
      <c r="X76" s="11"/>
      <c r="Y76" s="2">
        <f t="shared" ca="1" si="9"/>
        <v>2.7589560110332575E-5</v>
      </c>
      <c r="Z76" s="11">
        <f t="shared" ca="1" si="10"/>
        <v>-3.0459544453441842E-5</v>
      </c>
      <c r="AA76" s="2">
        <f t="shared" ca="1" si="11"/>
        <v>-4.0530845681333873E-5</v>
      </c>
      <c r="AB76" s="2">
        <f t="shared" ca="1" si="12"/>
        <v>-3.6229370976164428E-5</v>
      </c>
      <c r="AC76" s="2">
        <f t="shared" ca="1" si="13"/>
        <v>-4.062277698450622E-5</v>
      </c>
      <c r="AD76" s="2">
        <f t="shared" ca="1" si="14"/>
        <v>-1.878503960035219E-5</v>
      </c>
      <c r="AE76" s="2">
        <f t="shared" ca="1" si="15"/>
        <v>-3.0459544453441842E-5</v>
      </c>
      <c r="AF76" s="2">
        <f t="shared" ca="1" si="16"/>
        <v>3.0541175615469681E-5</v>
      </c>
      <c r="AG76" s="2">
        <f t="shared" ca="1" si="17"/>
        <v>1.2331786479775203E-4</v>
      </c>
      <c r="AI76" s="2">
        <f t="shared" ca="1" si="18"/>
        <v>2.7589560110332575E-5</v>
      </c>
      <c r="AJ76" s="11">
        <f t="shared" ca="1" si="19"/>
        <v>-3.0459544453441842E-5</v>
      </c>
      <c r="AK76" s="2">
        <f t="shared" ca="1" si="20"/>
        <v>-4.0530845681333873E-5</v>
      </c>
      <c r="AL76" s="2">
        <f t="shared" ca="1" si="21"/>
        <v>-3.6229370976164428E-5</v>
      </c>
      <c r="AM76" s="2">
        <f t="shared" ca="1" si="22"/>
        <v>-4.062277698450622E-5</v>
      </c>
      <c r="AN76" s="2">
        <f t="shared" ca="1" si="23"/>
        <v>-1.878503960035219E-5</v>
      </c>
      <c r="AO76" s="2">
        <f t="shared" ca="1" si="24"/>
        <v>-3.0459544453441842E-5</v>
      </c>
      <c r="AP76" s="2">
        <f t="shared" ca="1" si="25"/>
        <v>3.0541175615469681E-5</v>
      </c>
      <c r="AQ76" s="2">
        <f t="shared" ca="1" si="26"/>
        <v>1.2331786479775203E-4</v>
      </c>
      <c r="AS76" s="2" t="e">
        <f t="shared" ca="1" si="27"/>
        <v>#N/A</v>
      </c>
      <c r="AT76" s="2" t="e">
        <f t="shared" ca="1" si="28"/>
        <v>#N/A</v>
      </c>
      <c r="AU76" s="2" t="e">
        <f t="shared" ca="1" si="29"/>
        <v>#N/A</v>
      </c>
      <c r="AV76" s="2" t="e">
        <f t="shared" ca="1" si="30"/>
        <v>#N/A</v>
      </c>
      <c r="AW76" s="2" t="e">
        <f t="shared" ca="1" si="31"/>
        <v>#N/A</v>
      </c>
      <c r="AX76" s="2" t="e">
        <f t="shared" ca="1" si="32"/>
        <v>#N/A</v>
      </c>
      <c r="AY76" s="9" t="e">
        <f t="shared" ca="1" si="33"/>
        <v>#N/A</v>
      </c>
      <c r="AZ76" s="9" t="e">
        <f t="shared" ca="1" si="34"/>
        <v>#N/A</v>
      </c>
      <c r="BB76" s="2" t="e">
        <f t="shared" ca="1" si="35"/>
        <v>#N/A</v>
      </c>
      <c r="BC76" s="2" t="e">
        <f t="shared" ca="1" si="41"/>
        <v>#N/A</v>
      </c>
      <c r="BD76" s="2" t="e">
        <f t="shared" ca="1" si="36"/>
        <v>#N/A</v>
      </c>
      <c r="BE76" s="2" t="e">
        <f t="shared" ca="1" si="37"/>
        <v>#N/A</v>
      </c>
      <c r="BF76" s="2" t="e">
        <f t="shared" ca="1" si="38"/>
        <v>#N/A</v>
      </c>
      <c r="BG76" s="2" t="e">
        <f t="shared" ca="1" si="39"/>
        <v>#N/A</v>
      </c>
      <c r="BH76" s="2" t="e">
        <f t="shared" ca="1" si="42"/>
        <v>#N/A</v>
      </c>
      <c r="BI76" s="2" t="e">
        <f t="shared" ca="1" si="40"/>
        <v>#N/A</v>
      </c>
    </row>
    <row r="77" spans="1:62" ht="15" x14ac:dyDescent="0.25">
      <c r="A77" s="66">
        <v>11</v>
      </c>
      <c r="B77" s="66">
        <v>1498730125.256</v>
      </c>
      <c r="C77" s="67">
        <v>-8.4800783784095502E-5</v>
      </c>
      <c r="D77" s="67">
        <v>-1.40038620602529E-6</v>
      </c>
      <c r="E77" s="67">
        <v>9.3724430050506804E-4</v>
      </c>
      <c r="F77" s="67">
        <v>1.27227586714771E-4</v>
      </c>
      <c r="G77" s="67">
        <v>-4.5743347338439503E-5</v>
      </c>
      <c r="H77" s="67">
        <v>1.06612598610926E-3</v>
      </c>
      <c r="I77" s="67">
        <v>-1.40038620602529E-6</v>
      </c>
      <c r="J77" s="67">
        <v>6.0236432837593699E-4</v>
      </c>
      <c r="K77" s="67">
        <v>7.1176821080810096E-3</v>
      </c>
      <c r="L77" s="67"/>
      <c r="M77" s="67"/>
      <c r="O77" s="11">
        <f t="shared" ca="1" si="0"/>
        <v>-9.7604714494055523E-5</v>
      </c>
      <c r="P77" s="11">
        <f t="shared" ca="1" si="1"/>
        <v>-2.1654864363300305E-6</v>
      </c>
      <c r="Q77" s="11">
        <f t="shared" ca="1" si="2"/>
        <v>1.0075268823678415E-4</v>
      </c>
      <c r="R77" s="11">
        <f t="shared" ca="1" si="3"/>
        <v>1.1558109906842388E-4</v>
      </c>
      <c r="S77" s="11">
        <f t="shared" ca="1" si="4"/>
        <v>-5.6670999385409624E-5</v>
      </c>
      <c r="T77" s="11">
        <f t="shared" ca="1" si="5"/>
        <v>-7.2429052473042127E-5</v>
      </c>
      <c r="U77" s="11">
        <f t="shared" ca="1" si="6"/>
        <v>-2.1654864363300305E-6</v>
      </c>
      <c r="V77" s="11">
        <f t="shared" ca="1" si="7"/>
        <v>-4.7831677317837365E-5</v>
      </c>
      <c r="W77" s="11">
        <f t="shared" ca="1" si="8"/>
        <v>-5.1661554239783997E-6</v>
      </c>
      <c r="X77" s="11"/>
      <c r="Y77" s="2">
        <f t="shared" ca="1" si="9"/>
        <v>-9.7604714494055523E-5</v>
      </c>
      <c r="Z77" s="11">
        <f t="shared" ca="1" si="10"/>
        <v>-2.1654864363300305E-6</v>
      </c>
      <c r="AA77" s="2">
        <f t="shared" ca="1" si="11"/>
        <v>1.0075268823678415E-4</v>
      </c>
      <c r="AB77" s="2">
        <f t="shared" ca="1" si="12"/>
        <v>1.1558109906842388E-4</v>
      </c>
      <c r="AC77" s="2">
        <f t="shared" ca="1" si="13"/>
        <v>-5.6670999385409624E-5</v>
      </c>
      <c r="AD77" s="2">
        <f t="shared" ca="1" si="14"/>
        <v>-7.2429052473042127E-5</v>
      </c>
      <c r="AE77" s="2">
        <f t="shared" ca="1" si="15"/>
        <v>-2.1654864363300305E-6</v>
      </c>
      <c r="AF77" s="2">
        <f t="shared" ca="1" si="16"/>
        <v>-4.7831677317837365E-5</v>
      </c>
      <c r="AG77" s="2">
        <f t="shared" ca="1" si="17"/>
        <v>-5.1661554239783997E-6</v>
      </c>
      <c r="AI77" s="2">
        <f t="shared" ca="1" si="18"/>
        <v>-9.7604714494055523E-5</v>
      </c>
      <c r="AJ77" s="11">
        <f t="shared" ca="1" si="19"/>
        <v>-2.1654864363300305E-6</v>
      </c>
      <c r="AK77" s="2">
        <f t="shared" ca="1" si="20"/>
        <v>1.0075268823678415E-4</v>
      </c>
      <c r="AL77" s="2">
        <f t="shared" ca="1" si="21"/>
        <v>1.1558109906842388E-4</v>
      </c>
      <c r="AM77" s="2">
        <f t="shared" ca="1" si="22"/>
        <v>-5.6670999385409624E-5</v>
      </c>
      <c r="AN77" s="2">
        <f t="shared" ca="1" si="23"/>
        <v>-7.2429052473042127E-5</v>
      </c>
      <c r="AO77" s="2">
        <f t="shared" ca="1" si="24"/>
        <v>-2.1654864363300305E-6</v>
      </c>
      <c r="AP77" s="2">
        <f t="shared" ca="1" si="25"/>
        <v>-4.7831677317837365E-5</v>
      </c>
      <c r="AQ77" s="2">
        <f t="shared" ca="1" si="26"/>
        <v>-5.1661554239783997E-6</v>
      </c>
      <c r="AS77" s="2" t="e">
        <f t="shared" ca="1" si="27"/>
        <v>#N/A</v>
      </c>
      <c r="AT77" s="2" t="e">
        <f t="shared" ca="1" si="28"/>
        <v>#N/A</v>
      </c>
      <c r="AU77" s="2" t="e">
        <f t="shared" ca="1" si="29"/>
        <v>#N/A</v>
      </c>
      <c r="AV77" s="2" t="e">
        <f t="shared" ca="1" si="30"/>
        <v>#N/A</v>
      </c>
      <c r="AW77" s="2" t="e">
        <f t="shared" ca="1" si="31"/>
        <v>#N/A</v>
      </c>
      <c r="AX77" s="2" t="e">
        <f t="shared" ca="1" si="32"/>
        <v>#N/A</v>
      </c>
      <c r="AY77" s="9" t="e">
        <f t="shared" ca="1" si="33"/>
        <v>#N/A</v>
      </c>
      <c r="AZ77" s="9" t="e">
        <f t="shared" ca="1" si="34"/>
        <v>#N/A</v>
      </c>
      <c r="BB77" s="2" t="e">
        <f t="shared" ca="1" si="35"/>
        <v>#N/A</v>
      </c>
      <c r="BC77" s="2" t="e">
        <f t="shared" ca="1" si="41"/>
        <v>#N/A</v>
      </c>
      <c r="BD77" s="2" t="e">
        <f t="shared" ca="1" si="36"/>
        <v>#N/A</v>
      </c>
      <c r="BE77" s="2" t="e">
        <f t="shared" ca="1" si="37"/>
        <v>#N/A</v>
      </c>
      <c r="BF77" s="2" t="e">
        <f t="shared" ca="1" si="38"/>
        <v>#N/A</v>
      </c>
      <c r="BG77" s="2" t="e">
        <f t="shared" ca="1" si="39"/>
        <v>#N/A</v>
      </c>
      <c r="BH77" s="2" t="e">
        <f t="shared" ca="1" si="42"/>
        <v>#N/A</v>
      </c>
      <c r="BI77" s="2" t="e">
        <f t="shared" ca="1" si="40"/>
        <v>#N/A</v>
      </c>
    </row>
    <row r="78" spans="1:62" ht="15" x14ac:dyDescent="0.25">
      <c r="A78" s="66">
        <v>12</v>
      </c>
      <c r="B78" s="66">
        <v>1498730125.783</v>
      </c>
      <c r="C78" s="67">
        <v>8.4333339771825103E-5</v>
      </c>
      <c r="D78" s="67">
        <v>7.7414062163371206E-6</v>
      </c>
      <c r="E78" s="67">
        <v>8.5007719818406202E-4</v>
      </c>
      <c r="F78" s="67">
        <v>1.6030534337925701E-4</v>
      </c>
      <c r="G78" s="67">
        <v>5.3788224515753903E-5</v>
      </c>
      <c r="H78" s="67">
        <v>1.0668412206914701E-3</v>
      </c>
      <c r="I78" s="67">
        <v>7.7414062163371206E-6</v>
      </c>
      <c r="J78" s="67">
        <v>6.3537517359891604E-4</v>
      </c>
      <c r="K78" s="67">
        <v>7.1107568569947601E-3</v>
      </c>
      <c r="L78" s="67"/>
      <c r="M78" s="67"/>
      <c r="O78" s="11">
        <f t="shared" ca="1" si="0"/>
        <v>7.1529409061865082E-5</v>
      </c>
      <c r="P78" s="11">
        <f t="shared" ca="1" si="1"/>
        <v>6.9763059860323803E-6</v>
      </c>
      <c r="Q78" s="11">
        <f t="shared" ca="1" si="2"/>
        <v>1.3585585915778121E-5</v>
      </c>
      <c r="R78" s="11">
        <f t="shared" ca="1" si="3"/>
        <v>1.4865885573290988E-4</v>
      </c>
      <c r="S78" s="11">
        <f t="shared" ca="1" si="4"/>
        <v>4.2860572468783782E-5</v>
      </c>
      <c r="T78" s="11">
        <f t="shared" ca="1" si="5"/>
        <v>-7.1713817890832043E-5</v>
      </c>
      <c r="U78" s="11">
        <f t="shared" ca="1" si="6"/>
        <v>6.9763059860323803E-6</v>
      </c>
      <c r="V78" s="11">
        <f t="shared" ca="1" si="7"/>
        <v>-1.4820832094858318E-5</v>
      </c>
      <c r="W78" s="11">
        <f t="shared" ca="1" si="8"/>
        <v>-1.2091406510227921E-5</v>
      </c>
      <c r="X78" s="11"/>
      <c r="Y78" s="2">
        <f t="shared" ca="1" si="9"/>
        <v>7.1529409061865082E-5</v>
      </c>
      <c r="Z78" s="11">
        <f t="shared" ca="1" si="10"/>
        <v>6.9763059860323803E-6</v>
      </c>
      <c r="AA78" s="2">
        <f t="shared" ca="1" si="11"/>
        <v>1.3532211954561006E-5</v>
      </c>
      <c r="AB78" s="2">
        <f t="shared" ca="1" si="12"/>
        <v>1.4736696326254109E-4</v>
      </c>
      <c r="AC78" s="2">
        <f t="shared" ca="1" si="13"/>
        <v>4.2860572468783782E-5</v>
      </c>
      <c r="AD78" s="2">
        <f t="shared" ca="1" si="14"/>
        <v>-8.1108848109617254E-5</v>
      </c>
      <c r="AE78" s="2">
        <f t="shared" ca="1" si="15"/>
        <v>6.9763059860323803E-6</v>
      </c>
      <c r="AF78" s="2">
        <f t="shared" ca="1" si="16"/>
        <v>-2.8695029399875206E-5</v>
      </c>
      <c r="AG78" s="2">
        <f t="shared" ca="1" si="17"/>
        <v>-1.7721233020101284E-5</v>
      </c>
      <c r="AI78" s="2">
        <f t="shared" ca="1" si="18"/>
        <v>7.1529409061865082E-5</v>
      </c>
      <c r="AJ78" s="11">
        <f t="shared" ca="1" si="19"/>
        <v>6.9763059860323803E-6</v>
      </c>
      <c r="AK78" s="2">
        <f t="shared" ca="1" si="20"/>
        <v>5.3014616924861481E-6</v>
      </c>
      <c r="AL78" s="2">
        <f t="shared" ca="1" si="21"/>
        <v>1.4351462833859521E-4</v>
      </c>
      <c r="AM78" s="2">
        <f t="shared" ca="1" si="22"/>
        <v>4.2860572468783782E-5</v>
      </c>
      <c r="AN78" s="2">
        <f t="shared" ca="1" si="23"/>
        <v>-8.1108848109617254E-5</v>
      </c>
      <c r="AO78" s="2">
        <f t="shared" ca="1" si="24"/>
        <v>6.9763059860323803E-6</v>
      </c>
      <c r="AP78" s="2">
        <f t="shared" ca="1" si="25"/>
        <v>-2.8695029399875206E-5</v>
      </c>
      <c r="AQ78" s="2">
        <f t="shared" ca="1" si="26"/>
        <v>-1.7721233020101284E-5</v>
      </c>
      <c r="AS78" s="2" t="e">
        <f t="shared" ca="1" si="27"/>
        <v>#N/A</v>
      </c>
      <c r="AT78" s="2" t="e">
        <f t="shared" ca="1" si="28"/>
        <v>#N/A</v>
      </c>
      <c r="AU78" s="2" t="e">
        <f t="shared" ca="1" si="29"/>
        <v>#N/A</v>
      </c>
      <c r="AV78" s="2" t="e">
        <f t="shared" ca="1" si="30"/>
        <v>#N/A</v>
      </c>
      <c r="AW78" s="2" t="e">
        <f t="shared" ca="1" si="31"/>
        <v>#N/A</v>
      </c>
      <c r="AX78" s="2" t="e">
        <f t="shared" ca="1" si="32"/>
        <v>#N/A</v>
      </c>
      <c r="AY78" s="9" t="e">
        <f t="shared" ca="1" si="33"/>
        <v>#N/A</v>
      </c>
      <c r="AZ78" s="9" t="e">
        <f t="shared" ca="1" si="34"/>
        <v>#N/A</v>
      </c>
      <c r="BB78" s="2" t="e">
        <f t="shared" ca="1" si="35"/>
        <v>#N/A</v>
      </c>
      <c r="BC78" s="2" t="e">
        <f t="shared" ca="1" si="41"/>
        <v>#N/A</v>
      </c>
      <c r="BD78" s="2" t="e">
        <f t="shared" ca="1" si="36"/>
        <v>#N/A</v>
      </c>
      <c r="BE78" s="2" t="e">
        <f t="shared" ca="1" si="37"/>
        <v>#N/A</v>
      </c>
      <c r="BF78" s="2" t="e">
        <f t="shared" ca="1" si="38"/>
        <v>#N/A</v>
      </c>
      <c r="BG78" s="2" t="e">
        <f t="shared" ca="1" si="39"/>
        <v>#N/A</v>
      </c>
      <c r="BH78" s="2" t="e">
        <f t="shared" ca="1" si="42"/>
        <v>#N/A</v>
      </c>
      <c r="BI78" s="2" t="e">
        <f t="shared" ca="1" si="40"/>
        <v>#N/A</v>
      </c>
    </row>
    <row r="79" spans="1:62" ht="15" x14ac:dyDescent="0.25">
      <c r="A79" s="66">
        <v>13</v>
      </c>
      <c r="B79" s="66">
        <v>1498730126.3099999</v>
      </c>
      <c r="C79" s="67">
        <v>-1.13396435052362E-5</v>
      </c>
      <c r="D79" s="67">
        <v>8.1902497674560592E-6</v>
      </c>
      <c r="E79" s="67">
        <v>8.3930157026447202E-4</v>
      </c>
      <c r="F79" s="67">
        <v>2.01488382100095E-5</v>
      </c>
      <c r="G79" s="67">
        <v>4.7075874707312901E-5</v>
      </c>
      <c r="H79" s="67">
        <v>1.11523994890833E-3</v>
      </c>
      <c r="I79" s="67">
        <v>8.1902497674560592E-6</v>
      </c>
      <c r="J79" s="67">
        <v>6.0758899371734501E-4</v>
      </c>
      <c r="K79" s="67">
        <v>7.0866382523307198E-3</v>
      </c>
      <c r="L79" s="67"/>
      <c r="M79" s="67"/>
      <c r="O79" s="11">
        <f t="shared" ca="1" si="0"/>
        <v>-2.4143574215196228E-5</v>
      </c>
      <c r="P79" s="11">
        <f t="shared" ca="1" si="1"/>
        <v>7.4251495371513189E-6</v>
      </c>
      <c r="Q79" s="11">
        <f t="shared" ca="1" si="2"/>
        <v>2.8099579961881217E-6</v>
      </c>
      <c r="R79" s="11">
        <f t="shared" ca="1" si="3"/>
        <v>8.502350563662376E-6</v>
      </c>
      <c r="S79" s="11">
        <f t="shared" ca="1" si="4"/>
        <v>3.614822266034278E-5</v>
      </c>
      <c r="T79" s="11">
        <f t="shared" ca="1" si="5"/>
        <v>-2.3315089673972122E-5</v>
      </c>
      <c r="U79" s="11">
        <f t="shared" ca="1" si="6"/>
        <v>7.4251495371513189E-6</v>
      </c>
      <c r="V79" s="11">
        <f t="shared" ca="1" si="7"/>
        <v>-4.260701197642935E-5</v>
      </c>
      <c r="W79" s="11">
        <f t="shared" ca="1" si="8"/>
        <v>-3.621001117426817E-5</v>
      </c>
      <c r="X79" s="11"/>
      <c r="Y79" s="2">
        <f t="shared" ca="1" si="9"/>
        <v>-2.4143574215196228E-5</v>
      </c>
      <c r="Z79" s="11">
        <f t="shared" ca="1" si="10"/>
        <v>7.4251495371513189E-6</v>
      </c>
      <c r="AA79" s="2">
        <f t="shared" ca="1" si="11"/>
        <v>2.7531500459318312E-6</v>
      </c>
      <c r="AB79" s="2">
        <f t="shared" ca="1" si="12"/>
        <v>7.1273399495044406E-6</v>
      </c>
      <c r="AC79" s="2">
        <f t="shared" ca="1" si="13"/>
        <v>3.614822266034278E-5</v>
      </c>
      <c r="AD79" s="2">
        <f t="shared" ca="1" si="14"/>
        <v>-3.3314580008857762E-5</v>
      </c>
      <c r="AE79" s="2">
        <f t="shared" ca="1" si="15"/>
        <v>7.4251495371513189E-6</v>
      </c>
      <c r="AF79" s="2">
        <f t="shared" ca="1" si="16"/>
        <v>-5.7373851318618445E-5</v>
      </c>
      <c r="AG79" s="2">
        <f t="shared" ca="1" si="17"/>
        <v>-4.2202051057226711E-5</v>
      </c>
      <c r="AI79" s="2">
        <f t="shared" ca="1" si="18"/>
        <v>-2.4143574215196228E-5</v>
      </c>
      <c r="AJ79" s="11">
        <f t="shared" ca="1" si="19"/>
        <v>7.4251495371513189E-6</v>
      </c>
      <c r="AK79" s="2">
        <f t="shared" ca="1" si="20"/>
        <v>-6.0071525585143903E-6</v>
      </c>
      <c r="AL79" s="2">
        <f t="shared" ca="1" si="21"/>
        <v>3.0271524097436475E-6</v>
      </c>
      <c r="AM79" s="2">
        <f t="shared" ca="1" si="22"/>
        <v>3.614822266034278E-5</v>
      </c>
      <c r="AN79" s="2">
        <f t="shared" ca="1" si="23"/>
        <v>-3.3314580008857762E-5</v>
      </c>
      <c r="AO79" s="2">
        <f t="shared" ca="1" si="24"/>
        <v>7.4251495371513189E-6</v>
      </c>
      <c r="AP79" s="2">
        <f t="shared" ca="1" si="25"/>
        <v>-5.7373851318618445E-5</v>
      </c>
      <c r="AQ79" s="2">
        <f t="shared" ca="1" si="26"/>
        <v>-4.2202051057226711E-5</v>
      </c>
      <c r="AS79" s="2" t="e">
        <f t="shared" ca="1" si="27"/>
        <v>#N/A</v>
      </c>
      <c r="AT79" s="2" t="e">
        <f t="shared" ca="1" si="28"/>
        <v>#N/A</v>
      </c>
      <c r="AU79" s="2" t="e">
        <f t="shared" ca="1" si="29"/>
        <v>#N/A</v>
      </c>
      <c r="AV79" s="2" t="e">
        <f t="shared" ca="1" si="30"/>
        <v>#N/A</v>
      </c>
      <c r="AW79" s="2" t="e">
        <f t="shared" ca="1" si="31"/>
        <v>#N/A</v>
      </c>
      <c r="AX79" s="2" t="e">
        <f t="shared" ca="1" si="32"/>
        <v>#N/A</v>
      </c>
      <c r="AY79" s="9" t="e">
        <f t="shared" ca="1" si="33"/>
        <v>#N/A</v>
      </c>
      <c r="AZ79" s="9" t="e">
        <f t="shared" ca="1" si="34"/>
        <v>#N/A</v>
      </c>
      <c r="BB79" s="2" t="e">
        <f t="shared" ca="1" si="35"/>
        <v>#N/A</v>
      </c>
      <c r="BC79" s="2" t="e">
        <f t="shared" ca="1" si="41"/>
        <v>#N/A</v>
      </c>
      <c r="BD79" s="2" t="e">
        <f t="shared" ca="1" si="36"/>
        <v>#N/A</v>
      </c>
      <c r="BE79" s="2" t="e">
        <f t="shared" ca="1" si="37"/>
        <v>#N/A</v>
      </c>
      <c r="BF79" s="2" t="e">
        <f t="shared" ca="1" si="38"/>
        <v>#N/A</v>
      </c>
      <c r="BG79" s="2" t="e">
        <f t="shared" ca="1" si="39"/>
        <v>#N/A</v>
      </c>
      <c r="BH79" s="2" t="e">
        <f t="shared" ca="1" si="42"/>
        <v>#N/A</v>
      </c>
      <c r="BI79" s="2" t="e">
        <f t="shared" ca="1" si="40"/>
        <v>#N/A</v>
      </c>
    </row>
    <row r="80" spans="1:62" ht="15" x14ac:dyDescent="0.25">
      <c r="A80" s="66">
        <v>14</v>
      </c>
      <c r="B80" s="66">
        <v>1498730126.8369999</v>
      </c>
      <c r="C80" s="67">
        <v>-9.6138353065765704E-5</v>
      </c>
      <c r="D80" s="67">
        <v>-2.5396534714211201E-5</v>
      </c>
      <c r="E80" s="67">
        <v>7.45678197417627E-4</v>
      </c>
      <c r="F80" s="67">
        <v>-7.8591387584652205E-5</v>
      </c>
      <c r="G80" s="67">
        <v>-8.6957926629029002E-5</v>
      </c>
      <c r="H80" s="67">
        <v>1.11357098826291E-3</v>
      </c>
      <c r="I80" s="67">
        <v>-2.5396534714211201E-5</v>
      </c>
      <c r="J80" s="67">
        <v>6.3086283534892495E-4</v>
      </c>
      <c r="K80" s="67">
        <v>7.2227607499468598E-3</v>
      </c>
      <c r="L80" s="67"/>
      <c r="M80" s="67"/>
      <c r="O80" s="11">
        <f t="shared" ca="1" si="0"/>
        <v>-1.0894228377572574E-4</v>
      </c>
      <c r="P80" s="11">
        <f t="shared" ca="1" si="1"/>
        <v>-2.6161634944515943E-5</v>
      </c>
      <c r="Q80" s="11">
        <f t="shared" ca="1" si="2"/>
        <v>-9.0813414850656892E-5</v>
      </c>
      <c r="R80" s="11">
        <f t="shared" ca="1" si="3"/>
        <v>-9.0237875230999326E-5</v>
      </c>
      <c r="S80" s="11">
        <f t="shared" ca="1" si="4"/>
        <v>-9.788557867599913E-5</v>
      </c>
      <c r="T80" s="11">
        <f t="shared" ca="1" si="5"/>
        <v>-2.498405031939213E-5</v>
      </c>
      <c r="U80" s="11">
        <f t="shared" ca="1" si="6"/>
        <v>-2.6161634944515943E-5</v>
      </c>
      <c r="V80" s="11">
        <f t="shared" ca="1" si="7"/>
        <v>-1.9333170344849404E-5</v>
      </c>
      <c r="W80" s="11">
        <f t="shared" ca="1" si="8"/>
        <v>9.991248644187177E-5</v>
      </c>
      <c r="X80" s="11"/>
      <c r="Y80" s="2">
        <f t="shared" ca="1" si="9"/>
        <v>-1.0894228377572574E-4</v>
      </c>
      <c r="Z80" s="11">
        <f t="shared" ca="1" si="10"/>
        <v>-2.6161634944515943E-5</v>
      </c>
      <c r="AA80" s="2">
        <f t="shared" ca="1" si="11"/>
        <v>-9.0813414850656892E-5</v>
      </c>
      <c r="AB80" s="2">
        <f t="shared" ca="1" si="12"/>
        <v>-9.0237875230999326E-5</v>
      </c>
      <c r="AC80" s="2">
        <f t="shared" ca="1" si="13"/>
        <v>-9.788557867599913E-5</v>
      </c>
      <c r="AD80" s="2">
        <f t="shared" ca="1" si="14"/>
        <v>-2.498405031939213E-5</v>
      </c>
      <c r="AE80" s="2">
        <f t="shared" ca="1" si="15"/>
        <v>-2.6161634944515943E-5</v>
      </c>
      <c r="AF80" s="2">
        <f t="shared" ca="1" si="16"/>
        <v>-1.9333170344849404E-5</v>
      </c>
      <c r="AG80" s="2">
        <f t="shared" ca="1" si="17"/>
        <v>9.991248644187177E-5</v>
      </c>
      <c r="AI80" s="2">
        <f t="shared" ca="1" si="18"/>
        <v>-1.0894228377572574E-4</v>
      </c>
      <c r="AJ80" s="11">
        <f t="shared" ca="1" si="19"/>
        <v>-2.6161634944515943E-5</v>
      </c>
      <c r="AK80" s="2">
        <f t="shared" ca="1" si="20"/>
        <v>-9.0813414850656892E-5</v>
      </c>
      <c r="AL80" s="2">
        <f t="shared" ca="1" si="21"/>
        <v>-9.0237875230999326E-5</v>
      </c>
      <c r="AM80" s="2">
        <f t="shared" ca="1" si="22"/>
        <v>-9.788557867599913E-5</v>
      </c>
      <c r="AN80" s="2">
        <f t="shared" ca="1" si="23"/>
        <v>-2.498405031939213E-5</v>
      </c>
      <c r="AO80" s="2">
        <f t="shared" ca="1" si="24"/>
        <v>-2.6161634944515943E-5</v>
      </c>
      <c r="AP80" s="2">
        <f t="shared" ca="1" si="25"/>
        <v>-1.9333170344849404E-5</v>
      </c>
      <c r="AQ80" s="2">
        <f t="shared" ca="1" si="26"/>
        <v>9.991248644187177E-5</v>
      </c>
      <c r="AS80" s="2" t="e">
        <f t="shared" ca="1" si="27"/>
        <v>#N/A</v>
      </c>
      <c r="AT80" s="2" t="e">
        <f t="shared" ca="1" si="28"/>
        <v>#N/A</v>
      </c>
      <c r="AU80" s="2" t="e">
        <f t="shared" ca="1" si="29"/>
        <v>#N/A</v>
      </c>
      <c r="AV80" s="2" t="e">
        <f t="shared" ca="1" si="30"/>
        <v>#N/A</v>
      </c>
      <c r="AW80" s="2" t="e">
        <f t="shared" ca="1" si="31"/>
        <v>#N/A</v>
      </c>
      <c r="AX80" s="2" t="e">
        <f t="shared" ca="1" si="32"/>
        <v>#N/A</v>
      </c>
      <c r="AY80" s="9" t="e">
        <f t="shared" ca="1" si="33"/>
        <v>#N/A</v>
      </c>
      <c r="AZ80" s="9" t="e">
        <f t="shared" ca="1" si="34"/>
        <v>#N/A</v>
      </c>
      <c r="BB80" s="2" t="e">
        <f t="shared" ca="1" si="35"/>
        <v>#N/A</v>
      </c>
      <c r="BC80" s="2" t="e">
        <f t="shared" ca="1" si="41"/>
        <v>#N/A</v>
      </c>
      <c r="BD80" s="2" t="e">
        <f t="shared" ca="1" si="36"/>
        <v>#N/A</v>
      </c>
      <c r="BE80" s="2" t="e">
        <f t="shared" ca="1" si="37"/>
        <v>#N/A</v>
      </c>
      <c r="BF80" s="2" t="e">
        <f t="shared" ca="1" si="38"/>
        <v>#N/A</v>
      </c>
      <c r="BG80" s="2" t="e">
        <f t="shared" ca="1" si="39"/>
        <v>#N/A</v>
      </c>
      <c r="BH80" s="2" t="e">
        <f t="shared" ca="1" si="42"/>
        <v>#N/A</v>
      </c>
      <c r="BI80" s="2" t="e">
        <f t="shared" ca="1" si="40"/>
        <v>#N/A</v>
      </c>
    </row>
    <row r="81" spans="1:61" ht="15" x14ac:dyDescent="0.25">
      <c r="A81" s="66">
        <v>15</v>
      </c>
      <c r="B81" s="66">
        <v>1498730127.3629999</v>
      </c>
      <c r="C81" s="67">
        <v>-3.3071479830632403E-5</v>
      </c>
      <c r="D81" s="67">
        <v>-2.28696548094741E-5</v>
      </c>
      <c r="E81" s="67">
        <v>8.0577813303409898E-4</v>
      </c>
      <c r="F81" s="67">
        <v>-5.6702830391643699E-5</v>
      </c>
      <c r="G81" s="67">
        <v>-9.73700618424808E-5</v>
      </c>
      <c r="H81" s="67">
        <v>1.0897289973527599E-3</v>
      </c>
      <c r="I81" s="67">
        <v>-2.28696548094741E-5</v>
      </c>
      <c r="J81" s="67">
        <v>5.9927703898848903E-4</v>
      </c>
      <c r="K81" s="67">
        <v>7.2024606089523E-3</v>
      </c>
      <c r="L81" s="67"/>
      <c r="M81" s="67"/>
      <c r="O81" s="11">
        <f t="shared" ca="1" si="0"/>
        <v>-4.5875410540592431E-5</v>
      </c>
      <c r="P81" s="11">
        <f t="shared" ca="1" si="1"/>
        <v>-2.3634755039778842E-5</v>
      </c>
      <c r="Q81" s="11">
        <f t="shared" ca="1" si="2"/>
        <v>-3.0713479234184917E-5</v>
      </c>
      <c r="R81" s="11">
        <f t="shared" ca="1" si="3"/>
        <v>-6.8349318037990819E-5</v>
      </c>
      <c r="S81" s="11">
        <f t="shared" ca="1" si="4"/>
        <v>-1.0829771388945093E-4</v>
      </c>
      <c r="T81" s="11">
        <f t="shared" ca="1" si="5"/>
        <v>-4.882604122954221E-5</v>
      </c>
      <c r="U81" s="11">
        <f t="shared" ca="1" si="6"/>
        <v>-2.3634755039778842E-5</v>
      </c>
      <c r="V81" s="11">
        <f t="shared" ca="1" si="7"/>
        <v>-5.0918966705285323E-5</v>
      </c>
      <c r="W81" s="11">
        <f t="shared" ca="1" si="8"/>
        <v>7.9612345447311987E-5</v>
      </c>
      <c r="X81" s="11"/>
      <c r="Y81" s="2">
        <f t="shared" ca="1" si="9"/>
        <v>-4.5875410540592431E-5</v>
      </c>
      <c r="Z81" s="11">
        <f t="shared" ca="1" si="10"/>
        <v>-2.3634755039778842E-5</v>
      </c>
      <c r="AA81" s="2">
        <f t="shared" ca="1" si="11"/>
        <v>-3.0713479234184917E-5</v>
      </c>
      <c r="AB81" s="2">
        <f t="shared" ca="1" si="12"/>
        <v>-6.8349318037990819E-5</v>
      </c>
      <c r="AC81" s="2">
        <f t="shared" ca="1" si="13"/>
        <v>-1.0829771388945093E-4</v>
      </c>
      <c r="AD81" s="2">
        <f t="shared" ca="1" si="14"/>
        <v>-4.882604122954221E-5</v>
      </c>
      <c r="AE81" s="2">
        <f t="shared" ca="1" si="15"/>
        <v>-2.3634755039778842E-5</v>
      </c>
      <c r="AF81" s="2">
        <f t="shared" ca="1" si="16"/>
        <v>-5.0918966705285323E-5</v>
      </c>
      <c r="AG81" s="2">
        <f t="shared" ca="1" si="17"/>
        <v>7.9612345447311987E-5</v>
      </c>
      <c r="AI81" s="2">
        <f t="shared" ca="1" si="18"/>
        <v>-4.5875410540592431E-5</v>
      </c>
      <c r="AJ81" s="11">
        <f t="shared" ca="1" si="19"/>
        <v>-2.3634755039778842E-5</v>
      </c>
      <c r="AK81" s="2">
        <f t="shared" ca="1" si="20"/>
        <v>-3.0713479234184917E-5</v>
      </c>
      <c r="AL81" s="2">
        <f t="shared" ca="1" si="21"/>
        <v>-6.8349318037990819E-5</v>
      </c>
      <c r="AM81" s="2">
        <f t="shared" ca="1" si="22"/>
        <v>-1.0829771388945093E-4</v>
      </c>
      <c r="AN81" s="2">
        <f t="shared" ca="1" si="23"/>
        <v>-4.882604122954221E-5</v>
      </c>
      <c r="AO81" s="2">
        <f t="shared" ca="1" si="24"/>
        <v>-2.3634755039778842E-5</v>
      </c>
      <c r="AP81" s="2">
        <f t="shared" ca="1" si="25"/>
        <v>-5.0918966705285323E-5</v>
      </c>
      <c r="AQ81" s="2">
        <f t="shared" ca="1" si="26"/>
        <v>7.9612345447311987E-5</v>
      </c>
      <c r="AS81" s="2" t="e">
        <f t="shared" ca="1" si="27"/>
        <v>#N/A</v>
      </c>
      <c r="AT81" s="2" t="e">
        <f t="shared" ca="1" si="28"/>
        <v>#N/A</v>
      </c>
      <c r="AU81" s="2" t="e">
        <f t="shared" ca="1" si="29"/>
        <v>#N/A</v>
      </c>
      <c r="AV81" s="2" t="e">
        <f t="shared" ca="1" si="30"/>
        <v>#N/A</v>
      </c>
      <c r="AW81" s="2" t="e">
        <f t="shared" ca="1" si="31"/>
        <v>#N/A</v>
      </c>
      <c r="AX81" s="2" t="e">
        <f t="shared" ca="1" si="32"/>
        <v>#N/A</v>
      </c>
      <c r="AY81" s="9" t="e">
        <f t="shared" ca="1" si="33"/>
        <v>#N/A</v>
      </c>
      <c r="AZ81" s="9" t="e">
        <f t="shared" ca="1" si="34"/>
        <v>#N/A</v>
      </c>
      <c r="BB81" s="2" t="e">
        <f t="shared" ca="1" si="35"/>
        <v>#N/A</v>
      </c>
      <c r="BC81" s="2" t="e">
        <f t="shared" ca="1" si="41"/>
        <v>#N/A</v>
      </c>
      <c r="BD81" s="2" t="e">
        <f t="shared" ca="1" si="36"/>
        <v>#N/A</v>
      </c>
      <c r="BE81" s="2" t="e">
        <f t="shared" ca="1" si="37"/>
        <v>#N/A</v>
      </c>
      <c r="BF81" s="2" t="e">
        <f t="shared" ca="1" si="38"/>
        <v>#N/A</v>
      </c>
      <c r="BG81" s="2" t="e">
        <f t="shared" ca="1" si="39"/>
        <v>#N/A</v>
      </c>
      <c r="BH81" s="2" t="e">
        <f t="shared" ca="1" si="42"/>
        <v>#N/A</v>
      </c>
      <c r="BI81" s="2" t="e">
        <f t="shared" ca="1" si="40"/>
        <v>#N/A</v>
      </c>
    </row>
    <row r="82" spans="1:61" ht="15" x14ac:dyDescent="0.25">
      <c r="A82" s="66">
        <v>16</v>
      </c>
      <c r="B82" s="66">
        <v>1498730127.891</v>
      </c>
      <c r="C82" s="67">
        <v>1.3699801572602101E-5</v>
      </c>
      <c r="D82" s="67">
        <v>-4.2209273564692101E-5</v>
      </c>
      <c r="E82" s="67">
        <v>7.66988122071319E-4</v>
      </c>
      <c r="F82" s="67">
        <v>-6.5030055432141196E-5</v>
      </c>
      <c r="G82" s="67">
        <v>-2.7835998254478601E-5</v>
      </c>
      <c r="H82" s="67">
        <v>1.1481428844834301E-3</v>
      </c>
      <c r="I82" s="67">
        <v>-4.2209273564692101E-5</v>
      </c>
      <c r="J82" s="67">
        <v>6.9926257335369598E-4</v>
      </c>
      <c r="K82" s="67">
        <v>7.2361351849891996E-3</v>
      </c>
      <c r="L82" s="67"/>
      <c r="M82" s="67"/>
      <c r="O82" s="11">
        <f t="shared" ca="1" si="0"/>
        <v>8.9587086264207272E-7</v>
      </c>
      <c r="P82" s="11">
        <f t="shared" ca="1" si="1"/>
        <v>-4.2974373794996839E-5</v>
      </c>
      <c r="Q82" s="11">
        <f t="shared" ca="1" si="2"/>
        <v>-6.950349019696489E-5</v>
      </c>
      <c r="R82" s="11">
        <f t="shared" ca="1" si="3"/>
        <v>-7.6676543078488317E-5</v>
      </c>
      <c r="S82" s="11">
        <f t="shared" ca="1" si="4"/>
        <v>-3.8763650301448725E-5</v>
      </c>
      <c r="T82" s="11">
        <f t="shared" ca="1" si="5"/>
        <v>9.5878459011279268E-6</v>
      </c>
      <c r="U82" s="11">
        <f t="shared" ca="1" si="6"/>
        <v>-4.2974373794996839E-5</v>
      </c>
      <c r="V82" s="11">
        <f t="shared" ca="1" si="7"/>
        <v>4.9066567659921626E-5</v>
      </c>
      <c r="W82" s="11">
        <f t="shared" ca="1" si="8"/>
        <v>1.1328692148421162E-4</v>
      </c>
      <c r="X82" s="11"/>
      <c r="Y82" s="2">
        <f t="shared" ca="1" si="9"/>
        <v>8.9587086264207272E-7</v>
      </c>
      <c r="Z82" s="11">
        <f t="shared" ca="1" si="10"/>
        <v>-4.2974373794996839E-5</v>
      </c>
      <c r="AA82" s="2">
        <f t="shared" ca="1" si="11"/>
        <v>-6.950349019696489E-5</v>
      </c>
      <c r="AB82" s="2">
        <f t="shared" ca="1" si="12"/>
        <v>-7.6676543078488317E-5</v>
      </c>
      <c r="AC82" s="2">
        <f t="shared" ca="1" si="13"/>
        <v>-3.8763650301448725E-5</v>
      </c>
      <c r="AD82" s="2">
        <f t="shared" ca="1" si="14"/>
        <v>9.5878459011279268E-6</v>
      </c>
      <c r="AE82" s="2">
        <f t="shared" ca="1" si="15"/>
        <v>-4.2974373794996839E-5</v>
      </c>
      <c r="AF82" s="2">
        <f t="shared" ca="1" si="16"/>
        <v>4.9066567659921626E-5</v>
      </c>
      <c r="AG82" s="2">
        <f t="shared" ca="1" si="17"/>
        <v>1.1328692148421162E-4</v>
      </c>
      <c r="AI82" s="2">
        <f t="shared" ca="1" si="18"/>
        <v>8.9587086264207272E-7</v>
      </c>
      <c r="AJ82" s="11">
        <f t="shared" ca="1" si="19"/>
        <v>-4.2974373794996839E-5</v>
      </c>
      <c r="AK82" s="2">
        <f t="shared" ca="1" si="20"/>
        <v>-6.950349019696489E-5</v>
      </c>
      <c r="AL82" s="2">
        <f t="shared" ca="1" si="21"/>
        <v>-7.6676543078488317E-5</v>
      </c>
      <c r="AM82" s="2">
        <f t="shared" ca="1" si="22"/>
        <v>-3.8763650301448725E-5</v>
      </c>
      <c r="AN82" s="2">
        <f t="shared" ca="1" si="23"/>
        <v>9.5878459011279268E-6</v>
      </c>
      <c r="AO82" s="2">
        <f t="shared" ca="1" si="24"/>
        <v>-4.2974373794996839E-5</v>
      </c>
      <c r="AP82" s="2">
        <f t="shared" ca="1" si="25"/>
        <v>4.9066567659921626E-5</v>
      </c>
      <c r="AQ82" s="2">
        <f t="shared" ca="1" si="26"/>
        <v>1.1328692148421162E-4</v>
      </c>
      <c r="AS82" s="2">
        <f t="shared" ca="1" si="27"/>
        <v>11.81568025315096</v>
      </c>
      <c r="AT82" s="2">
        <f t="shared" ca="1" si="28"/>
        <v>0.54636989866796637</v>
      </c>
      <c r="AU82" s="2">
        <f t="shared" ca="1" si="29"/>
        <v>-4.189375507200362E-5</v>
      </c>
      <c r="AV82" s="2">
        <f t="shared" ca="1" si="30"/>
        <v>9.0960322731925246E-5</v>
      </c>
      <c r="AW82" s="2">
        <f t="shared" ca="1" si="31"/>
        <v>7.9774179198425532</v>
      </c>
      <c r="AX82" s="2">
        <f t="shared" ca="1" si="32"/>
        <v>-10.309170713822809</v>
      </c>
      <c r="AY82" s="9" t="str">
        <f t="shared" ca="1" si="33"/>
        <v>rejected</v>
      </c>
      <c r="AZ82" s="9" t="e">
        <f t="shared" ca="1" si="34"/>
        <v>#N/A</v>
      </c>
      <c r="BB82" s="2">
        <f t="shared" ca="1" si="35"/>
        <v>11.81568025315096</v>
      </c>
      <c r="BC82" s="2">
        <f t="shared" ca="1" si="41"/>
        <v>0.54636989866796637</v>
      </c>
      <c r="BD82" s="2">
        <f t="shared" ca="1" si="36"/>
        <v>-4.189375507200362E-5</v>
      </c>
      <c r="BE82" s="2">
        <f t="shared" ca="1" si="37"/>
        <v>9.0960322731925246E-5</v>
      </c>
      <c r="BF82" s="2">
        <f t="shared" ca="1" si="38"/>
        <v>7.9774179198425532</v>
      </c>
      <c r="BG82" s="2">
        <f t="shared" ca="1" si="39"/>
        <v>-10.309170713822809</v>
      </c>
      <c r="BH82" s="2" t="str">
        <f t="shared" ca="1" si="42"/>
        <v>rejected</v>
      </c>
      <c r="BI82" s="2" t="e">
        <f t="shared" ca="1" si="40"/>
        <v>#N/A</v>
      </c>
    </row>
    <row r="83" spans="1:61" ht="15" x14ac:dyDescent="0.25">
      <c r="A83" s="66">
        <v>17</v>
      </c>
      <c r="B83" s="66">
        <v>1498730128.418</v>
      </c>
      <c r="C83" s="67">
        <v>1.07012732852235E-4</v>
      </c>
      <c r="D83" s="67">
        <v>3.9617516208070303E-6</v>
      </c>
      <c r="E83" s="67">
        <v>8.3475189537225399E-4</v>
      </c>
      <c r="F83" s="67">
        <v>-3.3862085266323897E-5</v>
      </c>
      <c r="G83" s="67">
        <v>-1.383259169953E-5</v>
      </c>
      <c r="H83" s="67">
        <v>1.1526730835630301E-3</v>
      </c>
      <c r="I83" s="67">
        <v>3.9617516208070303E-6</v>
      </c>
      <c r="J83" s="67">
        <v>6.6957461114475301E-4</v>
      </c>
      <c r="K83" s="67">
        <v>7.1680707194213596E-3</v>
      </c>
      <c r="L83" s="67"/>
      <c r="M83" s="67"/>
      <c r="O83" s="11">
        <f t="shared" ca="1" si="0"/>
        <v>9.4208802142274969E-5</v>
      </c>
      <c r="P83" s="11">
        <f t="shared" ca="1" si="1"/>
        <v>3.19665139050229E-6</v>
      </c>
      <c r="Q83" s="11">
        <f t="shared" ca="1" si="2"/>
        <v>-1.7397168960299036E-6</v>
      </c>
      <c r="R83" s="11">
        <f t="shared" ca="1" si="3"/>
        <v>-4.5508572912671025E-5</v>
      </c>
      <c r="S83" s="11">
        <f t="shared" ca="1" si="4"/>
        <v>-2.4760243746500123E-5</v>
      </c>
      <c r="T83" s="11">
        <f t="shared" ca="1" si="5"/>
        <v>1.411804498072794E-5</v>
      </c>
      <c r="U83" s="11">
        <f t="shared" ca="1" si="6"/>
        <v>3.19665139050229E-6</v>
      </c>
      <c r="V83" s="11">
        <f t="shared" ca="1" si="7"/>
        <v>1.9378605450978649E-5</v>
      </c>
      <c r="W83" s="11">
        <f t="shared" ca="1" si="8"/>
        <v>4.522245591637164E-5</v>
      </c>
      <c r="X83" s="11"/>
      <c r="Y83" s="2">
        <f t="shared" ca="1" si="9"/>
        <v>9.4208802142274969E-5</v>
      </c>
      <c r="Z83" s="11">
        <f t="shared" ca="1" si="10"/>
        <v>3.19665139050229E-6</v>
      </c>
      <c r="AA83" s="2">
        <f t="shared" ca="1" si="11"/>
        <v>-1.7641736712463156E-6</v>
      </c>
      <c r="AB83" s="2">
        <f t="shared" ca="1" si="12"/>
        <v>-4.6100538040068271E-5</v>
      </c>
      <c r="AC83" s="2">
        <f t="shared" ca="1" si="13"/>
        <v>-2.4760243746500123E-5</v>
      </c>
      <c r="AD83" s="2">
        <f t="shared" ca="1" si="14"/>
        <v>9.8130967068390588E-6</v>
      </c>
      <c r="AE83" s="2">
        <f t="shared" ca="1" si="15"/>
        <v>3.19665139050229E-6</v>
      </c>
      <c r="AF83" s="2">
        <f t="shared" ca="1" si="16"/>
        <v>1.3021233484212466E-5</v>
      </c>
      <c r="AG83" s="2">
        <f t="shared" ca="1" si="17"/>
        <v>4.2642782264283382E-5</v>
      </c>
      <c r="AI83" s="2">
        <f t="shared" ca="1" si="18"/>
        <v>9.4208802142274969E-5</v>
      </c>
      <c r="AJ83" s="11">
        <f t="shared" ca="1" si="19"/>
        <v>3.19665139050229E-6</v>
      </c>
      <c r="AK83" s="2">
        <f t="shared" ca="1" si="20"/>
        <v>-5.5356308468370882E-6</v>
      </c>
      <c r="AL83" s="2">
        <f t="shared" ca="1" si="21"/>
        <v>-4.786573753331982E-5</v>
      </c>
      <c r="AM83" s="2">
        <f t="shared" ca="1" si="22"/>
        <v>-2.4760243746500123E-5</v>
      </c>
      <c r="AN83" s="2">
        <f t="shared" ca="1" si="23"/>
        <v>9.8130967068390588E-6</v>
      </c>
      <c r="AO83" s="2">
        <f t="shared" ca="1" si="24"/>
        <v>3.19665139050229E-6</v>
      </c>
      <c r="AP83" s="2">
        <f t="shared" ca="1" si="25"/>
        <v>1.3021233484212466E-5</v>
      </c>
      <c r="AQ83" s="2">
        <f t="shared" ca="1" si="26"/>
        <v>4.2642782264283382E-5</v>
      </c>
      <c r="AS83" s="2">
        <f t="shared" ca="1" si="27"/>
        <v>3.2031670091789102</v>
      </c>
      <c r="AT83" s="2">
        <f t="shared" ca="1" si="28"/>
        <v>0.14579145200361784</v>
      </c>
      <c r="AU83" s="2">
        <f t="shared" ca="1" si="29"/>
        <v>-6.6347609235508207E-6</v>
      </c>
      <c r="AV83" s="2">
        <f t="shared" ca="1" si="30"/>
        <v>2.6013366374529469E-5</v>
      </c>
      <c r="AW83" s="2">
        <f t="shared" ca="1" si="31"/>
        <v>2.9897159614665978</v>
      </c>
      <c r="AX83" s="2">
        <f t="shared" ca="1" si="32"/>
        <v>-4.6087466019621333E-2</v>
      </c>
      <c r="AY83" s="9" t="str">
        <f t="shared" ca="1" si="33"/>
        <v>rejected</v>
      </c>
      <c r="AZ83" s="9" t="e">
        <f t="shared" ca="1" si="34"/>
        <v>#N/A</v>
      </c>
      <c r="BB83" s="2">
        <f t="shared" ca="1" si="35"/>
        <v>4.345496996331879</v>
      </c>
      <c r="BC83" s="2">
        <f t="shared" ca="1" si="41"/>
        <v>0.19851736868647424</v>
      </c>
      <c r="BD83" s="2">
        <f t="shared" ca="1" si="36"/>
        <v>-9.5021802653520584E-6</v>
      </c>
      <c r="BE83" s="2">
        <f t="shared" ca="1" si="37"/>
        <v>2.2523413749564525E-5</v>
      </c>
      <c r="BF83" s="2">
        <f t="shared" ca="1" si="38"/>
        <v>3.193965103986538</v>
      </c>
      <c r="BG83" s="2">
        <f t="shared" ca="1" si="39"/>
        <v>-0.28825674450131394</v>
      </c>
      <c r="BH83" s="2" t="str">
        <f t="shared" ca="1" si="42"/>
        <v>rejected</v>
      </c>
      <c r="BI83" s="2" t="e">
        <f t="shared" ca="1" si="40"/>
        <v>#N/A</v>
      </c>
    </row>
    <row r="84" spans="1:61" ht="15" x14ac:dyDescent="0.25">
      <c r="A84" s="66">
        <v>18</v>
      </c>
      <c r="B84" s="66">
        <v>1498730128.9449999</v>
      </c>
      <c r="C84" s="67">
        <v>1.2236886624356199E-4</v>
      </c>
      <c r="D84" s="67">
        <v>1.7592807934917099E-5</v>
      </c>
      <c r="E84" s="67">
        <v>7.7560799517605201E-4</v>
      </c>
      <c r="F84" s="67">
        <v>-7.3595128744629096E-5</v>
      </c>
      <c r="G84" s="67">
        <v>4.11882236058202E-5</v>
      </c>
      <c r="H84" s="67">
        <v>1.1166704888206E-3</v>
      </c>
      <c r="I84" s="67">
        <v>1.7592807934917099E-5</v>
      </c>
      <c r="J84" s="67">
        <v>6.2611302765840397E-4</v>
      </c>
      <c r="K84" s="67">
        <v>7.2657506400788099E-3</v>
      </c>
      <c r="L84" s="67"/>
      <c r="M84" s="67"/>
      <c r="O84" s="11">
        <f t="shared" ca="1" si="0"/>
        <v>1.0956493553360196E-4</v>
      </c>
      <c r="P84" s="11">
        <f t="shared" ca="1" si="1"/>
        <v>1.6827707704612357E-5</v>
      </c>
      <c r="Q84" s="11">
        <f t="shared" ca="1" si="2"/>
        <v>-6.088361709223188E-5</v>
      </c>
      <c r="R84" s="11">
        <f t="shared" ca="1" si="3"/>
        <v>-8.5241616390976217E-5</v>
      </c>
      <c r="S84" s="11">
        <f t="shared" ca="1" si="4"/>
        <v>3.0260571558850079E-5</v>
      </c>
      <c r="T84" s="11">
        <f t="shared" ca="1" si="5"/>
        <v>-2.18845497617021E-5</v>
      </c>
      <c r="U84" s="11">
        <f t="shared" ca="1" si="6"/>
        <v>1.6827707704612357E-5</v>
      </c>
      <c r="V84" s="11">
        <f t="shared" ca="1" si="7"/>
        <v>-2.4082978035370388E-5</v>
      </c>
      <c r="W84" s="11">
        <f t="shared" ca="1" si="8"/>
        <v>1.4290237657382191E-4</v>
      </c>
      <c r="X84" s="11"/>
      <c r="Y84" s="2">
        <f t="shared" ca="1" si="9"/>
        <v>1.0956493553360196E-4</v>
      </c>
      <c r="Z84" s="11">
        <f t="shared" ca="1" si="10"/>
        <v>1.6827707704612357E-5</v>
      </c>
      <c r="AA84" s="2">
        <f t="shared" ca="1" si="11"/>
        <v>-6.1012361648476572E-5</v>
      </c>
      <c r="AB84" s="2">
        <f t="shared" ca="1" si="12"/>
        <v>-8.8357819854626105E-5</v>
      </c>
      <c r="AC84" s="2">
        <f t="shared" ca="1" si="13"/>
        <v>3.0260571558850079E-5</v>
      </c>
      <c r="AD84" s="2">
        <f t="shared" ca="1" si="14"/>
        <v>-4.4546517673409459E-5</v>
      </c>
      <c r="AE84" s="2">
        <f t="shared" ca="1" si="15"/>
        <v>1.6827707704612357E-5</v>
      </c>
      <c r="AF84" s="2">
        <f t="shared" ca="1" si="16"/>
        <v>-5.7549247627384961E-5</v>
      </c>
      <c r="AG84" s="2">
        <f t="shared" ca="1" si="17"/>
        <v>1.2932254290174604E-4</v>
      </c>
      <c r="AI84" s="2">
        <f t="shared" ca="1" si="18"/>
        <v>1.0956493553360196E-4</v>
      </c>
      <c r="AJ84" s="11">
        <f t="shared" ca="1" si="19"/>
        <v>1.6827707704612357E-5</v>
      </c>
      <c r="AK84" s="2">
        <f t="shared" ca="1" si="20"/>
        <v>-8.0865943168146806E-5</v>
      </c>
      <c r="AL84" s="2">
        <f t="shared" ca="1" si="21"/>
        <v>-9.7650125296821829E-5</v>
      </c>
      <c r="AM84" s="2">
        <f t="shared" ca="1" si="22"/>
        <v>3.0260571558850079E-5</v>
      </c>
      <c r="AN84" s="2">
        <f t="shared" ca="1" si="23"/>
        <v>-4.4546517673409459E-5</v>
      </c>
      <c r="AO84" s="2">
        <f t="shared" ca="1" si="24"/>
        <v>1.6827707704612357E-5</v>
      </c>
      <c r="AP84" s="2">
        <f t="shared" ca="1" si="25"/>
        <v>-5.7549247627384961E-5</v>
      </c>
      <c r="AQ84" s="2">
        <f t="shared" ca="1" si="26"/>
        <v>1.2932254290174604E-4</v>
      </c>
      <c r="AS84" s="2" t="e">
        <f t="shared" ca="1" si="27"/>
        <v>#N/A</v>
      </c>
      <c r="AT84" s="2" t="e">
        <f t="shared" ca="1" si="28"/>
        <v>#N/A</v>
      </c>
      <c r="AU84" s="2" t="e">
        <f t="shared" ca="1" si="29"/>
        <v>#N/A</v>
      </c>
      <c r="AV84" s="2" t="e">
        <f t="shared" ca="1" si="30"/>
        <v>#N/A</v>
      </c>
      <c r="AW84" s="2" t="e">
        <f t="shared" ca="1" si="31"/>
        <v>#N/A</v>
      </c>
      <c r="AX84" s="2" t="e">
        <f t="shared" ca="1" si="32"/>
        <v>#N/A</v>
      </c>
      <c r="AY84" s="9" t="e">
        <f t="shared" ca="1" si="33"/>
        <v>#N/A</v>
      </c>
      <c r="AZ84" s="9" t="e">
        <f t="shared" ca="1" si="34"/>
        <v>#N/A</v>
      </c>
      <c r="BB84" s="2" t="e">
        <f t="shared" ca="1" si="35"/>
        <v>#N/A</v>
      </c>
      <c r="BC84" s="2" t="e">
        <f t="shared" ca="1" si="41"/>
        <v>#N/A</v>
      </c>
      <c r="BD84" s="2" t="e">
        <f t="shared" ca="1" si="36"/>
        <v>#N/A</v>
      </c>
      <c r="BE84" s="2" t="e">
        <f t="shared" ca="1" si="37"/>
        <v>#N/A</v>
      </c>
      <c r="BF84" s="2" t="e">
        <f t="shared" ca="1" si="38"/>
        <v>#N/A</v>
      </c>
      <c r="BG84" s="2" t="e">
        <f t="shared" ca="1" si="39"/>
        <v>#N/A</v>
      </c>
      <c r="BH84" s="2" t="e">
        <f t="shared" ca="1" si="42"/>
        <v>#N/A</v>
      </c>
      <c r="BI84" s="2" t="e">
        <f t="shared" ca="1" si="40"/>
        <v>#N/A</v>
      </c>
    </row>
    <row r="85" spans="1:61" ht="15" x14ac:dyDescent="0.25">
      <c r="A85" s="66">
        <v>19</v>
      </c>
      <c r="B85" s="66">
        <v>1498730129.4719999</v>
      </c>
      <c r="C85" s="67">
        <v>-6.5904547064233105E-5</v>
      </c>
      <c r="D85" s="67">
        <v>-1.23599775197575E-5</v>
      </c>
      <c r="E85" s="67">
        <v>7.7249525469662501E-4</v>
      </c>
      <c r="F85" s="67">
        <v>6.2503059552917103E-5</v>
      </c>
      <c r="G85" s="67">
        <v>-3.8401961841699502E-5</v>
      </c>
      <c r="H85" s="67">
        <v>1.10403412370716E-3</v>
      </c>
      <c r="I85" s="67">
        <v>-1.23599775197575E-5</v>
      </c>
      <c r="J85" s="67">
        <v>6.0236432837593699E-4</v>
      </c>
      <c r="K85" s="67">
        <v>7.2628845900805598E-3</v>
      </c>
      <c r="L85" s="67"/>
      <c r="M85" s="67"/>
      <c r="O85" s="11">
        <f t="shared" ca="1" si="0"/>
        <v>-7.8708477774193126E-5</v>
      </c>
      <c r="P85" s="11">
        <f t="shared" ca="1" si="1"/>
        <v>-1.312507775006224E-5</v>
      </c>
      <c r="Q85" s="11">
        <f t="shared" ca="1" si="2"/>
        <v>-6.3996357571658889E-5</v>
      </c>
      <c r="R85" s="11">
        <f t="shared" ca="1" si="3"/>
        <v>5.0856571906569983E-5</v>
      </c>
      <c r="S85" s="11">
        <f t="shared" ca="1" si="4"/>
        <v>-4.9329613888669623E-5</v>
      </c>
      <c r="T85" s="11">
        <f t="shared" ca="1" si="5"/>
        <v>-3.452091487514213E-5</v>
      </c>
      <c r="U85" s="11">
        <f t="shared" ca="1" si="6"/>
        <v>-1.312507775006224E-5</v>
      </c>
      <c r="V85" s="11">
        <f t="shared" ca="1" si="7"/>
        <v>-4.7831677317837365E-5</v>
      </c>
      <c r="W85" s="11">
        <f t="shared" ca="1" si="8"/>
        <v>1.4003632657557177E-4</v>
      </c>
      <c r="X85" s="11"/>
      <c r="Y85" s="2">
        <f t="shared" ca="1" si="9"/>
        <v>-7.8708477774193126E-5</v>
      </c>
      <c r="Z85" s="11">
        <f t="shared" ca="1" si="10"/>
        <v>-1.312507775006224E-5</v>
      </c>
      <c r="AA85" s="2">
        <f t="shared" ca="1" si="11"/>
        <v>-6.3996357571658889E-5</v>
      </c>
      <c r="AB85" s="2">
        <f t="shared" ca="1" si="12"/>
        <v>5.0856571906569983E-5</v>
      </c>
      <c r="AC85" s="2">
        <f t="shared" ca="1" si="13"/>
        <v>-4.9329613888669623E-5</v>
      </c>
      <c r="AD85" s="2">
        <f t="shared" ca="1" si="14"/>
        <v>-3.452091487514213E-5</v>
      </c>
      <c r="AE85" s="2">
        <f t="shared" ca="1" si="15"/>
        <v>-1.312507775006224E-5</v>
      </c>
      <c r="AF85" s="2">
        <f t="shared" ca="1" si="16"/>
        <v>-4.7831677317837365E-5</v>
      </c>
      <c r="AG85" s="2">
        <f t="shared" ca="1" si="17"/>
        <v>1.4003632657557177E-4</v>
      </c>
      <c r="AI85" s="2">
        <f t="shared" ca="1" si="18"/>
        <v>-7.8708477774193126E-5</v>
      </c>
      <c r="AJ85" s="11">
        <f t="shared" ca="1" si="19"/>
        <v>-1.312507775006224E-5</v>
      </c>
      <c r="AK85" s="2">
        <f t="shared" ca="1" si="20"/>
        <v>-6.3996357571658889E-5</v>
      </c>
      <c r="AL85" s="2">
        <f t="shared" ca="1" si="21"/>
        <v>5.0856571906569983E-5</v>
      </c>
      <c r="AM85" s="2">
        <f t="shared" ca="1" si="22"/>
        <v>-4.9329613888669623E-5</v>
      </c>
      <c r="AN85" s="2">
        <f t="shared" ca="1" si="23"/>
        <v>-3.452091487514213E-5</v>
      </c>
      <c r="AO85" s="2">
        <f t="shared" ca="1" si="24"/>
        <v>-1.312507775006224E-5</v>
      </c>
      <c r="AP85" s="2">
        <f t="shared" ca="1" si="25"/>
        <v>-4.7831677317837365E-5</v>
      </c>
      <c r="AQ85" s="2">
        <f t="shared" ca="1" si="26"/>
        <v>1.4003632657557177E-4</v>
      </c>
      <c r="AS85" s="2" t="e">
        <f t="shared" ca="1" si="27"/>
        <v>#N/A</v>
      </c>
      <c r="AT85" s="2" t="e">
        <f t="shared" ca="1" si="28"/>
        <v>#N/A</v>
      </c>
      <c r="AU85" s="2" t="e">
        <f t="shared" ca="1" si="29"/>
        <v>#N/A</v>
      </c>
      <c r="AV85" s="2" t="e">
        <f t="shared" ca="1" si="30"/>
        <v>#N/A</v>
      </c>
      <c r="AW85" s="2" t="e">
        <f t="shared" ca="1" si="31"/>
        <v>#N/A</v>
      </c>
      <c r="AX85" s="2" t="e">
        <f t="shared" ca="1" si="32"/>
        <v>#N/A</v>
      </c>
      <c r="AY85" s="9" t="e">
        <f t="shared" ca="1" si="33"/>
        <v>#N/A</v>
      </c>
      <c r="AZ85" s="9" t="e">
        <f t="shared" ca="1" si="34"/>
        <v>#N/A</v>
      </c>
      <c r="BB85" s="2" t="e">
        <f t="shared" ca="1" si="35"/>
        <v>#N/A</v>
      </c>
      <c r="BC85" s="2" t="e">
        <f t="shared" ca="1" si="41"/>
        <v>#N/A</v>
      </c>
      <c r="BD85" s="2" t="e">
        <f t="shared" ca="1" si="36"/>
        <v>#N/A</v>
      </c>
      <c r="BE85" s="2" t="e">
        <f t="shared" ca="1" si="37"/>
        <v>#N/A</v>
      </c>
      <c r="BF85" s="2" t="e">
        <f t="shared" ca="1" si="38"/>
        <v>#N/A</v>
      </c>
      <c r="BG85" s="2" t="e">
        <f t="shared" ca="1" si="39"/>
        <v>#N/A</v>
      </c>
      <c r="BH85" s="2" t="e">
        <f t="shared" ca="1" si="42"/>
        <v>#N/A</v>
      </c>
      <c r="BI85" s="2" t="e">
        <f t="shared" ca="1" si="40"/>
        <v>#N/A</v>
      </c>
    </row>
    <row r="86" spans="1:61" ht="15" x14ac:dyDescent="0.25">
      <c r="A86" s="66">
        <v>20</v>
      </c>
      <c r="B86" s="66">
        <v>1498730129.9990001</v>
      </c>
      <c r="C86" s="67">
        <v>-3.4961182233207297E-5</v>
      </c>
      <c r="D86" s="67">
        <v>3.15565427391622E-5</v>
      </c>
      <c r="E86" s="67">
        <v>8.2493424601322903E-4</v>
      </c>
      <c r="F86" s="67">
        <v>6.1104758202676702E-6</v>
      </c>
      <c r="G86" s="67">
        <v>1.70289738431394E-5</v>
      </c>
      <c r="H86" s="67">
        <v>1.0515829938540599E-3</v>
      </c>
      <c r="I86" s="67">
        <v>3.15565427391622E-5</v>
      </c>
      <c r="J86" s="67">
        <v>6.0877642147415896E-4</v>
      </c>
      <c r="K86" s="67">
        <v>7.0821011538913896E-3</v>
      </c>
      <c r="L86" s="67"/>
      <c r="M86" s="67"/>
      <c r="O86" s="11">
        <f t="shared" ca="1" si="0"/>
        <v>-4.7765112943167325E-5</v>
      </c>
      <c r="P86" s="11">
        <f t="shared" ca="1" si="1"/>
        <v>3.0791442508857462E-5</v>
      </c>
      <c r="Q86" s="11">
        <f t="shared" ca="1" si="2"/>
        <v>-1.155736625505486E-5</v>
      </c>
      <c r="R86" s="11">
        <f t="shared" ca="1" si="3"/>
        <v>-5.5360118260794537E-6</v>
      </c>
      <c r="S86" s="11">
        <f t="shared" ca="1" si="4"/>
        <v>6.1013217961692772E-6</v>
      </c>
      <c r="T86" s="11">
        <f t="shared" ca="1" si="5"/>
        <v>-8.6972044728242208E-5</v>
      </c>
      <c r="U86" s="11">
        <f t="shared" ca="1" si="6"/>
        <v>3.0791442508857462E-5</v>
      </c>
      <c r="V86" s="11">
        <f t="shared" ca="1" si="7"/>
        <v>-4.1419584219615398E-5</v>
      </c>
      <c r="W86" s="11">
        <f t="shared" ca="1" si="8"/>
        <v>-4.0747109613598412E-5</v>
      </c>
      <c r="X86" s="11"/>
      <c r="Y86" s="2">
        <f t="shared" ca="1" si="9"/>
        <v>-4.7765112943167325E-5</v>
      </c>
      <c r="Z86" s="11">
        <f t="shared" ca="1" si="10"/>
        <v>3.0791442508857462E-5</v>
      </c>
      <c r="AA86" s="2">
        <f t="shared" ca="1" si="11"/>
        <v>-1.179294383172326E-5</v>
      </c>
      <c r="AB86" s="2">
        <f t="shared" ca="1" si="12"/>
        <v>-1.1238059988621399E-5</v>
      </c>
      <c r="AC86" s="2">
        <f t="shared" ca="1" si="13"/>
        <v>6.1013217961692772E-6</v>
      </c>
      <c r="AD86" s="2">
        <f t="shared" ca="1" si="14"/>
        <v>-1.2843905225771391E-4</v>
      </c>
      <c r="AE86" s="2">
        <f t="shared" ca="1" si="15"/>
        <v>3.0791442508857462E-5</v>
      </c>
      <c r="AF86" s="2">
        <f t="shared" ca="1" si="16"/>
        <v>-1.0265636906381586E-4</v>
      </c>
      <c r="AG86" s="2">
        <f t="shared" ca="1" si="17"/>
        <v>-6.5595572347412152E-5</v>
      </c>
      <c r="AI86" s="2">
        <f t="shared" ca="1" si="18"/>
        <v>-4.7765112943167325E-5</v>
      </c>
      <c r="AJ86" s="11">
        <f t="shared" ca="1" si="19"/>
        <v>3.0791442508857462E-5</v>
      </c>
      <c r="AK86" s="2">
        <f t="shared" ca="1" si="20"/>
        <v>-4.8121148759497358E-5</v>
      </c>
      <c r="AL86" s="2">
        <f t="shared" ca="1" si="21"/>
        <v>-2.8241177336546844E-5</v>
      </c>
      <c r="AM86" s="2">
        <f t="shared" ca="1" si="22"/>
        <v>6.1013217961692772E-6</v>
      </c>
      <c r="AN86" s="2">
        <f t="shared" ca="1" si="23"/>
        <v>-1.2843905225771391E-4</v>
      </c>
      <c r="AO86" s="2">
        <f t="shared" ca="1" si="24"/>
        <v>3.0791442508857462E-5</v>
      </c>
      <c r="AP86" s="2">
        <f t="shared" ca="1" si="25"/>
        <v>-1.0265636906381586E-4</v>
      </c>
      <c r="AQ86" s="2">
        <f t="shared" ca="1" si="26"/>
        <v>-6.5595572347412152E-5</v>
      </c>
      <c r="AS86" s="2" t="e">
        <f t="shared" ca="1" si="27"/>
        <v>#N/A</v>
      </c>
      <c r="AT86" s="2" t="e">
        <f t="shared" ca="1" si="28"/>
        <v>#N/A</v>
      </c>
      <c r="AU86" s="2" t="e">
        <f t="shared" ca="1" si="29"/>
        <v>#N/A</v>
      </c>
      <c r="AV86" s="2" t="e">
        <f t="shared" ca="1" si="30"/>
        <v>#N/A</v>
      </c>
      <c r="AW86" s="2" t="e">
        <f t="shared" ca="1" si="31"/>
        <v>#N/A</v>
      </c>
      <c r="AX86" s="2" t="e">
        <f t="shared" ca="1" si="32"/>
        <v>#N/A</v>
      </c>
      <c r="AY86" s="9" t="e">
        <f t="shared" ca="1" si="33"/>
        <v>#N/A</v>
      </c>
      <c r="AZ86" s="9" t="e">
        <f t="shared" ca="1" si="34"/>
        <v>#N/A</v>
      </c>
      <c r="BB86" s="2" t="e">
        <f t="shared" ca="1" si="35"/>
        <v>#N/A</v>
      </c>
      <c r="BC86" s="2" t="e">
        <f t="shared" ca="1" si="41"/>
        <v>#N/A</v>
      </c>
      <c r="BD86" s="2" t="e">
        <f t="shared" ca="1" si="36"/>
        <v>#N/A</v>
      </c>
      <c r="BE86" s="2" t="e">
        <f t="shared" ca="1" si="37"/>
        <v>#N/A</v>
      </c>
      <c r="BF86" s="2" t="e">
        <f t="shared" ca="1" si="38"/>
        <v>#N/A</v>
      </c>
      <c r="BG86" s="2" t="e">
        <f t="shared" ca="1" si="39"/>
        <v>#N/A</v>
      </c>
      <c r="BH86" s="2" t="e">
        <f t="shared" ca="1" si="42"/>
        <v>#N/A</v>
      </c>
      <c r="BI86" s="2" t="e">
        <f t="shared" ca="1" si="40"/>
        <v>#N/A</v>
      </c>
    </row>
    <row r="87" spans="1:61" ht="15" x14ac:dyDescent="0.25">
      <c r="A87" s="66">
        <v>21</v>
      </c>
      <c r="B87" s="66">
        <v>1498730130.526</v>
      </c>
      <c r="C87" s="67">
        <v>3.4015287382993798E-5</v>
      </c>
      <c r="D87" s="67">
        <v>3.4656826481071E-6</v>
      </c>
      <c r="E87" s="67">
        <v>8.7569971056564297E-4</v>
      </c>
      <c r="F87" s="67">
        <v>3.1570024383927899E-5</v>
      </c>
      <c r="G87" s="67">
        <v>4.7641107652132102E-5</v>
      </c>
      <c r="H87" s="67">
        <v>1.1552958397754601E-3</v>
      </c>
      <c r="I87" s="67">
        <v>3.4656826481071E-6</v>
      </c>
      <c r="J87" s="67">
        <v>6.3988753225601401E-4</v>
      </c>
      <c r="K87" s="67">
        <v>7.1859819730869402E-3</v>
      </c>
      <c r="L87" s="67"/>
      <c r="M87" s="67"/>
      <c r="O87" s="11">
        <f t="shared" ca="1" si="0"/>
        <v>2.121135667303377E-5</v>
      </c>
      <c r="P87" s="11">
        <f t="shared" ca="1" si="1"/>
        <v>2.7005824178023597E-6</v>
      </c>
      <c r="Q87" s="11">
        <f t="shared" ca="1" si="2"/>
        <v>3.9208098297359071E-5</v>
      </c>
      <c r="R87" s="11">
        <f t="shared" ca="1" si="3"/>
        <v>1.9923536737580775E-5</v>
      </c>
      <c r="S87" s="11">
        <f t="shared" ca="1" si="4"/>
        <v>3.6713455605161981E-5</v>
      </c>
      <c r="T87" s="11">
        <f t="shared" ca="1" si="5"/>
        <v>1.6740801193157939E-5</v>
      </c>
      <c r="U87" s="11">
        <f t="shared" ca="1" si="6"/>
        <v>2.7005824178023597E-6</v>
      </c>
      <c r="V87" s="11">
        <f t="shared" ca="1" si="7"/>
        <v>-1.0308473437760346E-5</v>
      </c>
      <c r="W87" s="11">
        <f t="shared" ca="1" si="8"/>
        <v>6.3133709581952163E-5</v>
      </c>
      <c r="X87" s="11"/>
      <c r="Y87" s="2">
        <f t="shared" ca="1" si="9"/>
        <v>2.121135667303377E-5</v>
      </c>
      <c r="Z87" s="11">
        <f t="shared" ca="1" si="10"/>
        <v>2.7005824178023597E-6</v>
      </c>
      <c r="AA87" s="2">
        <f t="shared" ca="1" si="11"/>
        <v>3.9187436820996078E-5</v>
      </c>
      <c r="AB87" s="2">
        <f t="shared" ca="1" si="12"/>
        <v>1.9423435093794733E-5</v>
      </c>
      <c r="AC87" s="2">
        <f t="shared" ca="1" si="13"/>
        <v>3.6713455605161981E-5</v>
      </c>
      <c r="AD87" s="2">
        <f t="shared" ca="1" si="14"/>
        <v>1.31039117742632E-5</v>
      </c>
      <c r="AE87" s="2">
        <f t="shared" ca="1" si="15"/>
        <v>2.7005824178023597E-6</v>
      </c>
      <c r="AF87" s="2">
        <f t="shared" ca="1" si="16"/>
        <v>-1.5679283344617487E-5</v>
      </c>
      <c r="AG87" s="2">
        <f t="shared" ca="1" si="17"/>
        <v>6.0954359863307088E-5</v>
      </c>
      <c r="AI87" s="2">
        <f t="shared" ca="1" si="18"/>
        <v>2.121135667303377E-5</v>
      </c>
      <c r="AJ87" s="11">
        <f t="shared" ca="1" si="19"/>
        <v>2.7005824178023597E-6</v>
      </c>
      <c r="AK87" s="2">
        <f t="shared" ca="1" si="20"/>
        <v>3.6001249247288021E-5</v>
      </c>
      <c r="AL87" s="2">
        <f t="shared" ca="1" si="21"/>
        <v>1.7932166221138674E-5</v>
      </c>
      <c r="AM87" s="2">
        <f t="shared" ca="1" si="22"/>
        <v>3.6713455605161981E-5</v>
      </c>
      <c r="AN87" s="2">
        <f t="shared" ca="1" si="23"/>
        <v>1.31039117742632E-5</v>
      </c>
      <c r="AO87" s="2">
        <f t="shared" ca="1" si="24"/>
        <v>2.7005824178023597E-6</v>
      </c>
      <c r="AP87" s="2">
        <f t="shared" ca="1" si="25"/>
        <v>-1.5679283344617487E-5</v>
      </c>
      <c r="AQ87" s="2">
        <f t="shared" ca="1" si="26"/>
        <v>6.0954359863307088E-5</v>
      </c>
      <c r="AS87" s="2">
        <f t="shared" ca="1" si="27"/>
        <v>3.7712477947444518</v>
      </c>
      <c r="AT87" s="2">
        <f t="shared" ca="1" si="28"/>
        <v>0.17198776198977039</v>
      </c>
      <c r="AU87" s="2">
        <f t="shared" ca="1" si="29"/>
        <v>3.4266044944174889E-6</v>
      </c>
      <c r="AV87" s="2">
        <f t="shared" ca="1" si="30"/>
        <v>-1.3735077932177835E-5</v>
      </c>
      <c r="AW87" s="2">
        <f t="shared" ca="1" si="31"/>
        <v>-1.2261830128925431</v>
      </c>
      <c r="AX87" s="2">
        <f t="shared" ca="1" si="32"/>
        <v>1.0352194471271001</v>
      </c>
      <c r="AY87" s="9" t="str">
        <f t="shared" ca="1" si="33"/>
        <v>rejected</v>
      </c>
      <c r="AZ87" s="9" t="e">
        <f t="shared" ca="1" si="34"/>
        <v>#N/A</v>
      </c>
      <c r="BB87" s="2">
        <f t="shared" ca="1" si="35"/>
        <v>4.6516155567396895</v>
      </c>
      <c r="BC87" s="2">
        <f t="shared" ca="1" si="41"/>
        <v>0.21267745275042782</v>
      </c>
      <c r="BD87" s="2">
        <f t="shared" ca="1" si="36"/>
        <v>3.813767434209038E-6</v>
      </c>
      <c r="BE87" s="2">
        <f t="shared" ca="1" si="37"/>
        <v>-1.9493050778826525E-5</v>
      </c>
      <c r="BF87" s="2">
        <f t="shared" ca="1" si="38"/>
        <v>-2.0002877305490601</v>
      </c>
      <c r="BG87" s="2">
        <f t="shared" ca="1" si="39"/>
        <v>1.5051742906385672</v>
      </c>
      <c r="BH87" s="2" t="str">
        <f t="shared" ca="1" si="42"/>
        <v>rejected</v>
      </c>
      <c r="BI87" s="2" t="e">
        <f t="shared" ca="1" si="40"/>
        <v>#N/A</v>
      </c>
    </row>
    <row r="88" spans="1:61" ht="15" x14ac:dyDescent="0.25">
      <c r="A88" s="66">
        <v>22</v>
      </c>
      <c r="B88" s="66">
        <v>1498730131.052</v>
      </c>
      <c r="C88" s="67">
        <v>4.8661593337905698E-5</v>
      </c>
      <c r="D88" s="67">
        <v>2.7988633343056199E-5</v>
      </c>
      <c r="E88" s="67">
        <v>9.1162021974995405E-4</v>
      </c>
      <c r="F88" s="67">
        <v>9.2009309022014798E-5</v>
      </c>
      <c r="G88" s="67">
        <v>1.4486210914600801E-4</v>
      </c>
      <c r="H88" s="67">
        <v>1.1738937629076501E-3</v>
      </c>
      <c r="I88" s="67">
        <v>2.7988633343056199E-5</v>
      </c>
      <c r="J88" s="67">
        <v>6.9641249065164603E-4</v>
      </c>
      <c r="K88" s="67">
        <v>7.1816832430369503E-3</v>
      </c>
      <c r="L88" s="67"/>
      <c r="M88" s="67"/>
      <c r="O88" s="11">
        <f t="shared" ca="1" si="0"/>
        <v>3.585766262794567E-5</v>
      </c>
      <c r="P88" s="11">
        <f t="shared" ca="1" si="1"/>
        <v>2.7223533112751457E-5</v>
      </c>
      <c r="Q88" s="11">
        <f t="shared" ca="1" si="2"/>
        <v>7.5128607481670154E-5</v>
      </c>
      <c r="R88" s="11">
        <f t="shared" ca="1" si="3"/>
        <v>8.0362821375667677E-5</v>
      </c>
      <c r="S88" s="11">
        <f t="shared" ca="1" si="4"/>
        <v>1.339344570990379E-4</v>
      </c>
      <c r="T88" s="11">
        <f t="shared" ca="1" si="5"/>
        <v>3.5338724325347957E-5</v>
      </c>
      <c r="U88" s="11">
        <f t="shared" ca="1" si="6"/>
        <v>2.7223533112751457E-5</v>
      </c>
      <c r="V88" s="11">
        <f t="shared" ca="1" si="7"/>
        <v>4.6216484957871677E-5</v>
      </c>
      <c r="W88" s="11">
        <f t="shared" ca="1" si="8"/>
        <v>5.8834979531962282E-5</v>
      </c>
      <c r="X88" s="11"/>
      <c r="Y88" s="2">
        <f t="shared" ca="1" si="9"/>
        <v>3.585766262794567E-5</v>
      </c>
      <c r="Z88" s="11">
        <f t="shared" ca="1" si="10"/>
        <v>2.7223533112751457E-5</v>
      </c>
      <c r="AA88" s="2">
        <f t="shared" ca="1" si="11"/>
        <v>7.492032708177629E-5</v>
      </c>
      <c r="AB88" s="2">
        <f t="shared" ca="1" si="12"/>
        <v>7.5321488969145616E-5</v>
      </c>
      <c r="AC88" s="2">
        <f t="shared" ca="1" si="13"/>
        <v>1.339344570990379E-4</v>
      </c>
      <c r="AD88" s="2">
        <f t="shared" ca="1" si="14"/>
        <v>-1.3233597014251946E-6</v>
      </c>
      <c r="AE88" s="2">
        <f t="shared" ca="1" si="15"/>
        <v>2.7223533112751457E-5</v>
      </c>
      <c r="AF88" s="2">
        <f t="shared" ca="1" si="16"/>
        <v>-7.9245849009040376E-6</v>
      </c>
      <c r="AG88" s="2">
        <f t="shared" ca="1" si="17"/>
        <v>3.6865792871078898E-5</v>
      </c>
      <c r="AI88" s="2">
        <f t="shared" ca="1" si="18"/>
        <v>3.585766262794567E-5</v>
      </c>
      <c r="AJ88" s="11">
        <f t="shared" ca="1" si="19"/>
        <v>2.7223533112751457E-5</v>
      </c>
      <c r="AK88" s="2">
        <f t="shared" ca="1" si="20"/>
        <v>4.2801595083637897E-5</v>
      </c>
      <c r="AL88" s="2">
        <f t="shared" ca="1" si="21"/>
        <v>6.0288580783434809E-5</v>
      </c>
      <c r="AM88" s="2">
        <f t="shared" ca="1" si="22"/>
        <v>1.339344570990379E-4</v>
      </c>
      <c r="AN88" s="2">
        <f t="shared" ca="1" si="23"/>
        <v>-1.3233597014251946E-6</v>
      </c>
      <c r="AO88" s="2">
        <f t="shared" ca="1" si="24"/>
        <v>2.7223533112751457E-5</v>
      </c>
      <c r="AP88" s="2">
        <f t="shared" ca="1" si="25"/>
        <v>-7.9245849009040376E-6</v>
      </c>
      <c r="AQ88" s="2">
        <f t="shared" ca="1" si="26"/>
        <v>3.6865792871078898E-5</v>
      </c>
      <c r="AS88" s="2">
        <f t="shared" ca="1" si="27"/>
        <v>1.6648869096205829</v>
      </c>
      <c r="AT88" s="2">
        <f t="shared" ca="1" si="28"/>
        <v>7.5177915304798629E-2</v>
      </c>
      <c r="AU88" s="2">
        <f t="shared" ca="1" si="29"/>
        <v>6.0415093790346054E-6</v>
      </c>
      <c r="AV88" s="2">
        <f t="shared" ca="1" si="30"/>
        <v>4.0174975578837074E-5</v>
      </c>
      <c r="AW88" s="2">
        <f t="shared" ca="1" si="31"/>
        <v>2.5646688947413954</v>
      </c>
      <c r="AX88" s="2">
        <f t="shared" ca="1" si="32"/>
        <v>0.40703408084210357</v>
      </c>
      <c r="AY88" s="9" t="str">
        <f t="shared" ca="1" si="33"/>
        <v>rejected</v>
      </c>
      <c r="AZ88" s="9" t="e">
        <f t="shared" ca="1" si="34"/>
        <v>#N/A</v>
      </c>
      <c r="BB88" s="2" t="e">
        <f t="shared" ca="1" si="35"/>
        <v>#N/A</v>
      </c>
      <c r="BC88" s="2" t="e">
        <f t="shared" ca="1" si="41"/>
        <v>#N/A</v>
      </c>
      <c r="BD88" s="2" t="e">
        <f t="shared" ca="1" si="36"/>
        <v>#N/A</v>
      </c>
      <c r="BE88" s="2" t="e">
        <f t="shared" ca="1" si="37"/>
        <v>#N/A</v>
      </c>
      <c r="BF88" s="2" t="e">
        <f t="shared" ca="1" si="38"/>
        <v>#N/A</v>
      </c>
      <c r="BG88" s="2" t="e">
        <f t="shared" ca="1" si="39"/>
        <v>#N/A</v>
      </c>
      <c r="BH88" s="2" t="e">
        <f t="shared" ca="1" si="42"/>
        <v>#N/A</v>
      </c>
      <c r="BI88" s="2" t="e">
        <f t="shared" ca="1" si="40"/>
        <v>#N/A</v>
      </c>
    </row>
    <row r="89" spans="1:61" ht="15" x14ac:dyDescent="0.25">
      <c r="A89" s="66">
        <v>23</v>
      </c>
      <c r="B89" s="66">
        <v>1498730131.579</v>
      </c>
      <c r="C89" s="67">
        <v>-1.65465006674642E-6</v>
      </c>
      <c r="D89" s="67">
        <v>-1.030514640028E-5</v>
      </c>
      <c r="E89" s="67">
        <v>7.87819608582172E-4</v>
      </c>
      <c r="F89" s="67">
        <v>6.0361510863145698E-5</v>
      </c>
      <c r="G89" s="67">
        <v>-5.6414446812475603E-6</v>
      </c>
      <c r="H89" s="67">
        <v>1.17270157797622E-3</v>
      </c>
      <c r="I89" s="67">
        <v>-1.030514640028E-5</v>
      </c>
      <c r="J89" s="67">
        <v>5.7932863015681903E-4</v>
      </c>
      <c r="K89" s="67">
        <v>7.08520548218519E-3</v>
      </c>
      <c r="L89" s="67"/>
      <c r="M89" s="67"/>
      <c r="O89" s="11">
        <f t="shared" ca="1" si="0"/>
        <v>-1.4458580776706447E-5</v>
      </c>
      <c r="P89" s="11">
        <f t="shared" ca="1" si="1"/>
        <v>-1.107024663058474E-5</v>
      </c>
      <c r="Q89" s="11">
        <f t="shared" ca="1" si="2"/>
        <v>-4.8672003686111892E-5</v>
      </c>
      <c r="R89" s="11">
        <f t="shared" ca="1" si="3"/>
        <v>4.8715023216798571E-5</v>
      </c>
      <c r="S89" s="11">
        <f t="shared" ca="1" si="4"/>
        <v>-1.6569096728217684E-5</v>
      </c>
      <c r="T89" s="11">
        <f t="shared" ca="1" si="5"/>
        <v>3.4146539393917858E-5</v>
      </c>
      <c r="U89" s="11">
        <f t="shared" ca="1" si="6"/>
        <v>-1.107024663058474E-5</v>
      </c>
      <c r="V89" s="11">
        <f t="shared" ca="1" si="7"/>
        <v>-7.0867375536955331E-5</v>
      </c>
      <c r="W89" s="11">
        <f t="shared" ca="1" si="8"/>
        <v>-3.764278131979798E-5</v>
      </c>
      <c r="X89" s="11"/>
      <c r="Y89" s="2">
        <f t="shared" ca="1" si="9"/>
        <v>-1.4458580776706447E-5</v>
      </c>
      <c r="Z89" s="11">
        <f t="shared" ca="1" si="10"/>
        <v>-1.107024663058474E-5</v>
      </c>
      <c r="AA89" s="2">
        <f t="shared" ca="1" si="11"/>
        <v>-4.8672003686111892E-5</v>
      </c>
      <c r="AB89" s="2">
        <f t="shared" ca="1" si="12"/>
        <v>4.8715023216798571E-5</v>
      </c>
      <c r="AC89" s="2">
        <f t="shared" ca="1" si="13"/>
        <v>-1.6569096728217684E-5</v>
      </c>
      <c r="AD89" s="2">
        <f t="shared" ca="1" si="14"/>
        <v>3.4146539393917858E-5</v>
      </c>
      <c r="AE89" s="2">
        <f t="shared" ca="1" si="15"/>
        <v>-1.107024663058474E-5</v>
      </c>
      <c r="AF89" s="2">
        <f t="shared" ca="1" si="16"/>
        <v>-7.0867375536955331E-5</v>
      </c>
      <c r="AG89" s="2">
        <f t="shared" ca="1" si="17"/>
        <v>-3.764278131979798E-5</v>
      </c>
      <c r="AI89" s="2">
        <f t="shared" ca="1" si="18"/>
        <v>-1.4458580776706447E-5</v>
      </c>
      <c r="AJ89" s="11">
        <f t="shared" ca="1" si="19"/>
        <v>-1.107024663058474E-5</v>
      </c>
      <c r="AK89" s="2">
        <f t="shared" ca="1" si="20"/>
        <v>-4.8672003686111892E-5</v>
      </c>
      <c r="AL89" s="2">
        <f t="shared" ca="1" si="21"/>
        <v>4.8715023216798571E-5</v>
      </c>
      <c r="AM89" s="2">
        <f t="shared" ca="1" si="22"/>
        <v>-1.6569096728217684E-5</v>
      </c>
      <c r="AN89" s="2">
        <f t="shared" ca="1" si="23"/>
        <v>3.4146539393917858E-5</v>
      </c>
      <c r="AO89" s="2">
        <f t="shared" ca="1" si="24"/>
        <v>-1.107024663058474E-5</v>
      </c>
      <c r="AP89" s="2">
        <f t="shared" ca="1" si="25"/>
        <v>-7.0867375536955331E-5</v>
      </c>
      <c r="AQ89" s="2">
        <f t="shared" ca="1" si="26"/>
        <v>-3.764278131979798E-5</v>
      </c>
      <c r="AS89" s="2" t="e">
        <f t="shared" ca="1" si="27"/>
        <v>#N/A</v>
      </c>
      <c r="AT89" s="2" t="e">
        <f t="shared" ca="1" si="28"/>
        <v>#N/A</v>
      </c>
      <c r="AU89" s="2" t="e">
        <f t="shared" ca="1" si="29"/>
        <v>#N/A</v>
      </c>
      <c r="AV89" s="2" t="e">
        <f t="shared" ca="1" si="30"/>
        <v>#N/A</v>
      </c>
      <c r="AW89" s="2" t="e">
        <f t="shared" ca="1" si="31"/>
        <v>#N/A</v>
      </c>
      <c r="AX89" s="2" t="e">
        <f t="shared" ca="1" si="32"/>
        <v>#N/A</v>
      </c>
      <c r="AY89" s="9" t="e">
        <f t="shared" ca="1" si="33"/>
        <v>#N/A</v>
      </c>
      <c r="AZ89" s="9" t="e">
        <f t="shared" ca="1" si="34"/>
        <v>#N/A</v>
      </c>
      <c r="BB89" s="2" t="e">
        <f t="shared" ca="1" si="35"/>
        <v>#N/A</v>
      </c>
      <c r="BC89" s="2" t="e">
        <f t="shared" ca="1" si="41"/>
        <v>#N/A</v>
      </c>
      <c r="BD89" s="2" t="e">
        <f t="shared" ca="1" si="36"/>
        <v>#N/A</v>
      </c>
      <c r="BE89" s="2" t="e">
        <f t="shared" ca="1" si="37"/>
        <v>#N/A</v>
      </c>
      <c r="BF89" s="2" t="e">
        <f t="shared" ca="1" si="38"/>
        <v>#N/A</v>
      </c>
      <c r="BG89" s="2" t="e">
        <f t="shared" ca="1" si="39"/>
        <v>#N/A</v>
      </c>
      <c r="BH89" s="2" t="e">
        <f t="shared" ca="1" si="42"/>
        <v>#N/A</v>
      </c>
      <c r="BI89" s="2" t="e">
        <f t="shared" ca="1" si="40"/>
        <v>#N/A</v>
      </c>
    </row>
    <row r="90" spans="1:61" ht="15" x14ac:dyDescent="0.25">
      <c r="A90" s="66">
        <v>24</v>
      </c>
      <c r="B90" s="66">
        <v>1498730132.1059999</v>
      </c>
      <c r="C90" s="67">
        <v>-9.21367743438774E-6</v>
      </c>
      <c r="D90" s="67">
        <v>-7.0692915439082698E-6</v>
      </c>
      <c r="E90" s="67">
        <v>8.7210773022596303E-4</v>
      </c>
      <c r="F90" s="67">
        <v>9.6768463161832E-5</v>
      </c>
      <c r="G90" s="67">
        <v>6.6507610374400795E-5</v>
      </c>
      <c r="H90" s="67">
        <v>1.2184824996272199E-3</v>
      </c>
      <c r="I90" s="67">
        <v>-7.0692915439082698E-6</v>
      </c>
      <c r="J90" s="67">
        <v>7.3346420079068895E-4</v>
      </c>
      <c r="K90" s="67">
        <v>7.14633882777736E-3</v>
      </c>
      <c r="L90" s="67"/>
      <c r="M90" s="67"/>
      <c r="O90" s="11">
        <f t="shared" ca="1" si="0"/>
        <v>-2.201760814434777E-5</v>
      </c>
      <c r="P90" s="11">
        <f t="shared" ca="1" si="1"/>
        <v>-7.8343917742130109E-6</v>
      </c>
      <c r="Q90" s="11">
        <f t="shared" ca="1" si="2"/>
        <v>3.5616117957679139E-5</v>
      </c>
      <c r="R90" s="11">
        <f t="shared" ca="1" si="3"/>
        <v>8.5121975515484879E-5</v>
      </c>
      <c r="S90" s="11">
        <f t="shared" ca="1" si="4"/>
        <v>5.5579958327430674E-5</v>
      </c>
      <c r="T90" s="11">
        <f t="shared" ca="1" si="5"/>
        <v>7.9927461044917774E-5</v>
      </c>
      <c r="U90" s="11">
        <f t="shared" ca="1" si="6"/>
        <v>-7.8343917742130109E-6</v>
      </c>
      <c r="V90" s="11">
        <f t="shared" ca="1" si="7"/>
        <v>8.3268195096914592E-5</v>
      </c>
      <c r="W90" s="11">
        <f t="shared" ca="1" si="8"/>
        <v>2.3490564272372026E-5</v>
      </c>
      <c r="X90" s="11"/>
      <c r="Y90" s="2">
        <f t="shared" ca="1" si="9"/>
        <v>-2.201760814434777E-5</v>
      </c>
      <c r="Z90" s="11">
        <f t="shared" ca="1" si="10"/>
        <v>-7.8343917742130109E-6</v>
      </c>
      <c r="AA90" s="2">
        <f t="shared" ca="1" si="11"/>
        <v>3.5616117957679139E-5</v>
      </c>
      <c r="AB90" s="2">
        <f t="shared" ca="1" si="12"/>
        <v>8.5121975515484879E-5</v>
      </c>
      <c r="AC90" s="2">
        <f t="shared" ca="1" si="13"/>
        <v>5.5579958327430674E-5</v>
      </c>
      <c r="AD90" s="2">
        <f t="shared" ca="1" si="14"/>
        <v>7.9927461044917774E-5</v>
      </c>
      <c r="AE90" s="2">
        <f t="shared" ca="1" si="15"/>
        <v>-7.8343917742130109E-6</v>
      </c>
      <c r="AF90" s="2">
        <f t="shared" ca="1" si="16"/>
        <v>8.3268195096914592E-5</v>
      </c>
      <c r="AG90" s="2">
        <f t="shared" ca="1" si="17"/>
        <v>2.3490564272372026E-5</v>
      </c>
      <c r="AI90" s="2">
        <f t="shared" ca="1" si="18"/>
        <v>-2.201760814434777E-5</v>
      </c>
      <c r="AJ90" s="11">
        <f t="shared" ca="1" si="19"/>
        <v>-7.8343917742130109E-6</v>
      </c>
      <c r="AK90" s="2">
        <f t="shared" ca="1" si="20"/>
        <v>3.5616117957679139E-5</v>
      </c>
      <c r="AL90" s="2">
        <f t="shared" ca="1" si="21"/>
        <v>8.5121975515484879E-5</v>
      </c>
      <c r="AM90" s="2">
        <f t="shared" ca="1" si="22"/>
        <v>5.5579958327430674E-5</v>
      </c>
      <c r="AN90" s="2">
        <f t="shared" ca="1" si="23"/>
        <v>7.9927461044917774E-5</v>
      </c>
      <c r="AO90" s="2">
        <f t="shared" ca="1" si="24"/>
        <v>-7.8343917742130109E-6</v>
      </c>
      <c r="AP90" s="2">
        <f t="shared" ca="1" si="25"/>
        <v>8.3268195096914592E-5</v>
      </c>
      <c r="AQ90" s="2">
        <f t="shared" ca="1" si="26"/>
        <v>2.3490564272372026E-5</v>
      </c>
      <c r="AS90" s="2">
        <f t="shared" ca="1" si="27"/>
        <v>0.29389854206892368</v>
      </c>
      <c r="AT90" s="2">
        <f t="shared" ca="1" si="28"/>
        <v>1.2994743857534925E-2</v>
      </c>
      <c r="AU90" s="2">
        <f t="shared" ca="1" si="29"/>
        <v>1.1061382684710854E-6</v>
      </c>
      <c r="AV90" s="2">
        <f t="shared" ca="1" si="30"/>
        <v>8.2162056828443512E-5</v>
      </c>
      <c r="AW90" s="2">
        <f t="shared" ca="1" si="31"/>
        <v>5.5539493237207163</v>
      </c>
      <c r="AX90" s="2">
        <f t="shared" ca="1" si="32"/>
        <v>1.4465305231394514E-2</v>
      </c>
      <c r="AY90" s="9" t="str">
        <f t="shared" ca="1" si="33"/>
        <v>rejected</v>
      </c>
      <c r="AZ90" s="9" t="e">
        <f t="shared" ca="1" si="34"/>
        <v>#N/A</v>
      </c>
      <c r="BB90" s="2">
        <f t="shared" ca="1" si="35"/>
        <v>0.29389854206892368</v>
      </c>
      <c r="BC90" s="2">
        <f t="shared" ca="1" si="41"/>
        <v>1.2994743857534925E-2</v>
      </c>
      <c r="BD90" s="2">
        <f t="shared" ca="1" si="36"/>
        <v>1.1061382684710854E-6</v>
      </c>
      <c r="BE90" s="2">
        <f t="shared" ca="1" si="37"/>
        <v>8.2162056828443512E-5</v>
      </c>
      <c r="BF90" s="2">
        <f t="shared" ca="1" si="38"/>
        <v>5.5539493237207163</v>
      </c>
      <c r="BG90" s="2">
        <f t="shared" ca="1" si="39"/>
        <v>1.4465305231394514E-2</v>
      </c>
      <c r="BH90" s="2" t="str">
        <f t="shared" ca="1" si="42"/>
        <v>rejected</v>
      </c>
      <c r="BI90" s="2" t="e">
        <f t="shared" ca="1" si="40"/>
        <v>#N/A</v>
      </c>
    </row>
    <row r="91" spans="1:61" ht="15" x14ac:dyDescent="0.25">
      <c r="A91" s="66">
        <v>25</v>
      </c>
      <c r="B91" s="66">
        <v>1498730132.6329999</v>
      </c>
      <c r="C91" s="67">
        <v>-4.9842462877650903E-5</v>
      </c>
      <c r="D91" s="67">
        <v>5.4833803131429798E-5</v>
      </c>
      <c r="E91" s="67">
        <v>7.7919963078129195E-4</v>
      </c>
      <c r="F91" s="67">
        <v>1.03431317059239E-4</v>
      </c>
      <c r="G91" s="67">
        <v>1.0750342732736301E-4</v>
      </c>
      <c r="H91" s="67">
        <v>1.2025066275149E-3</v>
      </c>
      <c r="I91" s="67">
        <v>5.4833803131429798E-5</v>
      </c>
      <c r="J91" s="67">
        <v>6.2991287200189403E-4</v>
      </c>
      <c r="K91" s="67">
        <v>7.2791256483513596E-3</v>
      </c>
      <c r="L91" s="67"/>
      <c r="M91" s="67"/>
      <c r="O91" s="11">
        <f t="shared" ca="1" si="0"/>
        <v>-6.2646393587610931E-5</v>
      </c>
      <c r="P91" s="11">
        <f t="shared" ca="1" si="1"/>
        <v>5.4068702901125059E-5</v>
      </c>
      <c r="Q91" s="11">
        <f t="shared" ca="1" si="2"/>
        <v>-5.7291981486991945E-5</v>
      </c>
      <c r="R91" s="11">
        <f t="shared" ca="1" si="3"/>
        <v>9.1784829412891884E-5</v>
      </c>
      <c r="S91" s="11">
        <f t="shared" ca="1" si="4"/>
        <v>9.6575775280392879E-5</v>
      </c>
      <c r="T91" s="11">
        <f t="shared" ca="1" si="5"/>
        <v>6.395158893259781E-5</v>
      </c>
      <c r="U91" s="11">
        <f t="shared" ca="1" si="6"/>
        <v>5.4068702901125059E-5</v>
      </c>
      <c r="V91" s="11">
        <f t="shared" ca="1" si="7"/>
        <v>-2.0283133691880329E-5</v>
      </c>
      <c r="W91" s="11">
        <f t="shared" ca="1" si="8"/>
        <v>1.5627738484637159E-4</v>
      </c>
      <c r="X91" s="11"/>
      <c r="Y91" s="2">
        <f t="shared" ca="1" si="9"/>
        <v>-6.2646393587610931E-5</v>
      </c>
      <c r="Z91" s="11">
        <f t="shared" ca="1" si="10"/>
        <v>5.4068702901125059E-5</v>
      </c>
      <c r="AA91" s="2">
        <f t="shared" ca="1" si="11"/>
        <v>-5.7705647524215979E-5</v>
      </c>
      <c r="AB91" s="2">
        <f t="shared" ca="1" si="12"/>
        <v>8.1772231011901085E-5</v>
      </c>
      <c r="AC91" s="2">
        <f t="shared" ca="1" si="13"/>
        <v>9.6575775280392879E-5</v>
      </c>
      <c r="AD91" s="2">
        <f t="shared" ca="1" si="14"/>
        <v>-8.8630351196780259E-6</v>
      </c>
      <c r="AE91" s="2">
        <f t="shared" ca="1" si="15"/>
        <v>5.4068702901125059E-5</v>
      </c>
      <c r="AF91" s="2">
        <f t="shared" ca="1" si="16"/>
        <v>-1.2781279961801394E-4</v>
      </c>
      <c r="AG91" s="2">
        <f t="shared" ca="1" si="17"/>
        <v>1.1264434788430737E-4</v>
      </c>
      <c r="AI91" s="2">
        <f t="shared" ca="1" si="18"/>
        <v>-6.2646393587610931E-5</v>
      </c>
      <c r="AJ91" s="11">
        <f t="shared" ca="1" si="19"/>
        <v>5.4068702901125059E-5</v>
      </c>
      <c r="AK91" s="2">
        <f t="shared" ca="1" si="20"/>
        <v>-1.2149671280496657E-4</v>
      </c>
      <c r="AL91" s="2">
        <f t="shared" ca="1" si="21"/>
        <v>5.1915347885574996E-5</v>
      </c>
      <c r="AM91" s="2">
        <f t="shared" ca="1" si="22"/>
        <v>9.6575775280392879E-5</v>
      </c>
      <c r="AN91" s="2">
        <f t="shared" ca="1" si="23"/>
        <v>-8.8630351196780259E-6</v>
      </c>
      <c r="AO91" s="2">
        <f t="shared" ca="1" si="24"/>
        <v>5.4068702901125059E-5</v>
      </c>
      <c r="AP91" s="2">
        <f t="shared" ca="1" si="25"/>
        <v>-1.2781279961801394E-4</v>
      </c>
      <c r="AQ91" s="2">
        <f t="shared" ca="1" si="26"/>
        <v>1.1264434788430737E-4</v>
      </c>
      <c r="AS91" s="2">
        <f t="shared" ca="1" si="27"/>
        <v>2.4436825957691397</v>
      </c>
      <c r="AT91" s="2">
        <f t="shared" ca="1" si="28"/>
        <v>0.1108591947998487</v>
      </c>
      <c r="AU91" s="2">
        <f t="shared" ca="1" si="29"/>
        <v>1.0175192283554664E-5</v>
      </c>
      <c r="AV91" s="2">
        <f t="shared" ca="1" si="30"/>
        <v>-3.0458325975434991E-5</v>
      </c>
      <c r="AW91" s="2">
        <f t="shared" ca="1" si="31"/>
        <v>-0.88563007268066729</v>
      </c>
      <c r="AX91" s="2">
        <f t="shared" ca="1" si="32"/>
        <v>-0.25401173912411346</v>
      </c>
      <c r="AY91" s="9" t="str">
        <f t="shared" ca="1" si="33"/>
        <v>rejected</v>
      </c>
      <c r="AZ91" s="9" t="e">
        <f t="shared" ca="1" si="34"/>
        <v>#N/A</v>
      </c>
      <c r="BB91" s="2" t="e">
        <f t="shared" ca="1" si="35"/>
        <v>#N/A</v>
      </c>
      <c r="BC91" s="2" t="e">
        <f t="shared" ca="1" si="41"/>
        <v>#N/A</v>
      </c>
      <c r="BD91" s="2" t="e">
        <f t="shared" ca="1" si="36"/>
        <v>#N/A</v>
      </c>
      <c r="BE91" s="2" t="e">
        <f t="shared" ca="1" si="37"/>
        <v>#N/A</v>
      </c>
      <c r="BF91" s="2" t="e">
        <f t="shared" ca="1" si="38"/>
        <v>#N/A</v>
      </c>
      <c r="BG91" s="2" t="e">
        <f t="shared" ca="1" si="39"/>
        <v>#N/A</v>
      </c>
      <c r="BH91" s="2" t="e">
        <f t="shared" ca="1" si="42"/>
        <v>#N/A</v>
      </c>
      <c r="BI91" s="2" t="e">
        <f t="shared" ca="1" si="40"/>
        <v>#N/A</v>
      </c>
    </row>
    <row r="92" spans="1:61" ht="15" x14ac:dyDescent="0.25">
      <c r="A92" s="66">
        <v>26</v>
      </c>
      <c r="B92" s="66">
        <v>1498730133.1600001</v>
      </c>
      <c r="C92" s="67">
        <v>-7.1573455869685399E-5</v>
      </c>
      <c r="D92" s="67">
        <v>-4.6010635377094703E-5</v>
      </c>
      <c r="E92" s="67">
        <v>8.1846901707974295E-4</v>
      </c>
      <c r="F92" s="67">
        <v>1.27727248926355E-5</v>
      </c>
      <c r="G92" s="67">
        <v>-6.1177302916591401E-5</v>
      </c>
      <c r="H92" s="67">
        <v>1.15744173633684E-3</v>
      </c>
      <c r="I92" s="67">
        <v>-4.6010635377094703E-5</v>
      </c>
      <c r="J92" s="67">
        <v>5.60330516358489E-4</v>
      </c>
      <c r="K92" s="67">
        <v>7.1269954521753298E-3</v>
      </c>
      <c r="L92" s="67"/>
      <c r="M92" s="67"/>
      <c r="O92" s="11">
        <f t="shared" ca="1" si="0"/>
        <v>-8.437738657964542E-5</v>
      </c>
      <c r="P92" s="11">
        <f t="shared" ca="1" si="1"/>
        <v>-4.6775735607399441E-5</v>
      </c>
      <c r="Q92" s="11">
        <f t="shared" ca="1" si="2"/>
        <v>-1.8022595188540947E-5</v>
      </c>
      <c r="R92" s="11">
        <f t="shared" ca="1" si="3"/>
        <v>1.1262372462883759E-6</v>
      </c>
      <c r="S92" s="11">
        <f t="shared" ca="1" si="4"/>
        <v>-7.2104954963561529E-5</v>
      </c>
      <c r="T92" s="11">
        <f t="shared" ca="1" si="5"/>
        <v>1.8886697754537819E-5</v>
      </c>
      <c r="U92" s="11">
        <f t="shared" ca="1" si="6"/>
        <v>-4.6775735607399441E-5</v>
      </c>
      <c r="V92" s="11">
        <f t="shared" ca="1" si="7"/>
        <v>-8.9865489335285353E-5</v>
      </c>
      <c r="W92" s="11">
        <f t="shared" ca="1" si="8"/>
        <v>4.1471886703418545E-6</v>
      </c>
      <c r="X92" s="11"/>
      <c r="Y92" s="2">
        <f t="shared" ca="1" si="9"/>
        <v>-8.437738657964542E-5</v>
      </c>
      <c r="Z92" s="11">
        <f t="shared" ca="1" si="10"/>
        <v>-4.6775735607399441E-5</v>
      </c>
      <c r="AA92" s="2">
        <f t="shared" ca="1" si="11"/>
        <v>-1.8022595188540947E-5</v>
      </c>
      <c r="AB92" s="2">
        <f t="shared" ca="1" si="12"/>
        <v>1.1262372462883759E-6</v>
      </c>
      <c r="AC92" s="2">
        <f t="shared" ca="1" si="13"/>
        <v>-7.2104954963561529E-5</v>
      </c>
      <c r="AD92" s="2">
        <f t="shared" ca="1" si="14"/>
        <v>1.8886697754537819E-5</v>
      </c>
      <c r="AE92" s="2">
        <f t="shared" ca="1" si="15"/>
        <v>-4.6775735607399441E-5</v>
      </c>
      <c r="AF92" s="2">
        <f t="shared" ca="1" si="16"/>
        <v>-8.9865489335285353E-5</v>
      </c>
      <c r="AG92" s="2">
        <f t="shared" ca="1" si="17"/>
        <v>4.1471886703418545E-6</v>
      </c>
      <c r="AI92" s="2">
        <f t="shared" ca="1" si="18"/>
        <v>-8.437738657964542E-5</v>
      </c>
      <c r="AJ92" s="11">
        <f t="shared" ca="1" si="19"/>
        <v>-4.6775735607399441E-5</v>
      </c>
      <c r="AK92" s="2">
        <f t="shared" ca="1" si="20"/>
        <v>-1.8022595188540947E-5</v>
      </c>
      <c r="AL92" s="2">
        <f t="shared" ca="1" si="21"/>
        <v>1.1262372462883759E-6</v>
      </c>
      <c r="AM92" s="2">
        <f t="shared" ca="1" si="22"/>
        <v>-7.2104954963561529E-5</v>
      </c>
      <c r="AN92" s="2">
        <f t="shared" ca="1" si="23"/>
        <v>1.8886697754537819E-5</v>
      </c>
      <c r="AO92" s="2">
        <f t="shared" ca="1" si="24"/>
        <v>-4.6775735607399441E-5</v>
      </c>
      <c r="AP92" s="2">
        <f t="shared" ca="1" si="25"/>
        <v>-8.9865489335285353E-5</v>
      </c>
      <c r="AQ92" s="2">
        <f t="shared" ca="1" si="26"/>
        <v>4.1471886703418545E-6</v>
      </c>
      <c r="AS92" s="2">
        <f t="shared" ca="1" si="27"/>
        <v>0.21958251909577092</v>
      </c>
      <c r="AT92" s="2">
        <f t="shared" ca="1" si="28"/>
        <v>9.6745896744274747E-3</v>
      </c>
      <c r="AU92" s="2">
        <f t="shared" ca="1" si="29"/>
        <v>1.0895883233897155E-8</v>
      </c>
      <c r="AV92" s="2">
        <f t="shared" ca="1" si="30"/>
        <v>-8.9876385218519252E-5</v>
      </c>
      <c r="AW92" s="2">
        <f t="shared" ca="1" si="31"/>
        <v>-29.77631418117074</v>
      </c>
      <c r="AX92" s="2">
        <f t="shared" ca="1" si="32"/>
        <v>-2.2987681227674167E-2</v>
      </c>
      <c r="AY92" s="9" t="str">
        <f t="shared" ca="1" si="33"/>
        <v>rejected</v>
      </c>
      <c r="AZ92" s="9" t="e">
        <f t="shared" ca="1" si="34"/>
        <v>#N/A</v>
      </c>
      <c r="BB92" s="2">
        <f t="shared" ca="1" si="35"/>
        <v>0.21958251909577092</v>
      </c>
      <c r="BC92" s="2">
        <f t="shared" ca="1" si="41"/>
        <v>9.6745896744274747E-3</v>
      </c>
      <c r="BD92" s="2">
        <f t="shared" ca="1" si="36"/>
        <v>1.0895883233897155E-8</v>
      </c>
      <c r="BE92" s="2">
        <f t="shared" ca="1" si="37"/>
        <v>-8.9876385218519252E-5</v>
      </c>
      <c r="BF92" s="2">
        <f t="shared" ca="1" si="38"/>
        <v>-29.77631418117074</v>
      </c>
      <c r="BG92" s="2">
        <f t="shared" ca="1" si="39"/>
        <v>-2.2987681227674167E-2</v>
      </c>
      <c r="BH92" s="2" t="str">
        <f t="shared" ca="1" si="42"/>
        <v>rejected</v>
      </c>
      <c r="BI92" s="2" t="e">
        <f t="shared" ca="1" si="40"/>
        <v>#N/A</v>
      </c>
    </row>
    <row r="93" spans="1:61" ht="15" x14ac:dyDescent="0.25">
      <c r="A93" s="66">
        <v>27</v>
      </c>
      <c r="B93" s="66">
        <v>1498730133.687</v>
      </c>
      <c r="C93" s="67">
        <v>-2.3633113290010599E-6</v>
      </c>
      <c r="D93" s="67">
        <v>-1.01870513640116E-5</v>
      </c>
      <c r="E93" s="67">
        <v>8.6564219795145895E-4</v>
      </c>
      <c r="F93" s="67">
        <v>-1.2686344458702E-5</v>
      </c>
      <c r="G93" s="67">
        <v>2.7812782977079399E-5</v>
      </c>
      <c r="H93" s="67">
        <v>1.17770876423666E-3</v>
      </c>
      <c r="I93" s="67">
        <v>-1.01870513640116E-5</v>
      </c>
      <c r="J93" s="67">
        <v>6.1281368641800298E-4</v>
      </c>
      <c r="K93" s="67">
        <v>7.1511150273284802E-3</v>
      </c>
      <c r="L93" s="67"/>
      <c r="M93" s="67"/>
      <c r="O93" s="11">
        <f t="shared" ca="1" si="0"/>
        <v>-1.5167242038961087E-5</v>
      </c>
      <c r="P93" s="11">
        <f t="shared" ca="1" si="1"/>
        <v>-1.095215159431634E-5</v>
      </c>
      <c r="Q93" s="11">
        <f t="shared" ca="1" si="2"/>
        <v>2.9150585683175058E-5</v>
      </c>
      <c r="R93" s="11">
        <f t="shared" ca="1" si="3"/>
        <v>-2.4332832105049124E-5</v>
      </c>
      <c r="S93" s="11">
        <f t="shared" ca="1" si="4"/>
        <v>1.6885130930109275E-5</v>
      </c>
      <c r="T93" s="11">
        <f t="shared" ca="1" si="5"/>
        <v>3.9153725654357888E-5</v>
      </c>
      <c r="U93" s="11">
        <f t="shared" ca="1" si="6"/>
        <v>-1.095215159431634E-5</v>
      </c>
      <c r="V93" s="11">
        <f t="shared" ca="1" si="7"/>
        <v>-3.7382319275771378E-5</v>
      </c>
      <c r="W93" s="11">
        <f t="shared" ca="1" si="8"/>
        <v>2.8266763823492184E-5</v>
      </c>
      <c r="X93" s="11"/>
      <c r="Y93" s="2">
        <f t="shared" ca="1" si="9"/>
        <v>-1.5167242038961087E-5</v>
      </c>
      <c r="Z93" s="11">
        <f t="shared" ca="1" si="10"/>
        <v>-1.095215159431634E-5</v>
      </c>
      <c r="AA93" s="2">
        <f t="shared" ca="1" si="11"/>
        <v>2.9150585683175058E-5</v>
      </c>
      <c r="AB93" s="2">
        <f t="shared" ca="1" si="12"/>
        <v>-2.4332832105049124E-5</v>
      </c>
      <c r="AC93" s="2">
        <f t="shared" ca="1" si="13"/>
        <v>1.6885130930109275E-5</v>
      </c>
      <c r="AD93" s="2">
        <f t="shared" ca="1" si="14"/>
        <v>3.9153725654357888E-5</v>
      </c>
      <c r="AE93" s="2">
        <f t="shared" ca="1" si="15"/>
        <v>-1.095215159431634E-5</v>
      </c>
      <c r="AF93" s="2">
        <f t="shared" ca="1" si="16"/>
        <v>-3.7382319275771378E-5</v>
      </c>
      <c r="AG93" s="2">
        <f t="shared" ca="1" si="17"/>
        <v>2.8266763823492184E-5</v>
      </c>
      <c r="AI93" s="2">
        <f t="shared" ca="1" si="18"/>
        <v>-1.5167242038961087E-5</v>
      </c>
      <c r="AJ93" s="11">
        <f t="shared" ca="1" si="19"/>
        <v>-1.095215159431634E-5</v>
      </c>
      <c r="AK93" s="2">
        <f t="shared" ca="1" si="20"/>
        <v>2.9150585683175058E-5</v>
      </c>
      <c r="AL93" s="2">
        <f t="shared" ca="1" si="21"/>
        <v>-2.4332832105049124E-5</v>
      </c>
      <c r="AM93" s="2">
        <f t="shared" ca="1" si="22"/>
        <v>1.6885130930109275E-5</v>
      </c>
      <c r="AN93" s="2">
        <f t="shared" ca="1" si="23"/>
        <v>3.9153725654357888E-5</v>
      </c>
      <c r="AO93" s="2">
        <f t="shared" ca="1" si="24"/>
        <v>-1.095215159431634E-5</v>
      </c>
      <c r="AP93" s="2">
        <f t="shared" ca="1" si="25"/>
        <v>-3.7382319275771378E-5</v>
      </c>
      <c r="AQ93" s="2">
        <f t="shared" ca="1" si="26"/>
        <v>2.8266763823492184E-5</v>
      </c>
      <c r="AS93" s="2">
        <f t="shared" ca="1" si="27"/>
        <v>0.7219431446454454</v>
      </c>
      <c r="AT93" s="2">
        <f t="shared" ca="1" si="28"/>
        <v>3.2270613468906945E-2</v>
      </c>
      <c r="AU93" s="2">
        <f t="shared" ca="1" si="29"/>
        <v>-7.8523541946584955E-7</v>
      </c>
      <c r="AV93" s="2">
        <f t="shared" ca="1" si="30"/>
        <v>-3.6597083856305528E-5</v>
      </c>
      <c r="AW93" s="2">
        <f t="shared" ca="1" si="31"/>
        <v>-3.2117723154467996</v>
      </c>
      <c r="AX93" s="2">
        <f t="shared" ca="1" si="32"/>
        <v>6.0622184536954081E-2</v>
      </c>
      <c r="AY93" s="9" t="str">
        <f t="shared" ca="1" si="33"/>
        <v>rejected</v>
      </c>
      <c r="AZ93" s="9" t="e">
        <f t="shared" ca="1" si="34"/>
        <v>#N/A</v>
      </c>
      <c r="BB93" s="2">
        <f t="shared" ca="1" si="35"/>
        <v>0.7219431446454454</v>
      </c>
      <c r="BC93" s="2">
        <f t="shared" ca="1" si="41"/>
        <v>3.2270613468906945E-2</v>
      </c>
      <c r="BD93" s="2">
        <f t="shared" ca="1" si="36"/>
        <v>-7.8523541946584955E-7</v>
      </c>
      <c r="BE93" s="2">
        <f t="shared" ca="1" si="37"/>
        <v>-3.6597083856305528E-5</v>
      </c>
      <c r="BF93" s="2">
        <f t="shared" ca="1" si="38"/>
        <v>-3.2117723154467996</v>
      </c>
      <c r="BG93" s="2">
        <f t="shared" ca="1" si="39"/>
        <v>6.0622184536954081E-2</v>
      </c>
      <c r="BH93" s="2" t="str">
        <f t="shared" ca="1" si="42"/>
        <v>rejected</v>
      </c>
      <c r="BI93" s="2" t="e">
        <f t="shared" ca="1" si="40"/>
        <v>#N/A</v>
      </c>
    </row>
    <row r="94" spans="1:61" ht="15" x14ac:dyDescent="0.25">
      <c r="A94" s="66">
        <v>28</v>
      </c>
      <c r="B94" s="66">
        <v>1498730134.214</v>
      </c>
      <c r="C94" s="67">
        <v>-3.9921633915265298E-5</v>
      </c>
      <c r="D94" s="67">
        <v>3.0847676351973998E-5</v>
      </c>
      <c r="E94" s="67">
        <v>8.2182135281854795E-4</v>
      </c>
      <c r="F94" s="67">
        <v>-5.4323610482940297E-5</v>
      </c>
      <c r="G94" s="67">
        <v>-2.4329448978166301E-5</v>
      </c>
      <c r="H94" s="67">
        <v>1.0825765108899599E-3</v>
      </c>
      <c r="I94" s="67">
        <v>3.0847676351973998E-5</v>
      </c>
      <c r="J94" s="67">
        <v>6.81449690027736E-4</v>
      </c>
      <c r="K94" s="67">
        <v>7.2755430393622103E-3</v>
      </c>
      <c r="L94" s="67"/>
      <c r="M94" s="67"/>
      <c r="O94" s="11">
        <f t="shared" ca="1" si="0"/>
        <v>-5.2725564625225326E-5</v>
      </c>
      <c r="P94" s="11">
        <f t="shared" ca="1" si="1"/>
        <v>3.0082576121669256E-5</v>
      </c>
      <c r="Q94" s="11">
        <f t="shared" ca="1" si="2"/>
        <v>-1.467025944973594E-5</v>
      </c>
      <c r="R94" s="11">
        <f t="shared" ca="1" si="3"/>
        <v>-6.5970098129287418E-5</v>
      </c>
      <c r="S94" s="11">
        <f t="shared" ca="1" si="4"/>
        <v>-3.5257101025136422E-5</v>
      </c>
      <c r="T94" s="11">
        <f t="shared" ca="1" si="5"/>
        <v>-5.5978527692342227E-5</v>
      </c>
      <c r="U94" s="11">
        <f t="shared" ca="1" si="6"/>
        <v>3.0082576121669256E-5</v>
      </c>
      <c r="V94" s="11">
        <f t="shared" ca="1" si="7"/>
        <v>3.1253684333961643E-5</v>
      </c>
      <c r="W94" s="11">
        <f t="shared" ca="1" si="8"/>
        <v>1.5269477585722231E-4</v>
      </c>
      <c r="X94" s="11"/>
      <c r="Y94" s="2">
        <f t="shared" ca="1" si="9"/>
        <v>-5.2725564625225326E-5</v>
      </c>
      <c r="Z94" s="11">
        <f t="shared" ca="1" si="10"/>
        <v>3.0082576121669256E-5</v>
      </c>
      <c r="AA94" s="2">
        <f t="shared" ca="1" si="11"/>
        <v>-1.4900413668092126E-5</v>
      </c>
      <c r="AB94" s="2">
        <f t="shared" ca="1" si="12"/>
        <v>-7.1540876369045078E-5</v>
      </c>
      <c r="AC94" s="2">
        <f t="shared" ca="1" si="13"/>
        <v>-3.5257101025136422E-5</v>
      </c>
      <c r="AD94" s="2">
        <f t="shared" ca="1" si="14"/>
        <v>-9.6490900900720743E-5</v>
      </c>
      <c r="AE94" s="2">
        <f t="shared" ca="1" si="15"/>
        <v>3.0082576121669256E-5</v>
      </c>
      <c r="AF94" s="2">
        <f t="shared" ca="1" si="16"/>
        <v>-2.8573335494421753E-5</v>
      </c>
      <c r="AG94" s="2">
        <f t="shared" ca="1" si="17"/>
        <v>1.2841836297135682E-4</v>
      </c>
      <c r="AI94" s="2">
        <f t="shared" ca="1" si="18"/>
        <v>-5.2725564625225326E-5</v>
      </c>
      <c r="AJ94" s="11">
        <f t="shared" ca="1" si="19"/>
        <v>3.0082576121669256E-5</v>
      </c>
      <c r="AK94" s="2">
        <f t="shared" ca="1" si="20"/>
        <v>-5.039228741804706E-5</v>
      </c>
      <c r="AL94" s="2">
        <f t="shared" ca="1" si="21"/>
        <v>-8.815255579190762E-5</v>
      </c>
      <c r="AM94" s="2">
        <f t="shared" ca="1" si="22"/>
        <v>-3.5257101025136422E-5</v>
      </c>
      <c r="AN94" s="2">
        <f t="shared" ca="1" si="23"/>
        <v>-9.6490900900720743E-5</v>
      </c>
      <c r="AO94" s="2">
        <f t="shared" ca="1" si="24"/>
        <v>3.0082576121669256E-5</v>
      </c>
      <c r="AP94" s="2">
        <f t="shared" ca="1" si="25"/>
        <v>-2.8573335494421753E-5</v>
      </c>
      <c r="AQ94" s="2">
        <f t="shared" ca="1" si="26"/>
        <v>1.2841836297135682E-4</v>
      </c>
      <c r="AS94" s="2" t="e">
        <f t="shared" ca="1" si="27"/>
        <v>#N/A</v>
      </c>
      <c r="AT94" s="2" t="e">
        <f t="shared" ca="1" si="28"/>
        <v>#N/A</v>
      </c>
      <c r="AU94" s="2" t="e">
        <f t="shared" ca="1" si="29"/>
        <v>#N/A</v>
      </c>
      <c r="AV94" s="2" t="e">
        <f t="shared" ca="1" si="30"/>
        <v>#N/A</v>
      </c>
      <c r="AW94" s="2" t="e">
        <f t="shared" ca="1" si="31"/>
        <v>#N/A</v>
      </c>
      <c r="AX94" s="2" t="e">
        <f t="shared" ca="1" si="32"/>
        <v>#N/A</v>
      </c>
      <c r="AY94" s="9" t="e">
        <f t="shared" ca="1" si="33"/>
        <v>#N/A</v>
      </c>
      <c r="AZ94" s="9" t="e">
        <f t="shared" ca="1" si="34"/>
        <v>#N/A</v>
      </c>
      <c r="BB94" s="2" t="e">
        <f t="shared" ca="1" si="35"/>
        <v>#N/A</v>
      </c>
      <c r="BC94" s="2" t="e">
        <f t="shared" ca="1" si="41"/>
        <v>#N/A</v>
      </c>
      <c r="BD94" s="2" t="e">
        <f t="shared" ca="1" si="36"/>
        <v>#N/A</v>
      </c>
      <c r="BE94" s="2" t="e">
        <f t="shared" ca="1" si="37"/>
        <v>#N/A</v>
      </c>
      <c r="BF94" s="2" t="e">
        <f t="shared" ca="1" si="38"/>
        <v>#N/A</v>
      </c>
      <c r="BG94" s="2" t="e">
        <f t="shared" ca="1" si="39"/>
        <v>#N/A</v>
      </c>
      <c r="BH94" s="2" t="e">
        <f t="shared" ca="1" si="42"/>
        <v>#N/A</v>
      </c>
      <c r="BI94" s="2" t="e">
        <f t="shared" ca="1" si="40"/>
        <v>#N/A</v>
      </c>
    </row>
    <row r="95" spans="1:61" ht="15" x14ac:dyDescent="0.25">
      <c r="A95" s="66">
        <v>29</v>
      </c>
      <c r="B95" s="66">
        <v>1498730134.7409999</v>
      </c>
      <c r="C95" s="67">
        <v>2.3611066463332701E-6</v>
      </c>
      <c r="D95" s="67">
        <v>-1.4036877113054001E-5</v>
      </c>
      <c r="E95" s="67">
        <v>8.4935881939663001E-4</v>
      </c>
      <c r="F95" s="67">
        <v>-2.1251866731575702E-5</v>
      </c>
      <c r="G95" s="67">
        <v>8.3492896153490397E-5</v>
      </c>
      <c r="H95" s="67">
        <v>1.1862925704222401E-3</v>
      </c>
      <c r="I95" s="67">
        <v>-1.4036877113054001E-5</v>
      </c>
      <c r="J95" s="67">
        <v>6.5199975376829702E-4</v>
      </c>
      <c r="K95" s="67">
        <v>7.0969064982695203E-3</v>
      </c>
      <c r="L95" s="67"/>
      <c r="M95" s="67"/>
      <c r="O95" s="11">
        <f t="shared" ca="1" si="0"/>
        <v>-1.0442824063626757E-5</v>
      </c>
      <c r="P95" s="11">
        <f t="shared" ca="1" si="1"/>
        <v>-1.4801977343358741E-5</v>
      </c>
      <c r="Q95" s="11">
        <f t="shared" ca="1" si="2"/>
        <v>1.2867207128346115E-5</v>
      </c>
      <c r="R95" s="11">
        <f t="shared" ca="1" si="3"/>
        <v>-3.2898354377922822E-5</v>
      </c>
      <c r="S95" s="11">
        <f t="shared" ca="1" si="4"/>
        <v>7.256524410652027E-5</v>
      </c>
      <c r="T95" s="11">
        <f t="shared" ca="1" si="5"/>
        <v>4.7737531839937928E-5</v>
      </c>
      <c r="U95" s="11">
        <f t="shared" ca="1" si="6"/>
        <v>-1.4801977343358741E-5</v>
      </c>
      <c r="V95" s="11">
        <f t="shared" ca="1" si="7"/>
        <v>1.8037480745226658E-6</v>
      </c>
      <c r="W95" s="11">
        <f t="shared" ca="1" si="8"/>
        <v>-2.5941765235467686E-5</v>
      </c>
      <c r="X95" s="11"/>
      <c r="Y95" s="2">
        <f t="shared" ca="1" si="9"/>
        <v>-1.0442824063626757E-5</v>
      </c>
      <c r="Z95" s="11">
        <f t="shared" ca="1" si="10"/>
        <v>-1.4801977343358741E-5</v>
      </c>
      <c r="AA95" s="2">
        <f t="shared" ca="1" si="11"/>
        <v>1.2867207128346115E-5</v>
      </c>
      <c r="AB95" s="2">
        <f t="shared" ca="1" si="12"/>
        <v>-3.2898354377922822E-5</v>
      </c>
      <c r="AC95" s="2">
        <f t="shared" ca="1" si="13"/>
        <v>7.256524410652027E-5</v>
      </c>
      <c r="AD95" s="2">
        <f t="shared" ca="1" si="14"/>
        <v>4.7737531839937928E-5</v>
      </c>
      <c r="AE95" s="2">
        <f t="shared" ca="1" si="15"/>
        <v>-1.4801977343358741E-5</v>
      </c>
      <c r="AF95" s="2">
        <f t="shared" ca="1" si="16"/>
        <v>1.8037480745226658E-6</v>
      </c>
      <c r="AG95" s="2">
        <f t="shared" ca="1" si="17"/>
        <v>-2.5941765235467686E-5</v>
      </c>
      <c r="AI95" s="2">
        <f t="shared" ca="1" si="18"/>
        <v>-1.0442824063626757E-5</v>
      </c>
      <c r="AJ95" s="11">
        <f t="shared" ca="1" si="19"/>
        <v>-1.4801977343358741E-5</v>
      </c>
      <c r="AK95" s="2">
        <f t="shared" ca="1" si="20"/>
        <v>1.2867207128346115E-5</v>
      </c>
      <c r="AL95" s="2">
        <f t="shared" ca="1" si="21"/>
        <v>-3.2898354377922822E-5</v>
      </c>
      <c r="AM95" s="2">
        <f t="shared" ca="1" si="22"/>
        <v>7.256524410652027E-5</v>
      </c>
      <c r="AN95" s="2">
        <f t="shared" ca="1" si="23"/>
        <v>4.7737531839937928E-5</v>
      </c>
      <c r="AO95" s="2">
        <f t="shared" ca="1" si="24"/>
        <v>-1.4801977343358741E-5</v>
      </c>
      <c r="AP95" s="2">
        <f t="shared" ca="1" si="25"/>
        <v>1.8037480745226658E-6</v>
      </c>
      <c r="AQ95" s="2">
        <f t="shared" ca="1" si="26"/>
        <v>-2.5941765235467686E-5</v>
      </c>
      <c r="AS95" s="2" t="e">
        <f t="shared" ca="1" si="27"/>
        <v>#N/A</v>
      </c>
      <c r="AT95" s="2" t="e">
        <f t="shared" ca="1" si="28"/>
        <v>#N/A</v>
      </c>
      <c r="AU95" s="2" t="e">
        <f t="shared" ca="1" si="29"/>
        <v>#N/A</v>
      </c>
      <c r="AV95" s="2" t="e">
        <f t="shared" ca="1" si="30"/>
        <v>#N/A</v>
      </c>
      <c r="AW95" s="2" t="e">
        <f t="shared" ca="1" si="31"/>
        <v>#N/A</v>
      </c>
      <c r="AX95" s="2" t="e">
        <f t="shared" ca="1" si="32"/>
        <v>#N/A</v>
      </c>
      <c r="AY95" s="9" t="e">
        <f t="shared" ca="1" si="33"/>
        <v>#N/A</v>
      </c>
      <c r="AZ95" s="9" t="e">
        <f t="shared" ca="1" si="34"/>
        <v>#N/A</v>
      </c>
      <c r="BB95" s="2" t="e">
        <f t="shared" ca="1" si="35"/>
        <v>#N/A</v>
      </c>
      <c r="BC95" s="2" t="e">
        <f t="shared" ca="1" si="41"/>
        <v>#N/A</v>
      </c>
      <c r="BD95" s="2" t="e">
        <f t="shared" ca="1" si="36"/>
        <v>#N/A</v>
      </c>
      <c r="BE95" s="2" t="e">
        <f t="shared" ca="1" si="37"/>
        <v>#N/A</v>
      </c>
      <c r="BF95" s="2" t="e">
        <f t="shared" ca="1" si="38"/>
        <v>#N/A</v>
      </c>
      <c r="BG95" s="2" t="e">
        <f t="shared" ca="1" si="39"/>
        <v>#N/A</v>
      </c>
      <c r="BH95" s="2" t="e">
        <f t="shared" ca="1" si="42"/>
        <v>#N/A</v>
      </c>
      <c r="BI95" s="2" t="e">
        <f t="shared" ca="1" si="40"/>
        <v>#N/A</v>
      </c>
    </row>
    <row r="96" spans="1:61" ht="15" x14ac:dyDescent="0.25">
      <c r="A96" s="66">
        <v>30</v>
      </c>
      <c r="B96" s="66">
        <v>1498730135.2679999</v>
      </c>
      <c r="C96" s="67">
        <v>-4.6063111160690498E-5</v>
      </c>
      <c r="D96" s="67">
        <v>-4.1359259682419497E-5</v>
      </c>
      <c r="E96" s="67">
        <v>7.8303072290218797E-4</v>
      </c>
      <c r="F96" s="67">
        <v>-8.8794220879735401E-6</v>
      </c>
      <c r="G96" s="67">
        <v>-8.1595358075031507E-5</v>
      </c>
      <c r="H96" s="67">
        <v>9.8125511331087793E-4</v>
      </c>
      <c r="I96" s="67">
        <v>-4.1359259682419497E-5</v>
      </c>
      <c r="J96" s="67">
        <v>6.3751260410322102E-4</v>
      </c>
      <c r="K96" s="67">
        <v>6.9486241260927903E-3</v>
      </c>
      <c r="L96" s="67"/>
      <c r="M96" s="67"/>
      <c r="O96" s="11">
        <f t="shared" ca="1" si="0"/>
        <v>-5.8867041870650526E-5</v>
      </c>
      <c r="P96" s="11">
        <f t="shared" ca="1" si="1"/>
        <v>-4.2124359912724236E-5</v>
      </c>
      <c r="Q96" s="11">
        <f t="shared" ca="1" si="2"/>
        <v>-5.3460889366095925E-5</v>
      </c>
      <c r="R96" s="11">
        <f t="shared" ca="1" si="3"/>
        <v>-2.0525909734320662E-5</v>
      </c>
      <c r="S96" s="11">
        <f t="shared" ca="1" si="4"/>
        <v>-9.2523010122001634E-5</v>
      </c>
      <c r="T96" s="11">
        <f t="shared" ca="1" si="5"/>
        <v>-1.5729992527142422E-4</v>
      </c>
      <c r="U96" s="11">
        <f t="shared" ca="1" si="6"/>
        <v>-4.2124359912724236E-5</v>
      </c>
      <c r="V96" s="11">
        <f t="shared" ca="1" si="7"/>
        <v>-1.2683401590553333E-5</v>
      </c>
      <c r="W96" s="11">
        <f t="shared" ca="1" si="8"/>
        <v>-1.7422413741219767E-4</v>
      </c>
      <c r="X96" s="11"/>
      <c r="Y96" s="2">
        <f t="shared" ca="1" si="9"/>
        <v>-5.8867041870650526E-5</v>
      </c>
      <c r="Z96" s="11">
        <f t="shared" ca="1" si="10"/>
        <v>-4.2124359912724236E-5</v>
      </c>
      <c r="AA96" s="2">
        <f t="shared" ca="1" si="11"/>
        <v>-5.3460889366095925E-5</v>
      </c>
      <c r="AB96" s="2">
        <f t="shared" ca="1" si="12"/>
        <v>-2.0525909734320662E-5</v>
      </c>
      <c r="AC96" s="2">
        <f t="shared" ca="1" si="13"/>
        <v>-9.2523010122001634E-5</v>
      </c>
      <c r="AD96" s="2">
        <f t="shared" ca="1" si="14"/>
        <v>-1.5729992527142422E-4</v>
      </c>
      <c r="AE96" s="2">
        <f t="shared" ca="1" si="15"/>
        <v>-4.2124359912724236E-5</v>
      </c>
      <c r="AF96" s="2">
        <f t="shared" ca="1" si="16"/>
        <v>-1.2683401590553333E-5</v>
      </c>
      <c r="AG96" s="2">
        <f t="shared" ca="1" si="17"/>
        <v>-1.7422413741219767E-4</v>
      </c>
      <c r="AI96" s="2">
        <f t="shared" ca="1" si="18"/>
        <v>-5.8867041870650526E-5</v>
      </c>
      <c r="AJ96" s="11">
        <f t="shared" ca="1" si="19"/>
        <v>-4.2124359912724236E-5</v>
      </c>
      <c r="AK96" s="2">
        <f t="shared" ca="1" si="20"/>
        <v>-5.3460889366095925E-5</v>
      </c>
      <c r="AL96" s="2">
        <f t="shared" ca="1" si="21"/>
        <v>-2.0525909734320662E-5</v>
      </c>
      <c r="AM96" s="2">
        <f t="shared" ca="1" si="22"/>
        <v>-9.2523010122001634E-5</v>
      </c>
      <c r="AN96" s="2">
        <f t="shared" ca="1" si="23"/>
        <v>-1.5729992527142422E-4</v>
      </c>
      <c r="AO96" s="2">
        <f t="shared" ca="1" si="24"/>
        <v>-4.2124359912724236E-5</v>
      </c>
      <c r="AP96" s="2">
        <f t="shared" ca="1" si="25"/>
        <v>-1.2683401590553333E-5</v>
      </c>
      <c r="AQ96" s="2">
        <f t="shared" ca="1" si="26"/>
        <v>-1.7422413741219767E-4</v>
      </c>
      <c r="AS96" s="2" t="e">
        <f t="shared" ca="1" si="27"/>
        <v>#N/A</v>
      </c>
      <c r="AT96" s="2" t="e">
        <f t="shared" ca="1" si="28"/>
        <v>#N/A</v>
      </c>
      <c r="AU96" s="2" t="e">
        <f t="shared" ca="1" si="29"/>
        <v>#N/A</v>
      </c>
      <c r="AV96" s="2" t="e">
        <f t="shared" ca="1" si="30"/>
        <v>#N/A</v>
      </c>
      <c r="AW96" s="2" t="e">
        <f t="shared" ca="1" si="31"/>
        <v>#N/A</v>
      </c>
      <c r="AX96" s="2" t="e">
        <f t="shared" ca="1" si="32"/>
        <v>#N/A</v>
      </c>
      <c r="AY96" s="9" t="e">
        <f t="shared" ca="1" si="33"/>
        <v>#N/A</v>
      </c>
      <c r="AZ96" s="9" t="e">
        <f t="shared" ca="1" si="34"/>
        <v>#N/A</v>
      </c>
      <c r="BB96" s="2" t="e">
        <f t="shared" ca="1" si="35"/>
        <v>#N/A</v>
      </c>
      <c r="BC96" s="2" t="e">
        <f t="shared" ca="1" si="41"/>
        <v>#N/A</v>
      </c>
      <c r="BD96" s="2" t="e">
        <f t="shared" ca="1" si="36"/>
        <v>#N/A</v>
      </c>
      <c r="BE96" s="2" t="e">
        <f t="shared" ca="1" si="37"/>
        <v>#N/A</v>
      </c>
      <c r="BF96" s="2" t="e">
        <f t="shared" ca="1" si="38"/>
        <v>#N/A</v>
      </c>
      <c r="BG96" s="2" t="e">
        <f t="shared" ca="1" si="39"/>
        <v>#N/A</v>
      </c>
      <c r="BH96" s="2" t="e">
        <f t="shared" ca="1" si="42"/>
        <v>#N/A</v>
      </c>
      <c r="BI96" s="2" t="e">
        <f t="shared" ca="1" si="40"/>
        <v>#N/A</v>
      </c>
    </row>
    <row r="97" spans="1:61" ht="15" x14ac:dyDescent="0.25">
      <c r="A97" s="66">
        <v>31</v>
      </c>
      <c r="B97" s="66">
        <v>1498730135.796</v>
      </c>
      <c r="C97" s="67">
        <v>-2.5512634228454201E-5</v>
      </c>
      <c r="D97" s="67">
        <v>-8.53370609041688E-6</v>
      </c>
      <c r="E97" s="67">
        <v>8.0745427834937695E-4</v>
      </c>
      <c r="F97" s="67">
        <v>-3.4100012387497199E-5</v>
      </c>
      <c r="G97" s="67">
        <v>-8.7639986860250899E-5</v>
      </c>
      <c r="H97" s="67">
        <v>1.0742320079878799E-3</v>
      </c>
      <c r="I97" s="67">
        <v>-8.53370609041688E-6</v>
      </c>
      <c r="J97" s="67">
        <v>6.9403742795190796E-4</v>
      </c>
      <c r="K97" s="67">
        <v>7.1066972492784004E-3</v>
      </c>
      <c r="L97" s="67"/>
      <c r="M97" s="67"/>
      <c r="O97" s="11">
        <f t="shared" ca="1" si="0"/>
        <v>-3.8316564938414229E-5</v>
      </c>
      <c r="P97" s="11">
        <f t="shared" ca="1" si="1"/>
        <v>-9.2988063207216203E-6</v>
      </c>
      <c r="Q97" s="11">
        <f t="shared" ca="1" si="2"/>
        <v>-2.9037333918906943E-5</v>
      </c>
      <c r="R97" s="11">
        <f t="shared" ca="1" si="3"/>
        <v>-4.5746500033844319E-5</v>
      </c>
      <c r="S97" s="11">
        <f t="shared" ca="1" si="4"/>
        <v>-9.8567638907221027E-5</v>
      </c>
      <c r="T97" s="11">
        <f t="shared" ca="1" si="5"/>
        <v>-6.4323030594422206E-5</v>
      </c>
      <c r="U97" s="11">
        <f t="shared" ca="1" si="6"/>
        <v>-9.2988063207216203E-6</v>
      </c>
      <c r="V97" s="11">
        <f t="shared" ca="1" si="7"/>
        <v>4.3841422258133599E-5</v>
      </c>
      <c r="W97" s="11">
        <f t="shared" ca="1" si="8"/>
        <v>-1.6151014226587629E-5</v>
      </c>
      <c r="X97" s="11"/>
      <c r="Y97" s="2">
        <f t="shared" ca="1" si="9"/>
        <v>-3.8316564938414229E-5</v>
      </c>
      <c r="Z97" s="11">
        <f t="shared" ca="1" si="10"/>
        <v>-9.2988063207216203E-6</v>
      </c>
      <c r="AA97" s="2">
        <f t="shared" ca="1" si="11"/>
        <v>-2.9037333918906943E-5</v>
      </c>
      <c r="AB97" s="2">
        <f t="shared" ca="1" si="12"/>
        <v>-4.5746500033844319E-5</v>
      </c>
      <c r="AC97" s="2">
        <f t="shared" ca="1" si="13"/>
        <v>-9.8567638907221027E-5</v>
      </c>
      <c r="AD97" s="2">
        <f t="shared" ca="1" si="14"/>
        <v>-6.4323030594422206E-5</v>
      </c>
      <c r="AE97" s="2">
        <f t="shared" ca="1" si="15"/>
        <v>-9.2988063207216203E-6</v>
      </c>
      <c r="AF97" s="2">
        <f t="shared" ca="1" si="16"/>
        <v>4.3841422258133599E-5</v>
      </c>
      <c r="AG97" s="2">
        <f t="shared" ca="1" si="17"/>
        <v>-1.6151014226587629E-5</v>
      </c>
      <c r="AI97" s="2">
        <f t="shared" ca="1" si="18"/>
        <v>-3.8316564938414229E-5</v>
      </c>
      <c r="AJ97" s="11">
        <f t="shared" ca="1" si="19"/>
        <v>-9.2988063207216203E-6</v>
      </c>
      <c r="AK97" s="2">
        <f t="shared" ca="1" si="20"/>
        <v>-2.9037333918906943E-5</v>
      </c>
      <c r="AL97" s="2">
        <f t="shared" ca="1" si="21"/>
        <v>-4.5746500033844319E-5</v>
      </c>
      <c r="AM97" s="2">
        <f t="shared" ca="1" si="22"/>
        <v>-9.8567638907221027E-5</v>
      </c>
      <c r="AN97" s="2">
        <f t="shared" ca="1" si="23"/>
        <v>-6.4323030594422206E-5</v>
      </c>
      <c r="AO97" s="2">
        <f t="shared" ca="1" si="24"/>
        <v>-9.2988063207216203E-6</v>
      </c>
      <c r="AP97" s="2">
        <f t="shared" ca="1" si="25"/>
        <v>4.3841422258133599E-5</v>
      </c>
      <c r="AQ97" s="2">
        <f t="shared" ca="1" si="26"/>
        <v>-1.6151014226587629E-5</v>
      </c>
      <c r="AS97" s="2" t="e">
        <f t="shared" ca="1" si="27"/>
        <v>#N/A</v>
      </c>
      <c r="AT97" s="2" t="e">
        <f t="shared" ca="1" si="28"/>
        <v>#N/A</v>
      </c>
      <c r="AU97" s="2" t="e">
        <f t="shared" ca="1" si="29"/>
        <v>#N/A</v>
      </c>
      <c r="AV97" s="2" t="e">
        <f t="shared" ca="1" si="30"/>
        <v>#N/A</v>
      </c>
      <c r="AW97" s="2" t="e">
        <f t="shared" ca="1" si="31"/>
        <v>#N/A</v>
      </c>
      <c r="AX97" s="2" t="e">
        <f t="shared" ca="1" si="32"/>
        <v>#N/A</v>
      </c>
      <c r="AY97" s="9" t="e">
        <f t="shared" ca="1" si="33"/>
        <v>#N/A</v>
      </c>
      <c r="AZ97" s="9" t="e">
        <f t="shared" ca="1" si="34"/>
        <v>#N/A</v>
      </c>
      <c r="BB97" s="2" t="e">
        <f t="shared" ca="1" si="35"/>
        <v>#N/A</v>
      </c>
      <c r="BC97" s="2" t="e">
        <f t="shared" ca="1" si="41"/>
        <v>#N/A</v>
      </c>
      <c r="BD97" s="2" t="e">
        <f t="shared" ca="1" si="36"/>
        <v>#N/A</v>
      </c>
      <c r="BE97" s="2" t="e">
        <f t="shared" ca="1" si="37"/>
        <v>#N/A</v>
      </c>
      <c r="BF97" s="2" t="e">
        <f t="shared" ca="1" si="38"/>
        <v>#N/A</v>
      </c>
      <c r="BG97" s="2" t="e">
        <f t="shared" ca="1" si="39"/>
        <v>#N/A</v>
      </c>
      <c r="BH97" s="2" t="e">
        <f t="shared" ca="1" si="42"/>
        <v>#N/A</v>
      </c>
      <c r="BI97" s="2" t="e">
        <f t="shared" ca="1" si="40"/>
        <v>#N/A</v>
      </c>
    </row>
    <row r="98" spans="1:61" ht="15" x14ac:dyDescent="0.25">
      <c r="A98" s="66">
        <v>32</v>
      </c>
      <c r="B98" s="66">
        <v>1498730136.323</v>
      </c>
      <c r="C98" s="67">
        <v>1.09375199443562E-4</v>
      </c>
      <c r="D98" s="67">
        <v>-2.8490103750781E-5</v>
      </c>
      <c r="E98" s="67">
        <v>9.0611232504319401E-4</v>
      </c>
      <c r="F98" s="67">
        <v>2.75250060088324E-5</v>
      </c>
      <c r="G98" s="67">
        <v>5.0443768721426701E-5</v>
      </c>
      <c r="H98" s="67">
        <v>1.2733269869647399E-3</v>
      </c>
      <c r="I98" s="67">
        <v>-2.8490103750781E-5</v>
      </c>
      <c r="J98" s="67">
        <v>6.6814961117639697E-4</v>
      </c>
      <c r="K98" s="67">
        <v>7.1150552830748E-3</v>
      </c>
      <c r="L98" s="67"/>
      <c r="M98" s="67"/>
      <c r="O98" s="11">
        <f t="shared" ca="1" si="0"/>
        <v>9.6571268733601962E-5</v>
      </c>
      <c r="P98" s="11">
        <f t="shared" ca="1" si="1"/>
        <v>-2.9255203981085742E-5</v>
      </c>
      <c r="Q98" s="11">
        <f t="shared" ca="1" si="2"/>
        <v>6.9620712774910113E-5</v>
      </c>
      <c r="R98" s="11">
        <f t="shared" ca="1" si="3"/>
        <v>1.5878518362485276E-5</v>
      </c>
      <c r="S98" s="11">
        <f t="shared" ca="1" si="4"/>
        <v>3.9516116674456581E-5</v>
      </c>
      <c r="T98" s="11">
        <f t="shared" ca="1" si="5"/>
        <v>1.347719483824378E-4</v>
      </c>
      <c r="U98" s="11">
        <f t="shared" ca="1" si="6"/>
        <v>-2.9255203981085742E-5</v>
      </c>
      <c r="V98" s="11">
        <f t="shared" ca="1" si="7"/>
        <v>1.7953605482622613E-5</v>
      </c>
      <c r="W98" s="11">
        <f t="shared" ca="1" si="8"/>
        <v>-7.7929804301879457E-6</v>
      </c>
      <c r="X98" s="11"/>
      <c r="Y98" s="2">
        <f t="shared" ca="1" si="9"/>
        <v>9.6571268733601962E-5</v>
      </c>
      <c r="Z98" s="11">
        <f t="shared" ca="1" si="10"/>
        <v>-2.9255203981085742E-5</v>
      </c>
      <c r="AA98" s="2">
        <f t="shared" ca="1" si="11"/>
        <v>6.9620712774910113E-5</v>
      </c>
      <c r="AB98" s="2">
        <f t="shared" ca="1" si="12"/>
        <v>1.5878518362485276E-5</v>
      </c>
      <c r="AC98" s="2">
        <f t="shared" ca="1" si="13"/>
        <v>3.9516116674456581E-5</v>
      </c>
      <c r="AD98" s="2">
        <f t="shared" ca="1" si="14"/>
        <v>1.347719483824378E-4</v>
      </c>
      <c r="AE98" s="2">
        <f t="shared" ca="1" si="15"/>
        <v>-2.9255203981085742E-5</v>
      </c>
      <c r="AF98" s="2">
        <f t="shared" ca="1" si="16"/>
        <v>1.7953605482622613E-5</v>
      </c>
      <c r="AG98" s="2">
        <f t="shared" ca="1" si="17"/>
        <v>-7.7929804301879457E-6</v>
      </c>
      <c r="AI98" s="2">
        <f t="shared" ca="1" si="18"/>
        <v>9.6571268733601962E-5</v>
      </c>
      <c r="AJ98" s="11">
        <f t="shared" ca="1" si="19"/>
        <v>-2.9255203981085742E-5</v>
      </c>
      <c r="AK98" s="2">
        <f t="shared" ca="1" si="20"/>
        <v>6.9620712774910113E-5</v>
      </c>
      <c r="AL98" s="2">
        <f t="shared" ca="1" si="21"/>
        <v>1.5878518362485276E-5</v>
      </c>
      <c r="AM98" s="2">
        <f t="shared" ca="1" si="22"/>
        <v>3.9516116674456581E-5</v>
      </c>
      <c r="AN98" s="2">
        <f t="shared" ca="1" si="23"/>
        <v>1.347719483824378E-4</v>
      </c>
      <c r="AO98" s="2">
        <f t="shared" ca="1" si="24"/>
        <v>-2.9255203981085742E-5</v>
      </c>
      <c r="AP98" s="2">
        <f t="shared" ca="1" si="25"/>
        <v>1.7953605482622613E-5</v>
      </c>
      <c r="AQ98" s="2">
        <f t="shared" ca="1" si="26"/>
        <v>-7.7929804301879457E-6</v>
      </c>
      <c r="AS98" s="2" t="e">
        <f t="shared" ca="1" si="27"/>
        <v>#N/A</v>
      </c>
      <c r="AT98" s="2" t="e">
        <f t="shared" ca="1" si="28"/>
        <v>#N/A</v>
      </c>
      <c r="AU98" s="2" t="e">
        <f t="shared" ca="1" si="29"/>
        <v>#N/A</v>
      </c>
      <c r="AV98" s="2" t="e">
        <f t="shared" ca="1" si="30"/>
        <v>#N/A</v>
      </c>
      <c r="AW98" s="2" t="e">
        <f t="shared" ca="1" si="31"/>
        <v>#N/A</v>
      </c>
      <c r="AX98" s="2" t="e">
        <f t="shared" ca="1" si="32"/>
        <v>#N/A</v>
      </c>
      <c r="AY98" s="9" t="e">
        <f t="shared" ca="1" si="33"/>
        <v>#N/A</v>
      </c>
      <c r="AZ98" s="9" t="e">
        <f t="shared" ca="1" si="34"/>
        <v>#N/A</v>
      </c>
      <c r="BB98" s="2" t="e">
        <f t="shared" ca="1" si="35"/>
        <v>#N/A</v>
      </c>
      <c r="BC98" s="2" t="e">
        <f t="shared" ca="1" si="41"/>
        <v>#N/A</v>
      </c>
      <c r="BD98" s="2" t="e">
        <f t="shared" ca="1" si="36"/>
        <v>#N/A</v>
      </c>
      <c r="BE98" s="2" t="e">
        <f t="shared" ca="1" si="37"/>
        <v>#N/A</v>
      </c>
      <c r="BF98" s="2" t="e">
        <f t="shared" ca="1" si="38"/>
        <v>#N/A</v>
      </c>
      <c r="BG98" s="2" t="e">
        <f t="shared" ca="1" si="39"/>
        <v>#N/A</v>
      </c>
      <c r="BH98" s="2" t="e">
        <f t="shared" ca="1" si="42"/>
        <v>#N/A</v>
      </c>
      <c r="BI98" s="2" t="e">
        <f t="shared" ca="1" si="40"/>
        <v>#N/A</v>
      </c>
    </row>
    <row r="99" spans="1:61" ht="15" x14ac:dyDescent="0.25">
      <c r="A99" s="66">
        <v>33</v>
      </c>
      <c r="B99" s="66">
        <v>1498730136.8499999</v>
      </c>
      <c r="C99" s="67">
        <v>2.3148812997077699E-5</v>
      </c>
      <c r="D99" s="67">
        <v>-2.7231597681972399E-6</v>
      </c>
      <c r="E99" s="67">
        <v>8.0721482884753802E-4</v>
      </c>
      <c r="F99" s="67">
        <v>-2.8865602629942E-5</v>
      </c>
      <c r="G99" s="67">
        <v>-2.6706385220996999E-5</v>
      </c>
      <c r="H99" s="67">
        <v>1.1157167953182599E-3</v>
      </c>
      <c r="I99" s="67">
        <v>-2.7231597681972399E-6</v>
      </c>
      <c r="J99" s="67">
        <v>6.8786229139089201E-4</v>
      </c>
      <c r="K99" s="67">
        <v>7.1176821080810096E-3</v>
      </c>
      <c r="L99" s="67"/>
      <c r="M99" s="67"/>
      <c r="O99" s="11">
        <f t="shared" ca="1" si="0"/>
        <v>1.0344882287117671E-5</v>
      </c>
      <c r="P99" s="11">
        <f t="shared" ca="1" si="1"/>
        <v>-3.4882599985019802E-6</v>
      </c>
      <c r="Q99" s="11">
        <f t="shared" ca="1" si="2"/>
        <v>-2.9276783420745874E-5</v>
      </c>
      <c r="R99" s="11">
        <f t="shared" ca="1" si="3"/>
        <v>-4.0512090276289124E-5</v>
      </c>
      <c r="S99" s="11">
        <f t="shared" ca="1" si="4"/>
        <v>-3.763403726796712E-5</v>
      </c>
      <c r="T99" s="11">
        <f t="shared" ca="1" si="5"/>
        <v>-2.2838243264042225E-5</v>
      </c>
      <c r="U99" s="11">
        <f t="shared" ca="1" si="6"/>
        <v>-3.4882599985019802E-6</v>
      </c>
      <c r="V99" s="11">
        <f t="shared" ca="1" si="7"/>
        <v>3.7666285697117658E-5</v>
      </c>
      <c r="W99" s="11">
        <f t="shared" ca="1" si="8"/>
        <v>-5.1661554239783997E-6</v>
      </c>
      <c r="X99" s="11"/>
      <c r="Y99" s="2">
        <f t="shared" ca="1" si="9"/>
        <v>1.0344882287117671E-5</v>
      </c>
      <c r="Z99" s="11">
        <f t="shared" ca="1" si="10"/>
        <v>-3.4882599985019802E-6</v>
      </c>
      <c r="AA99" s="2">
        <f t="shared" ca="1" si="11"/>
        <v>-2.9276783420745874E-5</v>
      </c>
      <c r="AB99" s="2">
        <f t="shared" ca="1" si="12"/>
        <v>-4.0512090276289124E-5</v>
      </c>
      <c r="AC99" s="2">
        <f t="shared" ca="1" si="13"/>
        <v>-3.763403726796712E-5</v>
      </c>
      <c r="AD99" s="2">
        <f t="shared" ca="1" si="14"/>
        <v>-2.2838243264042225E-5</v>
      </c>
      <c r="AE99" s="2">
        <f t="shared" ca="1" si="15"/>
        <v>-3.4882599985019802E-6</v>
      </c>
      <c r="AF99" s="2">
        <f t="shared" ca="1" si="16"/>
        <v>3.7666285697117658E-5</v>
      </c>
      <c r="AG99" s="2">
        <f t="shared" ca="1" si="17"/>
        <v>-5.1661554239783997E-6</v>
      </c>
      <c r="AI99" s="2">
        <f t="shared" ca="1" si="18"/>
        <v>1.0344882287117671E-5</v>
      </c>
      <c r="AJ99" s="11">
        <f t="shared" ca="1" si="19"/>
        <v>-3.4882599985019802E-6</v>
      </c>
      <c r="AK99" s="2">
        <f t="shared" ca="1" si="20"/>
        <v>-2.9276783420745874E-5</v>
      </c>
      <c r="AL99" s="2">
        <f t="shared" ca="1" si="21"/>
        <v>-4.0512090276289124E-5</v>
      </c>
      <c r="AM99" s="2">
        <f t="shared" ca="1" si="22"/>
        <v>-3.763403726796712E-5</v>
      </c>
      <c r="AN99" s="2">
        <f t="shared" ca="1" si="23"/>
        <v>-2.2838243264042225E-5</v>
      </c>
      <c r="AO99" s="2">
        <f t="shared" ca="1" si="24"/>
        <v>-3.4882599985019802E-6</v>
      </c>
      <c r="AP99" s="2">
        <f t="shared" ca="1" si="25"/>
        <v>3.7666285697117658E-5</v>
      </c>
      <c r="AQ99" s="2">
        <f t="shared" ca="1" si="26"/>
        <v>-5.1661554239783997E-6</v>
      </c>
      <c r="AS99" s="2" t="e">
        <f t="shared" ca="1" si="27"/>
        <v>#N/A</v>
      </c>
      <c r="AT99" s="2" t="e">
        <f t="shared" ca="1" si="28"/>
        <v>#N/A</v>
      </c>
      <c r="AU99" s="2" t="e">
        <f t="shared" ca="1" si="29"/>
        <v>#N/A</v>
      </c>
      <c r="AV99" s="2" t="e">
        <f t="shared" ca="1" si="30"/>
        <v>#N/A</v>
      </c>
      <c r="AW99" s="2" t="e">
        <f t="shared" ca="1" si="31"/>
        <v>#N/A</v>
      </c>
      <c r="AX99" s="2" t="e">
        <f t="shared" ca="1" si="32"/>
        <v>#N/A</v>
      </c>
      <c r="AY99" s="9" t="e">
        <f t="shared" ca="1" si="33"/>
        <v>#N/A</v>
      </c>
      <c r="AZ99" s="9" t="e">
        <f t="shared" ca="1" si="34"/>
        <v>#N/A</v>
      </c>
      <c r="BB99" s="2" t="e">
        <f t="shared" ca="1" si="35"/>
        <v>#N/A</v>
      </c>
      <c r="BC99" s="2" t="e">
        <f t="shared" ca="1" si="41"/>
        <v>#N/A</v>
      </c>
      <c r="BD99" s="2" t="e">
        <f t="shared" ca="1" si="36"/>
        <v>#N/A</v>
      </c>
      <c r="BE99" s="2" t="e">
        <f t="shared" ca="1" si="37"/>
        <v>#N/A</v>
      </c>
      <c r="BF99" s="2" t="e">
        <f t="shared" ca="1" si="38"/>
        <v>#N/A</v>
      </c>
      <c r="BG99" s="2" t="e">
        <f t="shared" ca="1" si="39"/>
        <v>#N/A</v>
      </c>
      <c r="BH99" s="2" t="e">
        <f t="shared" ca="1" si="42"/>
        <v>#N/A</v>
      </c>
      <c r="BI99" s="2" t="e">
        <f t="shared" ca="1" si="40"/>
        <v>#N/A</v>
      </c>
    </row>
    <row r="100" spans="1:61" ht="15" x14ac:dyDescent="0.25">
      <c r="A100" s="66">
        <v>34</v>
      </c>
      <c r="B100" s="66">
        <v>1498730137.3770001</v>
      </c>
      <c r="C100" s="67">
        <v>-5.8582158583203998E-5</v>
      </c>
      <c r="D100" s="67">
        <v>-5.7366630911003602E-5</v>
      </c>
      <c r="E100" s="67">
        <v>8.0098916181601404E-4</v>
      </c>
      <c r="F100" s="67">
        <v>-5.0278923628788498E-5</v>
      </c>
      <c r="G100" s="67">
        <v>2.1455373302889699E-5</v>
      </c>
      <c r="H100" s="67">
        <v>1.0885369127240699E-3</v>
      </c>
      <c r="I100" s="67">
        <v>-5.7366630911003602E-5</v>
      </c>
      <c r="J100" s="67">
        <v>6.7408712447133805E-4</v>
      </c>
      <c r="K100" s="67">
        <v>7.1499209753085498E-3</v>
      </c>
      <c r="L100" s="67"/>
      <c r="M100" s="67"/>
      <c r="O100" s="11">
        <f t="shared" ca="1" si="0"/>
        <v>-7.1386089293164033E-5</v>
      </c>
      <c r="P100" s="11">
        <f t="shared" ca="1" si="1"/>
        <v>-5.8131731141308341E-5</v>
      </c>
      <c r="Q100" s="11">
        <f t="shared" ca="1" si="2"/>
        <v>-3.5502450452269858E-5</v>
      </c>
      <c r="R100" s="11">
        <f t="shared" ca="1" si="3"/>
        <v>-6.1925411275135626E-5</v>
      </c>
      <c r="S100" s="11">
        <f t="shared" ca="1" si="4"/>
        <v>1.0527721255919577E-5</v>
      </c>
      <c r="T100" s="11">
        <f t="shared" ca="1" si="5"/>
        <v>-5.0018125858232237E-5</v>
      </c>
      <c r="U100" s="11">
        <f t="shared" ca="1" si="6"/>
        <v>-5.8131731141308341E-5</v>
      </c>
      <c r="V100" s="11">
        <f t="shared" ca="1" si="7"/>
        <v>2.3891118777563691E-5</v>
      </c>
      <c r="W100" s="11">
        <f t="shared" ca="1" si="8"/>
        <v>2.7072711803561786E-5</v>
      </c>
      <c r="X100" s="11"/>
      <c r="Y100" s="2">
        <f t="shared" ca="1" si="9"/>
        <v>-7.1386089293164033E-5</v>
      </c>
      <c r="Z100" s="11">
        <f t="shared" ca="1" si="10"/>
        <v>-5.8131731141308341E-5</v>
      </c>
      <c r="AA100" s="2">
        <f t="shared" ca="1" si="11"/>
        <v>-3.5502450452269858E-5</v>
      </c>
      <c r="AB100" s="2">
        <f t="shared" ca="1" si="12"/>
        <v>-6.1925411275135626E-5</v>
      </c>
      <c r="AC100" s="2">
        <f t="shared" ca="1" si="13"/>
        <v>1.0527721255919577E-5</v>
      </c>
      <c r="AD100" s="2">
        <f t="shared" ca="1" si="14"/>
        <v>-5.0018125858232237E-5</v>
      </c>
      <c r="AE100" s="2">
        <f t="shared" ca="1" si="15"/>
        <v>-5.8131731141308341E-5</v>
      </c>
      <c r="AF100" s="2">
        <f t="shared" ca="1" si="16"/>
        <v>2.3891118777563691E-5</v>
      </c>
      <c r="AG100" s="2">
        <f t="shared" ca="1" si="17"/>
        <v>2.7072711803561786E-5</v>
      </c>
      <c r="AI100" s="2">
        <f t="shared" ca="1" si="18"/>
        <v>-7.1386089293164033E-5</v>
      </c>
      <c r="AJ100" s="11">
        <f t="shared" ca="1" si="19"/>
        <v>-5.8131731141308341E-5</v>
      </c>
      <c r="AK100" s="2">
        <f t="shared" ca="1" si="20"/>
        <v>-3.5502450452269858E-5</v>
      </c>
      <c r="AL100" s="2">
        <f t="shared" ca="1" si="21"/>
        <v>-6.1925411275135626E-5</v>
      </c>
      <c r="AM100" s="2">
        <f t="shared" ca="1" si="22"/>
        <v>1.0527721255919577E-5</v>
      </c>
      <c r="AN100" s="2">
        <f t="shared" ca="1" si="23"/>
        <v>-5.0018125858232237E-5</v>
      </c>
      <c r="AO100" s="2">
        <f t="shared" ca="1" si="24"/>
        <v>-5.8131731141308341E-5</v>
      </c>
      <c r="AP100" s="2">
        <f t="shared" ca="1" si="25"/>
        <v>2.3891118777563691E-5</v>
      </c>
      <c r="AQ100" s="2">
        <f t="shared" ca="1" si="26"/>
        <v>2.7072711803561786E-5</v>
      </c>
      <c r="AS100" s="2" t="e">
        <f t="shared" ca="1" si="27"/>
        <v>#N/A</v>
      </c>
      <c r="AT100" s="2" t="e">
        <f t="shared" ca="1" si="28"/>
        <v>#N/A</v>
      </c>
      <c r="AU100" s="2" t="e">
        <f t="shared" ca="1" si="29"/>
        <v>#N/A</v>
      </c>
      <c r="AV100" s="2" t="e">
        <f t="shared" ca="1" si="30"/>
        <v>#N/A</v>
      </c>
      <c r="AW100" s="2" t="e">
        <f t="shared" ca="1" si="31"/>
        <v>#N/A</v>
      </c>
      <c r="AX100" s="2" t="e">
        <f t="shared" ca="1" si="32"/>
        <v>#N/A</v>
      </c>
      <c r="AY100" s="9" t="e">
        <f t="shared" ca="1" si="33"/>
        <v>#N/A</v>
      </c>
      <c r="AZ100" s="9" t="e">
        <f t="shared" ca="1" si="34"/>
        <v>#N/A</v>
      </c>
      <c r="BB100" s="2" t="e">
        <f t="shared" ca="1" si="35"/>
        <v>#N/A</v>
      </c>
      <c r="BC100" s="2" t="e">
        <f t="shared" ca="1" si="41"/>
        <v>#N/A</v>
      </c>
      <c r="BD100" s="2" t="e">
        <f t="shared" ca="1" si="36"/>
        <v>#N/A</v>
      </c>
      <c r="BE100" s="2" t="e">
        <f t="shared" ca="1" si="37"/>
        <v>#N/A</v>
      </c>
      <c r="BF100" s="2" t="e">
        <f t="shared" ca="1" si="38"/>
        <v>#N/A</v>
      </c>
      <c r="BG100" s="2" t="e">
        <f t="shared" ca="1" si="39"/>
        <v>#N/A</v>
      </c>
      <c r="BH100" s="2" t="e">
        <f t="shared" ca="1" si="42"/>
        <v>#N/A</v>
      </c>
      <c r="BI100" s="2" t="e">
        <f t="shared" ca="1" si="40"/>
        <v>#N/A</v>
      </c>
    </row>
    <row r="101" spans="1:61" ht="15" x14ac:dyDescent="0.25">
      <c r="A101" s="66">
        <v>35</v>
      </c>
      <c r="B101" s="66">
        <v>1498730137.904</v>
      </c>
      <c r="C101" s="67">
        <v>1.2754905379596E-5</v>
      </c>
      <c r="D101" s="67">
        <v>1.5522969953252801E-6</v>
      </c>
      <c r="E101" s="67">
        <v>8.5031665789406003E-4</v>
      </c>
      <c r="F101" s="67">
        <v>1.8007380344022901E-5</v>
      </c>
      <c r="G101" s="67">
        <v>1.91479701396367E-5</v>
      </c>
      <c r="H101" s="67">
        <v>1.1569648700364499E-3</v>
      </c>
      <c r="I101" s="67">
        <v>1.5522969953252801E-6</v>
      </c>
      <c r="J101" s="67">
        <v>6.7954966790897498E-4</v>
      </c>
      <c r="K101" s="67">
        <v>7.0959513081661502E-3</v>
      </c>
      <c r="L101" s="67"/>
      <c r="M101" s="67"/>
      <c r="O101" s="11">
        <f t="shared" ca="1" si="0"/>
        <v>-4.9025330364027718E-8</v>
      </c>
      <c r="P101" s="11">
        <f t="shared" ca="1" si="1"/>
        <v>7.8719676502053967E-7</v>
      </c>
      <c r="Q101" s="11">
        <f t="shared" ca="1" si="2"/>
        <v>1.3825045625776131E-5</v>
      </c>
      <c r="R101" s="11">
        <f t="shared" ca="1" si="3"/>
        <v>6.3608926976757769E-6</v>
      </c>
      <c r="S101" s="11">
        <f t="shared" ca="1" si="4"/>
        <v>8.2203180926665775E-6</v>
      </c>
      <c r="T101" s="11">
        <f t="shared" ca="1" si="5"/>
        <v>1.8409831454147766E-5</v>
      </c>
      <c r="U101" s="11">
        <f t="shared" ca="1" si="6"/>
        <v>7.8719676502053967E-7</v>
      </c>
      <c r="V101" s="11">
        <f t="shared" ca="1" si="7"/>
        <v>2.9353662215200619E-5</v>
      </c>
      <c r="W101" s="11">
        <f t="shared" ca="1" si="8"/>
        <v>-2.6896955338837764E-5</v>
      </c>
      <c r="X101" s="11"/>
      <c r="Y101" s="2">
        <f t="shared" ca="1" si="9"/>
        <v>-4.9025330364027718E-8</v>
      </c>
      <c r="Z101" s="11">
        <f t="shared" ca="1" si="10"/>
        <v>7.8719676502053967E-7</v>
      </c>
      <c r="AA101" s="2">
        <f t="shared" ca="1" si="11"/>
        <v>1.3819022981458268E-5</v>
      </c>
      <c r="AB101" s="2">
        <f t="shared" ca="1" si="12"/>
        <v>6.2151173295275284E-6</v>
      </c>
      <c r="AC101" s="2">
        <f t="shared" ca="1" si="13"/>
        <v>8.2203180926665775E-6</v>
      </c>
      <c r="AD101" s="2">
        <f t="shared" ca="1" si="14"/>
        <v>1.7349709175924117E-5</v>
      </c>
      <c r="AE101" s="2">
        <f t="shared" ca="1" si="15"/>
        <v>7.8719676502053967E-7</v>
      </c>
      <c r="AF101" s="2">
        <f t="shared" ca="1" si="16"/>
        <v>2.7788116888256397E-5</v>
      </c>
      <c r="AG101" s="2">
        <f t="shared" ca="1" si="17"/>
        <v>-2.753221721311224E-5</v>
      </c>
      <c r="AI101" s="2">
        <f t="shared" ca="1" si="18"/>
        <v>-4.9025330364027718E-8</v>
      </c>
      <c r="AJ101" s="11">
        <f t="shared" ca="1" si="19"/>
        <v>7.8719676502053967E-7</v>
      </c>
      <c r="AK101" s="2">
        <f t="shared" ca="1" si="20"/>
        <v>1.2890276450992193E-5</v>
      </c>
      <c r="AL101" s="2">
        <f t="shared" ca="1" si="21"/>
        <v>5.7804251592045153E-6</v>
      </c>
      <c r="AM101" s="2">
        <f t="shared" ca="1" si="22"/>
        <v>8.2203180926665775E-6</v>
      </c>
      <c r="AN101" s="2">
        <f t="shared" ca="1" si="23"/>
        <v>1.7349709175924117E-5</v>
      </c>
      <c r="AO101" s="2">
        <f t="shared" ca="1" si="24"/>
        <v>7.8719676502053967E-7</v>
      </c>
      <c r="AP101" s="2">
        <f t="shared" ca="1" si="25"/>
        <v>2.7788116888256397E-5</v>
      </c>
      <c r="AQ101" s="2">
        <f t="shared" ca="1" si="26"/>
        <v>-2.753221721311224E-5</v>
      </c>
      <c r="AS101" s="2" t="e">
        <f t="shared" ca="1" si="27"/>
        <v>#N/A</v>
      </c>
      <c r="AT101" s="2" t="e">
        <f t="shared" ca="1" si="28"/>
        <v>#N/A</v>
      </c>
      <c r="AU101" s="2" t="e">
        <f t="shared" ca="1" si="29"/>
        <v>#N/A</v>
      </c>
      <c r="AV101" s="2" t="e">
        <f t="shared" ca="1" si="30"/>
        <v>#N/A</v>
      </c>
      <c r="AW101" s="2" t="e">
        <f t="shared" ca="1" si="31"/>
        <v>#N/A</v>
      </c>
      <c r="AX101" s="2" t="e">
        <f t="shared" ca="1" si="32"/>
        <v>#N/A</v>
      </c>
      <c r="AY101" s="9" t="e">
        <f t="shared" ca="1" si="33"/>
        <v>#N/A</v>
      </c>
      <c r="AZ101" s="9" t="e">
        <f t="shared" ca="1" si="34"/>
        <v>#N/A</v>
      </c>
      <c r="BB101" s="2" t="e">
        <f t="shared" ca="1" si="35"/>
        <v>#N/A</v>
      </c>
      <c r="BC101" s="2" t="e">
        <f t="shared" ca="1" si="41"/>
        <v>#N/A</v>
      </c>
      <c r="BD101" s="2" t="e">
        <f t="shared" ca="1" si="36"/>
        <v>#N/A</v>
      </c>
      <c r="BE101" s="2" t="e">
        <f t="shared" ca="1" si="37"/>
        <v>#N/A</v>
      </c>
      <c r="BF101" s="2" t="e">
        <f t="shared" ca="1" si="38"/>
        <v>#N/A</v>
      </c>
      <c r="BG101" s="2" t="e">
        <f t="shared" ca="1" si="39"/>
        <v>#N/A</v>
      </c>
      <c r="BH101" s="2" t="e">
        <f t="shared" ca="1" si="42"/>
        <v>#N/A</v>
      </c>
      <c r="BI101" s="2" t="e">
        <f t="shared" ca="1" si="40"/>
        <v>#N/A</v>
      </c>
    </row>
    <row r="102" spans="1:61" ht="15" x14ac:dyDescent="0.25">
      <c r="A102" s="66">
        <v>36</v>
      </c>
      <c r="B102" s="66">
        <v>1498730138.431</v>
      </c>
      <c r="C102" s="67">
        <v>1.32527669717009E-4</v>
      </c>
      <c r="D102" s="67">
        <v>3.9236253314698497E-5</v>
      </c>
      <c r="E102" s="67">
        <v>8.4145668660957104E-4</v>
      </c>
      <c r="F102" s="67">
        <v>1.0057580280286601E-4</v>
      </c>
      <c r="G102" s="67">
        <v>5.1432962178404901E-5</v>
      </c>
      <c r="H102" s="67">
        <v>1.0775698007955701E-3</v>
      </c>
      <c r="I102" s="67">
        <v>3.9236253314698497E-5</v>
      </c>
      <c r="J102" s="67">
        <v>7.2586373782428798E-4</v>
      </c>
      <c r="K102" s="67">
        <v>7.1100404544391102E-3</v>
      </c>
      <c r="L102" s="67"/>
      <c r="M102" s="67"/>
      <c r="O102" s="11">
        <f t="shared" ca="1" si="0"/>
        <v>1.1972373900704896E-4</v>
      </c>
      <c r="P102" s="11">
        <f t="shared" ca="1" si="1"/>
        <v>3.8471153084393758E-5</v>
      </c>
      <c r="Q102" s="11">
        <f t="shared" ca="1" si="2"/>
        <v>4.9650743412871451E-6</v>
      </c>
      <c r="R102" s="11">
        <f t="shared" ca="1" si="3"/>
        <v>8.8929315156518885E-5</v>
      </c>
      <c r="S102" s="11">
        <f t="shared" ca="1" si="4"/>
        <v>4.0505310131434781E-5</v>
      </c>
      <c r="T102" s="11">
        <f t="shared" ca="1" si="5"/>
        <v>-6.098523778673209E-5</v>
      </c>
      <c r="U102" s="11">
        <f t="shared" ca="1" si="6"/>
        <v>3.8471153084393758E-5</v>
      </c>
      <c r="V102" s="11">
        <f t="shared" ca="1" si="7"/>
        <v>7.5667732130513623E-5</v>
      </c>
      <c r="W102" s="11">
        <f t="shared" ca="1" si="8"/>
        <v>-1.2807809065877758E-5</v>
      </c>
      <c r="X102" s="11"/>
      <c r="Y102" s="2">
        <f t="shared" ca="1" si="9"/>
        <v>1.1972373900704896E-4</v>
      </c>
      <c r="Z102" s="11">
        <f t="shared" ca="1" si="10"/>
        <v>3.8471153084393758E-5</v>
      </c>
      <c r="AA102" s="2">
        <f t="shared" ca="1" si="11"/>
        <v>4.6707412319288074E-6</v>
      </c>
      <c r="AB102" s="2">
        <f t="shared" ca="1" si="12"/>
        <v>8.1805116032277299E-5</v>
      </c>
      <c r="AC102" s="2">
        <f t="shared" ca="1" si="13"/>
        <v>4.0505310131434781E-5</v>
      </c>
      <c r="AD102" s="2">
        <f t="shared" ca="1" si="14"/>
        <v>-1.1279455442264857E-4</v>
      </c>
      <c r="AE102" s="2">
        <f t="shared" ca="1" si="15"/>
        <v>3.8471153084393758E-5</v>
      </c>
      <c r="AF102" s="2">
        <f t="shared" ca="1" si="16"/>
        <v>-8.4215283053151778E-7</v>
      </c>
      <c r="AG102" s="2">
        <f t="shared" ca="1" si="17"/>
        <v>-4.3853740527822543E-5</v>
      </c>
      <c r="AI102" s="2">
        <f t="shared" ca="1" si="18"/>
        <v>1.1972373900704896E-4</v>
      </c>
      <c r="AJ102" s="11">
        <f t="shared" ca="1" si="19"/>
        <v>3.8471153084393758E-5</v>
      </c>
      <c r="AK102" s="2">
        <f t="shared" ca="1" si="20"/>
        <v>-4.0718101225049141E-5</v>
      </c>
      <c r="AL102" s="2">
        <f t="shared" ca="1" si="21"/>
        <v>6.0561241854710458E-5</v>
      </c>
      <c r="AM102" s="2">
        <f t="shared" ca="1" si="22"/>
        <v>4.0505310131434781E-5</v>
      </c>
      <c r="AN102" s="2">
        <f t="shared" ca="1" si="23"/>
        <v>-1.1279455442264857E-4</v>
      </c>
      <c r="AO102" s="2">
        <f t="shared" ca="1" si="24"/>
        <v>3.8471153084393758E-5</v>
      </c>
      <c r="AP102" s="2">
        <f t="shared" ca="1" si="25"/>
        <v>-8.4215283053151778E-7</v>
      </c>
      <c r="AQ102" s="2">
        <f t="shared" ca="1" si="26"/>
        <v>-4.3853740527822543E-5</v>
      </c>
      <c r="AS102" s="2" t="e">
        <f t="shared" ca="1" si="27"/>
        <v>#N/A</v>
      </c>
      <c r="AT102" s="2" t="e">
        <f t="shared" ca="1" si="28"/>
        <v>#N/A</v>
      </c>
      <c r="AU102" s="2" t="e">
        <f t="shared" ca="1" si="29"/>
        <v>#N/A</v>
      </c>
      <c r="AV102" s="2" t="e">
        <f t="shared" ca="1" si="30"/>
        <v>#N/A</v>
      </c>
      <c r="AW102" s="2" t="e">
        <f t="shared" ca="1" si="31"/>
        <v>#N/A</v>
      </c>
      <c r="AX102" s="2" t="e">
        <f t="shared" ca="1" si="32"/>
        <v>#N/A</v>
      </c>
      <c r="AY102" s="9" t="e">
        <f t="shared" ca="1" si="33"/>
        <v>#N/A</v>
      </c>
      <c r="AZ102" s="9" t="e">
        <f t="shared" ca="1" si="34"/>
        <v>#N/A</v>
      </c>
      <c r="BB102" s="2" t="e">
        <f t="shared" ca="1" si="35"/>
        <v>#N/A</v>
      </c>
      <c r="BC102" s="2" t="e">
        <f t="shared" ca="1" si="41"/>
        <v>#N/A</v>
      </c>
      <c r="BD102" s="2" t="e">
        <f t="shared" ca="1" si="36"/>
        <v>#N/A</v>
      </c>
      <c r="BE102" s="2" t="e">
        <f t="shared" ca="1" si="37"/>
        <v>#N/A</v>
      </c>
      <c r="BF102" s="2" t="e">
        <f t="shared" ca="1" si="38"/>
        <v>#N/A</v>
      </c>
      <c r="BG102" s="2" t="e">
        <f t="shared" ca="1" si="39"/>
        <v>#N/A</v>
      </c>
      <c r="BH102" s="2" t="e">
        <f t="shared" ca="1" si="42"/>
        <v>#N/A</v>
      </c>
      <c r="BI102" s="2" t="e">
        <f t="shared" ca="1" si="40"/>
        <v>#N/A</v>
      </c>
    </row>
    <row r="103" spans="1:61" ht="15" x14ac:dyDescent="0.25">
      <c r="A103" s="66">
        <v>37</v>
      </c>
      <c r="B103" s="66">
        <v>1498730138.9579999</v>
      </c>
      <c r="C103" s="67">
        <v>-3.70870931337476E-5</v>
      </c>
      <c r="D103" s="67">
        <v>-3.1418278663356302E-5</v>
      </c>
      <c r="E103" s="67">
        <v>7.92129625196458E-4</v>
      </c>
      <c r="F103" s="67">
        <v>3.9898054982785499E-5</v>
      </c>
      <c r="G103" s="67">
        <v>6.9946836354177494E-5</v>
      </c>
      <c r="H103" s="67">
        <v>1.0759009029995899E-3</v>
      </c>
      <c r="I103" s="67">
        <v>-3.1418278663356302E-5</v>
      </c>
      <c r="J103" s="67">
        <v>6.4819982530857204E-4</v>
      </c>
      <c r="K103" s="67">
        <v>7.0071226045782097E-3</v>
      </c>
      <c r="L103" s="67"/>
      <c r="M103" s="67"/>
      <c r="O103" s="11">
        <f t="shared" ca="1" si="0"/>
        <v>-4.9891023843707628E-5</v>
      </c>
      <c r="P103" s="11">
        <f t="shared" ca="1" si="1"/>
        <v>-3.2183378893661041E-5</v>
      </c>
      <c r="Q103" s="11">
        <f t="shared" ca="1" si="2"/>
        <v>-4.4361987071825891E-5</v>
      </c>
      <c r="R103" s="11">
        <f t="shared" ca="1" si="3"/>
        <v>2.8251567336438375E-5</v>
      </c>
      <c r="S103" s="11">
        <f t="shared" ca="1" si="4"/>
        <v>5.9019184307207373E-5</v>
      </c>
      <c r="T103" s="11">
        <f t="shared" ca="1" si="5"/>
        <v>-6.2654135582712253E-5</v>
      </c>
      <c r="U103" s="11">
        <f t="shared" ca="1" si="6"/>
        <v>-3.2183378893661041E-5</v>
      </c>
      <c r="V103" s="11">
        <f t="shared" ca="1" si="7"/>
        <v>-1.9961803852023121E-6</v>
      </c>
      <c r="W103" s="11">
        <f t="shared" ca="1" si="8"/>
        <v>-1.1572565892677827E-4</v>
      </c>
      <c r="X103" s="11"/>
      <c r="Y103" s="2">
        <f t="shared" ca="1" si="9"/>
        <v>-4.9891023843707628E-5</v>
      </c>
      <c r="Z103" s="11">
        <f t="shared" ca="1" si="10"/>
        <v>-3.2183378893661041E-5</v>
      </c>
      <c r="AA103" s="2">
        <f t="shared" ca="1" si="11"/>
        <v>-4.4361987071825891E-5</v>
      </c>
      <c r="AB103" s="2">
        <f t="shared" ca="1" si="12"/>
        <v>2.8251567336438375E-5</v>
      </c>
      <c r="AC103" s="2">
        <f t="shared" ca="1" si="13"/>
        <v>5.9019184307207373E-5</v>
      </c>
      <c r="AD103" s="2">
        <f t="shared" ca="1" si="14"/>
        <v>-6.2654135582712253E-5</v>
      </c>
      <c r="AE103" s="2">
        <f t="shared" ca="1" si="15"/>
        <v>-3.2183378893661041E-5</v>
      </c>
      <c r="AF103" s="2">
        <f t="shared" ca="1" si="16"/>
        <v>-1.9961803852023121E-6</v>
      </c>
      <c r="AG103" s="2">
        <f t="shared" ca="1" si="17"/>
        <v>-1.1572565892677827E-4</v>
      </c>
      <c r="AI103" s="2">
        <f t="shared" ca="1" si="18"/>
        <v>-4.9891023843707628E-5</v>
      </c>
      <c r="AJ103" s="11">
        <f t="shared" ca="1" si="19"/>
        <v>-3.2183378893661041E-5</v>
      </c>
      <c r="AK103" s="2">
        <f t="shared" ca="1" si="20"/>
        <v>-4.4361987071825891E-5</v>
      </c>
      <c r="AL103" s="2">
        <f t="shared" ca="1" si="21"/>
        <v>2.8251567336438375E-5</v>
      </c>
      <c r="AM103" s="2">
        <f t="shared" ca="1" si="22"/>
        <v>5.9019184307207373E-5</v>
      </c>
      <c r="AN103" s="2">
        <f t="shared" ca="1" si="23"/>
        <v>-6.2654135582712253E-5</v>
      </c>
      <c r="AO103" s="2">
        <f t="shared" ca="1" si="24"/>
        <v>-3.2183378893661041E-5</v>
      </c>
      <c r="AP103" s="2">
        <f t="shared" ca="1" si="25"/>
        <v>-1.9961803852023121E-6</v>
      </c>
      <c r="AQ103" s="2">
        <f t="shared" ca="1" si="26"/>
        <v>-1.1572565892677827E-4</v>
      </c>
      <c r="AS103" s="2" t="e">
        <f t="shared" ca="1" si="27"/>
        <v>#N/A</v>
      </c>
      <c r="AT103" s="2" t="e">
        <f t="shared" ca="1" si="28"/>
        <v>#N/A</v>
      </c>
      <c r="AU103" s="2" t="e">
        <f t="shared" ca="1" si="29"/>
        <v>#N/A</v>
      </c>
      <c r="AV103" s="2" t="e">
        <f t="shared" ca="1" si="30"/>
        <v>#N/A</v>
      </c>
      <c r="AW103" s="2" t="e">
        <f t="shared" ca="1" si="31"/>
        <v>#N/A</v>
      </c>
      <c r="AX103" s="2" t="e">
        <f t="shared" ca="1" si="32"/>
        <v>#N/A</v>
      </c>
      <c r="AY103" s="9" t="e">
        <f t="shared" ca="1" si="33"/>
        <v>#N/A</v>
      </c>
      <c r="AZ103" s="9" t="e">
        <f t="shared" ca="1" si="34"/>
        <v>#N/A</v>
      </c>
      <c r="BB103" s="2" t="e">
        <f t="shared" ca="1" si="35"/>
        <v>#N/A</v>
      </c>
      <c r="BC103" s="2" t="e">
        <f t="shared" ca="1" si="41"/>
        <v>#N/A</v>
      </c>
      <c r="BD103" s="2" t="e">
        <f t="shared" ca="1" si="36"/>
        <v>#N/A</v>
      </c>
      <c r="BE103" s="2" t="e">
        <f t="shared" ca="1" si="37"/>
        <v>#N/A</v>
      </c>
      <c r="BF103" s="2" t="e">
        <f t="shared" ca="1" si="38"/>
        <v>#N/A</v>
      </c>
      <c r="BG103" s="2" t="e">
        <f t="shared" ca="1" si="39"/>
        <v>#N/A</v>
      </c>
      <c r="BH103" s="2" t="e">
        <f t="shared" ca="1" si="42"/>
        <v>#N/A</v>
      </c>
      <c r="BI103" s="2" t="e">
        <f t="shared" ca="1" si="40"/>
        <v>#N/A</v>
      </c>
    </row>
    <row r="104" spans="1:61" ht="15" x14ac:dyDescent="0.25">
      <c r="A104" s="66">
        <v>38</v>
      </c>
      <c r="B104" s="66">
        <v>1498730139.4849999</v>
      </c>
      <c r="C104" s="67">
        <v>3.8267418452135801E-5</v>
      </c>
      <c r="D104" s="67">
        <v>3.0034858359413697E-7</v>
      </c>
      <c r="E104" s="67">
        <v>9.5089477834044698E-4</v>
      </c>
      <c r="F104" s="67">
        <v>-4.5996296162286398E-5</v>
      </c>
      <c r="G104" s="67">
        <v>4.0340430716112201E-5</v>
      </c>
      <c r="H104" s="67">
        <v>1.2034604037632899E-3</v>
      </c>
      <c r="I104" s="67">
        <v>3.0034858359413697E-7</v>
      </c>
      <c r="J104" s="67">
        <v>5.9096515350442102E-4</v>
      </c>
      <c r="K104" s="67">
        <v>7.1195925305886998E-3</v>
      </c>
      <c r="L104" s="67"/>
      <c r="M104" s="67"/>
      <c r="O104" s="11">
        <f t="shared" ca="1" si="0"/>
        <v>2.5463487742175773E-5</v>
      </c>
      <c r="P104" s="11">
        <f t="shared" ca="1" si="1"/>
        <v>-4.6475164671060343E-7</v>
      </c>
      <c r="Q104" s="11">
        <f t="shared" ca="1" si="2"/>
        <v>1.1440316607216308E-4</v>
      </c>
      <c r="R104" s="11">
        <f t="shared" ca="1" si="3"/>
        <v>-5.7642783808633518E-5</v>
      </c>
      <c r="S104" s="11">
        <f t="shared" ca="1" si="4"/>
        <v>2.941277866914208E-5</v>
      </c>
      <c r="T104" s="11">
        <f t="shared" ca="1" si="5"/>
        <v>6.4905365180987747E-5</v>
      </c>
      <c r="U104" s="11">
        <f t="shared" ca="1" si="6"/>
        <v>-4.6475164671060343E-7</v>
      </c>
      <c r="V104" s="11">
        <f t="shared" ca="1" si="7"/>
        <v>-5.9230852189353332E-5</v>
      </c>
      <c r="W104" s="11">
        <f t="shared" ca="1" si="8"/>
        <v>-3.2557329162881746E-6</v>
      </c>
      <c r="X104" s="11"/>
      <c r="Y104" s="2">
        <f t="shared" ca="1" si="9"/>
        <v>2.5463487742175773E-5</v>
      </c>
      <c r="Z104" s="11">
        <f t="shared" ca="1" si="10"/>
        <v>-4.6475164671060343E-7</v>
      </c>
      <c r="AA104" s="2">
        <f t="shared" ca="1" si="11"/>
        <v>1.1440316607216308E-4</v>
      </c>
      <c r="AB104" s="2">
        <f t="shared" ca="1" si="12"/>
        <v>-5.7642783808633518E-5</v>
      </c>
      <c r="AC104" s="2">
        <f t="shared" ca="1" si="13"/>
        <v>2.941277866914208E-5</v>
      </c>
      <c r="AD104" s="2">
        <f t="shared" ca="1" si="14"/>
        <v>6.4905365180987747E-5</v>
      </c>
      <c r="AE104" s="2">
        <f t="shared" ca="1" si="15"/>
        <v>-4.6475164671060343E-7</v>
      </c>
      <c r="AF104" s="2">
        <f t="shared" ca="1" si="16"/>
        <v>-5.9230852189353332E-5</v>
      </c>
      <c r="AG104" s="2">
        <f t="shared" ca="1" si="17"/>
        <v>-3.2557329162881746E-6</v>
      </c>
      <c r="AI104" s="2">
        <f t="shared" ca="1" si="18"/>
        <v>2.5463487742175773E-5</v>
      </c>
      <c r="AJ104" s="11">
        <f t="shared" ca="1" si="19"/>
        <v>-4.6475164671060343E-7</v>
      </c>
      <c r="AK104" s="2">
        <f t="shared" ca="1" si="20"/>
        <v>1.1440316607216308E-4</v>
      </c>
      <c r="AL104" s="2">
        <f t="shared" ca="1" si="21"/>
        <v>-5.7642783808633518E-5</v>
      </c>
      <c r="AM104" s="2">
        <f t="shared" ca="1" si="22"/>
        <v>2.941277866914208E-5</v>
      </c>
      <c r="AN104" s="2">
        <f t="shared" ca="1" si="23"/>
        <v>6.4905365180987747E-5</v>
      </c>
      <c r="AO104" s="2">
        <f t="shared" ca="1" si="24"/>
        <v>-4.6475164671060343E-7</v>
      </c>
      <c r="AP104" s="2">
        <f t="shared" ca="1" si="25"/>
        <v>-5.9230852189353332E-5</v>
      </c>
      <c r="AQ104" s="2">
        <f t="shared" ca="1" si="26"/>
        <v>-3.2557329162881746E-6</v>
      </c>
      <c r="AS104" s="2" t="e">
        <f t="shared" ca="1" si="27"/>
        <v>#N/A</v>
      </c>
      <c r="AT104" s="2" t="e">
        <f t="shared" ca="1" si="28"/>
        <v>#N/A</v>
      </c>
      <c r="AU104" s="2" t="e">
        <f t="shared" ca="1" si="29"/>
        <v>#N/A</v>
      </c>
      <c r="AV104" s="2" t="e">
        <f t="shared" ca="1" si="30"/>
        <v>#N/A</v>
      </c>
      <c r="AW104" s="2" t="e">
        <f t="shared" ca="1" si="31"/>
        <v>#N/A</v>
      </c>
      <c r="AX104" s="2" t="e">
        <f t="shared" ca="1" si="32"/>
        <v>#N/A</v>
      </c>
      <c r="AY104" s="9" t="e">
        <f t="shared" ca="1" si="33"/>
        <v>#N/A</v>
      </c>
      <c r="AZ104" s="9" t="e">
        <f t="shared" ca="1" si="34"/>
        <v>#N/A</v>
      </c>
      <c r="BB104" s="2" t="e">
        <f t="shared" ca="1" si="35"/>
        <v>#N/A</v>
      </c>
      <c r="BC104" s="2" t="e">
        <f t="shared" ca="1" si="41"/>
        <v>#N/A</v>
      </c>
      <c r="BD104" s="2" t="e">
        <f t="shared" ca="1" si="36"/>
        <v>#N/A</v>
      </c>
      <c r="BE104" s="2" t="e">
        <f t="shared" ca="1" si="37"/>
        <v>#N/A</v>
      </c>
      <c r="BF104" s="2" t="e">
        <f t="shared" ca="1" si="38"/>
        <v>#N/A</v>
      </c>
      <c r="BG104" s="2" t="e">
        <f t="shared" ca="1" si="39"/>
        <v>#N/A</v>
      </c>
      <c r="BH104" s="2" t="e">
        <f t="shared" ca="1" si="42"/>
        <v>#N/A</v>
      </c>
      <c r="BI104" s="2" t="e">
        <f t="shared" ca="1" si="40"/>
        <v>#N/A</v>
      </c>
    </row>
    <row r="105" spans="1:61" ht="15" x14ac:dyDescent="0.25">
      <c r="A105" s="66">
        <v>39</v>
      </c>
      <c r="B105" s="66">
        <v>1498730140.0120001</v>
      </c>
      <c r="C105" s="67">
        <v>-4.0394056591394697E-5</v>
      </c>
      <c r="D105" s="67">
        <v>2.2294421290475399E-5</v>
      </c>
      <c r="E105" s="67">
        <v>8.3666754544899004E-4</v>
      </c>
      <c r="F105" s="67">
        <v>-1.67311835762377E-5</v>
      </c>
      <c r="G105" s="67">
        <v>-5.6001549782086598E-5</v>
      </c>
      <c r="H105" s="67">
        <v>1.21371355586594E-3</v>
      </c>
      <c r="I105" s="67">
        <v>2.2294421290475399E-5</v>
      </c>
      <c r="J105" s="67">
        <v>5.9547731131802395E-4</v>
      </c>
      <c r="K105" s="67">
        <v>7.0935633368875003E-3</v>
      </c>
      <c r="L105" s="67"/>
      <c r="M105" s="67"/>
      <c r="O105" s="11">
        <f t="shared" ca="1" si="0"/>
        <v>-5.3197987301354725E-5</v>
      </c>
      <c r="P105" s="11">
        <f t="shared" ca="1" si="1"/>
        <v>2.1529321060170657E-5</v>
      </c>
      <c r="Q105" s="11">
        <f t="shared" ca="1" si="2"/>
        <v>1.7593318070614761E-7</v>
      </c>
      <c r="R105" s="11">
        <f t="shared" ca="1" si="3"/>
        <v>-2.8377671222584824E-5</v>
      </c>
      <c r="S105" s="11">
        <f t="shared" ca="1" si="4"/>
        <v>-6.6929201829056718E-5</v>
      </c>
      <c r="T105" s="11">
        <f t="shared" ca="1" si="5"/>
        <v>7.5158517283637882E-5</v>
      </c>
      <c r="U105" s="11">
        <f t="shared" ca="1" si="6"/>
        <v>2.1529321060170657E-5</v>
      </c>
      <c r="V105" s="11">
        <f t="shared" ca="1" si="7"/>
        <v>-5.4718694375750407E-5</v>
      </c>
      <c r="W105" s="11">
        <f t="shared" ca="1" si="8"/>
        <v>-2.9284926617487682E-5</v>
      </c>
      <c r="X105" s="11"/>
      <c r="Y105" s="2">
        <f t="shared" ca="1" si="9"/>
        <v>-5.3197987301354725E-5</v>
      </c>
      <c r="Z105" s="11">
        <f t="shared" ca="1" si="10"/>
        <v>2.1529321060170657E-5</v>
      </c>
      <c r="AA105" s="2">
        <f t="shared" ca="1" si="11"/>
        <v>1.1217764037637094E-8</v>
      </c>
      <c r="AB105" s="2">
        <f t="shared" ca="1" si="12"/>
        <v>-3.2364533012402177E-5</v>
      </c>
      <c r="AC105" s="2">
        <f t="shared" ca="1" si="13"/>
        <v>-6.6929201829056718E-5</v>
      </c>
      <c r="AD105" s="2">
        <f t="shared" ca="1" si="14"/>
        <v>4.6164860417783022E-5</v>
      </c>
      <c r="AE105" s="2">
        <f t="shared" ca="1" si="15"/>
        <v>2.1529321060170657E-5</v>
      </c>
      <c r="AF105" s="2">
        <f t="shared" ca="1" si="16"/>
        <v>-9.7535343879070612E-5</v>
      </c>
      <c r="AG105" s="2">
        <f t="shared" ca="1" si="17"/>
        <v>-4.6658926938975459E-5</v>
      </c>
      <c r="AI105" s="2">
        <f t="shared" ca="1" si="18"/>
        <v>-5.3197987301354725E-5</v>
      </c>
      <c r="AJ105" s="11">
        <f t="shared" ca="1" si="19"/>
        <v>2.1529321060170657E-5</v>
      </c>
      <c r="AK105" s="2">
        <f t="shared" ca="1" si="20"/>
        <v>-2.5389397592152232E-5</v>
      </c>
      <c r="AL105" s="2">
        <f t="shared" ca="1" si="21"/>
        <v>-4.4253081991617486E-5</v>
      </c>
      <c r="AM105" s="2">
        <f t="shared" ca="1" si="22"/>
        <v>-6.6929201829056718E-5</v>
      </c>
      <c r="AN105" s="2">
        <f t="shared" ca="1" si="23"/>
        <v>4.6164860417783022E-5</v>
      </c>
      <c r="AO105" s="2">
        <f t="shared" ca="1" si="24"/>
        <v>2.1529321060170657E-5</v>
      </c>
      <c r="AP105" s="2">
        <f t="shared" ca="1" si="25"/>
        <v>-9.7535343879070612E-5</v>
      </c>
      <c r="AQ105" s="2">
        <f t="shared" ca="1" si="26"/>
        <v>-4.6658926938975459E-5</v>
      </c>
      <c r="AS105" s="2" t="e">
        <f t="shared" ca="1" si="27"/>
        <v>#N/A</v>
      </c>
      <c r="AT105" s="2" t="e">
        <f t="shared" ca="1" si="28"/>
        <v>#N/A</v>
      </c>
      <c r="AU105" s="2" t="e">
        <f t="shared" ca="1" si="29"/>
        <v>#N/A</v>
      </c>
      <c r="AV105" s="2" t="e">
        <f t="shared" ca="1" si="30"/>
        <v>#N/A</v>
      </c>
      <c r="AW105" s="2" t="e">
        <f t="shared" ca="1" si="31"/>
        <v>#N/A</v>
      </c>
      <c r="AX105" s="2" t="e">
        <f t="shared" ca="1" si="32"/>
        <v>#N/A</v>
      </c>
      <c r="AY105" s="9" t="e">
        <f t="shared" ca="1" si="33"/>
        <v>#N/A</v>
      </c>
      <c r="AZ105" s="9" t="e">
        <f t="shared" ca="1" si="34"/>
        <v>#N/A</v>
      </c>
      <c r="BB105" s="2" t="e">
        <f t="shared" ca="1" si="35"/>
        <v>#N/A</v>
      </c>
      <c r="BC105" s="2" t="e">
        <f t="shared" ca="1" si="41"/>
        <v>#N/A</v>
      </c>
      <c r="BD105" s="2" t="e">
        <f t="shared" ca="1" si="36"/>
        <v>#N/A</v>
      </c>
      <c r="BE105" s="2" t="e">
        <f t="shared" ca="1" si="37"/>
        <v>#N/A</v>
      </c>
      <c r="BF105" s="2" t="e">
        <f t="shared" ca="1" si="38"/>
        <v>#N/A</v>
      </c>
      <c r="BG105" s="2" t="e">
        <f t="shared" ca="1" si="39"/>
        <v>#N/A</v>
      </c>
      <c r="BH105" s="2" t="e">
        <f t="shared" ca="1" si="42"/>
        <v>#N/A</v>
      </c>
      <c r="BI105" s="2" t="e">
        <f t="shared" ca="1" si="40"/>
        <v>#N/A</v>
      </c>
    </row>
    <row r="106" spans="1:61" ht="15" x14ac:dyDescent="0.25">
      <c r="A106" s="66">
        <v>40</v>
      </c>
      <c r="B106" s="66">
        <v>1498730140.539</v>
      </c>
      <c r="C106" s="67">
        <v>7.5828701012704705E-5</v>
      </c>
      <c r="D106" s="67">
        <v>-2.6341146181876399E-5</v>
      </c>
      <c r="E106" s="67">
        <v>8.7977063713032396E-4</v>
      </c>
      <c r="F106" s="67">
        <v>1.4676232791064199E-5</v>
      </c>
      <c r="G106" s="67">
        <v>7.7294714677959105E-6</v>
      </c>
      <c r="H106" s="67">
        <v>1.1593492038114001E-3</v>
      </c>
      <c r="I106" s="67">
        <v>-2.6341146181876399E-5</v>
      </c>
      <c r="J106" s="67">
        <v>6.4796233026021596E-4</v>
      </c>
      <c r="K106" s="67">
        <v>7.1367864969056199E-3</v>
      </c>
      <c r="L106" s="67"/>
      <c r="M106" s="67"/>
      <c r="O106" s="11">
        <f t="shared" ca="1" si="0"/>
        <v>6.3024770302744671E-5</v>
      </c>
      <c r="P106" s="11">
        <f t="shared" ca="1" si="1"/>
        <v>-2.7106246412181141E-5</v>
      </c>
      <c r="Q106" s="11">
        <f t="shared" ca="1" si="2"/>
        <v>4.327902486204007E-5</v>
      </c>
      <c r="R106" s="11">
        <f t="shared" ca="1" si="3"/>
        <v>3.0297451447170755E-6</v>
      </c>
      <c r="S106" s="11">
        <f t="shared" ca="1" si="4"/>
        <v>-3.1981805791742119E-6</v>
      </c>
      <c r="T106" s="11">
        <f t="shared" ca="1" si="5"/>
        <v>2.0794165229097959E-5</v>
      </c>
      <c r="U106" s="11">
        <f t="shared" ca="1" si="6"/>
        <v>-2.7106246412181141E-5</v>
      </c>
      <c r="V106" s="11">
        <f t="shared" ca="1" si="7"/>
        <v>-2.2336754335583985E-6</v>
      </c>
      <c r="W106" s="11">
        <f t="shared" ca="1" si="8"/>
        <v>1.3938233400631952E-5</v>
      </c>
      <c r="X106" s="11"/>
      <c r="Y106" s="2">
        <f t="shared" ca="1" si="9"/>
        <v>6.3024770302744671E-5</v>
      </c>
      <c r="Z106" s="11">
        <f t="shared" ca="1" si="10"/>
        <v>-2.7106246412181141E-5</v>
      </c>
      <c r="AA106" s="2">
        <f t="shared" ca="1" si="11"/>
        <v>4.327902486204007E-5</v>
      </c>
      <c r="AB106" s="2">
        <f t="shared" ca="1" si="12"/>
        <v>3.0297451447170755E-6</v>
      </c>
      <c r="AC106" s="2">
        <f t="shared" ca="1" si="13"/>
        <v>-3.1981805791742119E-6</v>
      </c>
      <c r="AD106" s="2">
        <f t="shared" ca="1" si="14"/>
        <v>2.0794165229097959E-5</v>
      </c>
      <c r="AE106" s="2">
        <f t="shared" ca="1" si="15"/>
        <v>-2.7106246412181141E-5</v>
      </c>
      <c r="AF106" s="2">
        <f t="shared" ca="1" si="16"/>
        <v>-2.2336754335583985E-6</v>
      </c>
      <c r="AG106" s="2">
        <f t="shared" ca="1" si="17"/>
        <v>1.3938233400631952E-5</v>
      </c>
      <c r="AI106" s="2">
        <f t="shared" ca="1" si="18"/>
        <v>6.3024770302744671E-5</v>
      </c>
      <c r="AJ106" s="11">
        <f t="shared" ca="1" si="19"/>
        <v>-2.7106246412181141E-5</v>
      </c>
      <c r="AK106" s="2">
        <f t="shared" ca="1" si="20"/>
        <v>4.327902486204007E-5</v>
      </c>
      <c r="AL106" s="2">
        <f t="shared" ca="1" si="21"/>
        <v>3.0297451447170755E-6</v>
      </c>
      <c r="AM106" s="2">
        <f t="shared" ca="1" si="22"/>
        <v>-3.1981805791742119E-6</v>
      </c>
      <c r="AN106" s="2">
        <f t="shared" ca="1" si="23"/>
        <v>2.0794165229097959E-5</v>
      </c>
      <c r="AO106" s="2">
        <f t="shared" ca="1" si="24"/>
        <v>-2.7106246412181141E-5</v>
      </c>
      <c r="AP106" s="2">
        <f t="shared" ca="1" si="25"/>
        <v>-2.2336754335583985E-6</v>
      </c>
      <c r="AQ106" s="2">
        <f t="shared" ca="1" si="26"/>
        <v>1.3938233400631952E-5</v>
      </c>
      <c r="AS106" s="2">
        <f t="shared" ca="1" si="27"/>
        <v>0.67029540484403405</v>
      </c>
      <c r="AT106" s="2">
        <f t="shared" ca="1" si="28"/>
        <v>2.9935014584575089E-2</v>
      </c>
      <c r="AU106" s="2">
        <f t="shared" ca="1" si="29"/>
        <v>9.0695465094651219E-8</v>
      </c>
      <c r="AV106" s="2">
        <f t="shared" ca="1" si="30"/>
        <v>-2.3243708986530495E-6</v>
      </c>
      <c r="AW106" s="2">
        <f t="shared" ca="1" si="31"/>
        <v>-0.39872137187561318</v>
      </c>
      <c r="AX106" s="2">
        <f t="shared" ca="1" si="32"/>
        <v>0.15707500886329726</v>
      </c>
      <c r="AY106" s="9" t="str">
        <f t="shared" ca="1" si="33"/>
        <v>rejected</v>
      </c>
      <c r="AZ106" s="9" t="e">
        <f t="shared" ca="1" si="34"/>
        <v>#N/A</v>
      </c>
      <c r="BB106" s="2">
        <f t="shared" ca="1" si="35"/>
        <v>0.67029540484403405</v>
      </c>
      <c r="BC106" s="2">
        <f t="shared" ca="1" si="41"/>
        <v>2.9935014584575089E-2</v>
      </c>
      <c r="BD106" s="2">
        <f t="shared" ca="1" si="36"/>
        <v>9.0695465094651219E-8</v>
      </c>
      <c r="BE106" s="2">
        <f t="shared" ca="1" si="37"/>
        <v>-2.3243708986530495E-6</v>
      </c>
      <c r="BF106" s="2">
        <f t="shared" ca="1" si="38"/>
        <v>-0.39872137187561318</v>
      </c>
      <c r="BG106" s="2">
        <f t="shared" ca="1" si="39"/>
        <v>0.15707500886329726</v>
      </c>
      <c r="BH106" s="2" t="str">
        <f t="shared" ca="1" si="42"/>
        <v>rejected</v>
      </c>
      <c r="BI106" s="2" t="e">
        <f t="shared" ca="1" si="40"/>
        <v>#N/A</v>
      </c>
    </row>
    <row r="107" spans="1:61" ht="15" x14ac:dyDescent="0.25">
      <c r="A107" s="66">
        <v>41</v>
      </c>
      <c r="B107" s="66">
        <v>1498730141.066</v>
      </c>
      <c r="C107" s="67">
        <v>1.0299655255646499E-4</v>
      </c>
      <c r="D107" s="67">
        <v>-1.8964283593290501E-6</v>
      </c>
      <c r="E107" s="67">
        <v>8.2684987738462399E-4</v>
      </c>
      <c r="F107" s="67">
        <v>2.30349630572875E-6</v>
      </c>
      <c r="G107" s="67">
        <v>8.7686661130984594E-5</v>
      </c>
      <c r="H107" s="67">
        <v>1.1450432864077099E-3</v>
      </c>
      <c r="I107" s="67">
        <v>-1.8964283593290501E-6</v>
      </c>
      <c r="J107" s="67">
        <v>6.7717464534834497E-4</v>
      </c>
      <c r="K107" s="67">
        <v>7.0553565696386197E-3</v>
      </c>
      <c r="L107" s="67"/>
      <c r="M107" s="67"/>
      <c r="O107" s="11">
        <f t="shared" ca="1" si="0"/>
        <v>9.019262184650496E-5</v>
      </c>
      <c r="P107" s="11">
        <f t="shared" ca="1" si="1"/>
        <v>-2.6615285896337904E-6</v>
      </c>
      <c r="Q107" s="11">
        <f t="shared" ca="1" si="2"/>
        <v>-9.6417348836599047E-6</v>
      </c>
      <c r="R107" s="11">
        <f t="shared" ca="1" si="3"/>
        <v>-9.3429913406183744E-6</v>
      </c>
      <c r="S107" s="11">
        <f t="shared" ca="1" si="4"/>
        <v>7.6759009084014467E-5</v>
      </c>
      <c r="T107" s="11">
        <f t="shared" ca="1" si="5"/>
        <v>6.4882478254077881E-6</v>
      </c>
      <c r="U107" s="11">
        <f t="shared" ca="1" si="6"/>
        <v>-2.6615285896337904E-6</v>
      </c>
      <c r="V107" s="11">
        <f t="shared" ca="1" si="7"/>
        <v>2.6978639654570615E-5</v>
      </c>
      <c r="W107" s="11">
        <f t="shared" ca="1" si="8"/>
        <v>-6.749169386636826E-5</v>
      </c>
      <c r="X107" s="11"/>
      <c r="Y107" s="2">
        <f t="shared" ca="1" si="9"/>
        <v>9.019262184650496E-5</v>
      </c>
      <c r="Z107" s="11">
        <f t="shared" ca="1" si="10"/>
        <v>-2.6615285896337904E-6</v>
      </c>
      <c r="AA107" s="2">
        <f t="shared" ca="1" si="11"/>
        <v>-9.6417348836599047E-6</v>
      </c>
      <c r="AB107" s="2">
        <f t="shared" ca="1" si="12"/>
        <v>-9.3429913406183744E-6</v>
      </c>
      <c r="AC107" s="2">
        <f t="shared" ca="1" si="13"/>
        <v>7.6759009084014467E-5</v>
      </c>
      <c r="AD107" s="2">
        <f t="shared" ca="1" si="14"/>
        <v>6.4882478254077881E-6</v>
      </c>
      <c r="AE107" s="2">
        <f t="shared" ca="1" si="15"/>
        <v>-2.6615285896337904E-6</v>
      </c>
      <c r="AF107" s="2">
        <f t="shared" ca="1" si="16"/>
        <v>2.6978639654570615E-5</v>
      </c>
      <c r="AG107" s="2">
        <f t="shared" ca="1" si="17"/>
        <v>-6.749169386636826E-5</v>
      </c>
      <c r="AI107" s="2">
        <f t="shared" ca="1" si="18"/>
        <v>9.019262184650496E-5</v>
      </c>
      <c r="AJ107" s="11">
        <f t="shared" ca="1" si="19"/>
        <v>-2.6615285896337904E-6</v>
      </c>
      <c r="AK107" s="2">
        <f t="shared" ca="1" si="20"/>
        <v>-9.6417348836599047E-6</v>
      </c>
      <c r="AL107" s="2">
        <f t="shared" ca="1" si="21"/>
        <v>-9.3429913406183744E-6</v>
      </c>
      <c r="AM107" s="2">
        <f t="shared" ca="1" si="22"/>
        <v>7.6759009084014467E-5</v>
      </c>
      <c r="AN107" s="2">
        <f t="shared" ca="1" si="23"/>
        <v>6.4882478254077881E-6</v>
      </c>
      <c r="AO107" s="2">
        <f t="shared" ca="1" si="24"/>
        <v>-2.6615285896337904E-6</v>
      </c>
      <c r="AP107" s="2">
        <f t="shared" ca="1" si="25"/>
        <v>2.6978639654570615E-5</v>
      </c>
      <c r="AQ107" s="2">
        <f t="shared" ca="1" si="26"/>
        <v>-6.749169386636826E-5</v>
      </c>
      <c r="AS107" s="2" t="e">
        <f t="shared" ca="1" si="27"/>
        <v>#N/A</v>
      </c>
      <c r="AT107" s="2" t="e">
        <f t="shared" ca="1" si="28"/>
        <v>#N/A</v>
      </c>
      <c r="AU107" s="2" t="e">
        <f t="shared" ca="1" si="29"/>
        <v>#N/A</v>
      </c>
      <c r="AV107" s="2" t="e">
        <f t="shared" ca="1" si="30"/>
        <v>#N/A</v>
      </c>
      <c r="AW107" s="2" t="e">
        <f t="shared" ca="1" si="31"/>
        <v>#N/A</v>
      </c>
      <c r="AX107" s="2" t="e">
        <f t="shared" ca="1" si="32"/>
        <v>#N/A</v>
      </c>
      <c r="AY107" s="9" t="e">
        <f t="shared" ca="1" si="33"/>
        <v>#N/A</v>
      </c>
      <c r="AZ107" s="9" t="e">
        <f t="shared" ca="1" si="34"/>
        <v>#N/A</v>
      </c>
      <c r="BB107" s="2" t="e">
        <f t="shared" ca="1" si="35"/>
        <v>#N/A</v>
      </c>
      <c r="BC107" s="2" t="e">
        <f t="shared" ca="1" si="41"/>
        <v>#N/A</v>
      </c>
      <c r="BD107" s="2" t="e">
        <f t="shared" ca="1" si="36"/>
        <v>#N/A</v>
      </c>
      <c r="BE107" s="2" t="e">
        <f t="shared" ca="1" si="37"/>
        <v>#N/A</v>
      </c>
      <c r="BF107" s="2" t="e">
        <f t="shared" ca="1" si="38"/>
        <v>#N/A</v>
      </c>
      <c r="BG107" s="2" t="e">
        <f t="shared" ca="1" si="39"/>
        <v>#N/A</v>
      </c>
      <c r="BH107" s="2" t="e">
        <f t="shared" ca="1" si="42"/>
        <v>#N/A</v>
      </c>
      <c r="BI107" s="2" t="e">
        <f t="shared" ca="1" si="40"/>
        <v>#N/A</v>
      </c>
    </row>
    <row r="108" spans="1:61" ht="15" x14ac:dyDescent="0.25">
      <c r="A108" s="66">
        <v>42</v>
      </c>
      <c r="B108" s="66">
        <v>1498730141.5929999</v>
      </c>
      <c r="C108" s="67">
        <v>5.1023920998069702E-5</v>
      </c>
      <c r="D108" s="67">
        <v>-3.2433673966602002E-5</v>
      </c>
      <c r="E108" s="67">
        <v>9.0826758459608197E-4</v>
      </c>
      <c r="F108" s="67">
        <v>6.5834366642728297E-5</v>
      </c>
      <c r="G108" s="67">
        <v>-5.0660829511190503E-5</v>
      </c>
      <c r="H108" s="67">
        <v>1.1514809239214401E-3</v>
      </c>
      <c r="I108" s="67">
        <v>-3.2433673966602002E-5</v>
      </c>
      <c r="J108" s="67">
        <v>7.1208804625928898E-4</v>
      </c>
      <c r="K108" s="67">
        <v>7.0942797276740896E-3</v>
      </c>
      <c r="L108" s="67"/>
      <c r="M108" s="67"/>
      <c r="O108" s="11">
        <f t="shared" ca="1" si="0"/>
        <v>3.8219990288109674E-5</v>
      </c>
      <c r="P108" s="11">
        <f t="shared" ca="1" si="1"/>
        <v>-3.3198774196906741E-5</v>
      </c>
      <c r="Q108" s="11">
        <f t="shared" ca="1" si="2"/>
        <v>7.177597232779808E-5</v>
      </c>
      <c r="R108" s="11">
        <f t="shared" ca="1" si="3"/>
        <v>5.4187878996381176E-5</v>
      </c>
      <c r="S108" s="11">
        <f t="shared" ca="1" si="4"/>
        <v>-6.1588481558160624E-5</v>
      </c>
      <c r="T108" s="11">
        <f t="shared" ca="1" si="5"/>
        <v>1.2925885339137941E-5</v>
      </c>
      <c r="U108" s="11">
        <f t="shared" ca="1" si="6"/>
        <v>-3.3198774196906741E-5</v>
      </c>
      <c r="V108" s="11">
        <f t="shared" ca="1" si="7"/>
        <v>6.1892040565514621E-5</v>
      </c>
      <c r="W108" s="11">
        <f t="shared" ca="1" si="8"/>
        <v>-2.8568535830898398E-5</v>
      </c>
      <c r="X108" s="11"/>
      <c r="Y108" s="2">
        <f t="shared" ca="1" si="9"/>
        <v>3.8219990288109674E-5</v>
      </c>
      <c r="Z108" s="11">
        <f t="shared" ca="1" si="10"/>
        <v>-3.3198774196906741E-5</v>
      </c>
      <c r="AA108" s="2">
        <f t="shared" ca="1" si="11"/>
        <v>7.177597232779808E-5</v>
      </c>
      <c r="AB108" s="2">
        <f t="shared" ca="1" si="12"/>
        <v>5.4187878996381176E-5</v>
      </c>
      <c r="AC108" s="2">
        <f t="shared" ca="1" si="13"/>
        <v>-6.1588481558160624E-5</v>
      </c>
      <c r="AD108" s="2">
        <f t="shared" ca="1" si="14"/>
        <v>1.2925885339137941E-5</v>
      </c>
      <c r="AE108" s="2">
        <f t="shared" ca="1" si="15"/>
        <v>-3.3198774196906741E-5</v>
      </c>
      <c r="AF108" s="2">
        <f t="shared" ca="1" si="16"/>
        <v>6.1892040565514621E-5</v>
      </c>
      <c r="AG108" s="2">
        <f t="shared" ca="1" si="17"/>
        <v>-2.8568535830898398E-5</v>
      </c>
      <c r="AI108" s="2">
        <f t="shared" ca="1" si="18"/>
        <v>3.8219990288109674E-5</v>
      </c>
      <c r="AJ108" s="11">
        <f t="shared" ca="1" si="19"/>
        <v>-3.3198774196906741E-5</v>
      </c>
      <c r="AK108" s="2">
        <f t="shared" ca="1" si="20"/>
        <v>7.177597232779808E-5</v>
      </c>
      <c r="AL108" s="2">
        <f t="shared" ca="1" si="21"/>
        <v>5.4187878996381176E-5</v>
      </c>
      <c r="AM108" s="2">
        <f t="shared" ca="1" si="22"/>
        <v>-6.1588481558160624E-5</v>
      </c>
      <c r="AN108" s="2">
        <f t="shared" ca="1" si="23"/>
        <v>1.2925885339137941E-5</v>
      </c>
      <c r="AO108" s="2">
        <f t="shared" ca="1" si="24"/>
        <v>-3.3198774196906741E-5</v>
      </c>
      <c r="AP108" s="2">
        <f t="shared" ca="1" si="25"/>
        <v>6.1892040565514621E-5</v>
      </c>
      <c r="AQ108" s="2">
        <f t="shared" ca="1" si="26"/>
        <v>-2.8568535830898398E-5</v>
      </c>
      <c r="AS108" s="2" t="e">
        <f t="shared" ca="1" si="27"/>
        <v>#N/A</v>
      </c>
      <c r="AT108" s="2" t="e">
        <f t="shared" ca="1" si="28"/>
        <v>#N/A</v>
      </c>
      <c r="AU108" s="2" t="e">
        <f t="shared" ca="1" si="29"/>
        <v>#N/A</v>
      </c>
      <c r="AV108" s="2" t="e">
        <f t="shared" ca="1" si="30"/>
        <v>#N/A</v>
      </c>
      <c r="AW108" s="2" t="e">
        <f t="shared" ca="1" si="31"/>
        <v>#N/A</v>
      </c>
      <c r="AX108" s="2" t="e">
        <f t="shared" ca="1" si="32"/>
        <v>#N/A</v>
      </c>
      <c r="AY108" s="9" t="e">
        <f t="shared" ca="1" si="33"/>
        <v>#N/A</v>
      </c>
      <c r="AZ108" s="9" t="e">
        <f t="shared" ca="1" si="34"/>
        <v>#N/A</v>
      </c>
      <c r="BB108" s="2" t="e">
        <f t="shared" ca="1" si="35"/>
        <v>#N/A</v>
      </c>
      <c r="BC108" s="2" t="e">
        <f t="shared" ca="1" si="41"/>
        <v>#N/A</v>
      </c>
      <c r="BD108" s="2" t="e">
        <f t="shared" ca="1" si="36"/>
        <v>#N/A</v>
      </c>
      <c r="BE108" s="2" t="e">
        <f t="shared" ca="1" si="37"/>
        <v>#N/A</v>
      </c>
      <c r="BF108" s="2" t="e">
        <f t="shared" ca="1" si="38"/>
        <v>#N/A</v>
      </c>
      <c r="BG108" s="2" t="e">
        <f t="shared" ca="1" si="39"/>
        <v>#N/A</v>
      </c>
      <c r="BH108" s="2" t="e">
        <f t="shared" ca="1" si="42"/>
        <v>#N/A</v>
      </c>
      <c r="BI108" s="2" t="e">
        <f t="shared" ca="1" si="40"/>
        <v>#N/A</v>
      </c>
    </row>
    <row r="109" spans="1:61" ht="15" x14ac:dyDescent="0.25">
      <c r="A109" s="66">
        <v>43</v>
      </c>
      <c r="B109" s="66">
        <v>1498730142.1199999</v>
      </c>
      <c r="C109" s="67">
        <v>3.0944315166230801E-5</v>
      </c>
      <c r="D109" s="67">
        <v>-6.6677547456872304E-6</v>
      </c>
      <c r="E109" s="67">
        <v>7.6722756199310395E-4</v>
      </c>
      <c r="F109" s="67">
        <v>-6.0985411942584902E-5</v>
      </c>
      <c r="G109" s="67">
        <v>-1.4632839791298999E-5</v>
      </c>
      <c r="H109" s="67">
        <v>1.06827169139041E-3</v>
      </c>
      <c r="I109" s="67">
        <v>-6.6677547456872304E-6</v>
      </c>
      <c r="J109" s="67">
        <v>5.6840467052101697E-4</v>
      </c>
      <c r="K109" s="67">
        <v>7.1064584493361E-3</v>
      </c>
      <c r="L109" s="67"/>
      <c r="M109" s="67"/>
      <c r="O109" s="11">
        <f t="shared" ca="1" si="0"/>
        <v>1.8140384456270773E-5</v>
      </c>
      <c r="P109" s="11">
        <f t="shared" ca="1" si="1"/>
        <v>-7.4328549759919707E-6</v>
      </c>
      <c r="Q109" s="11">
        <f t="shared" ca="1" si="2"/>
        <v>-6.926405027517994E-5</v>
      </c>
      <c r="R109" s="11">
        <f t="shared" ca="1" si="3"/>
        <v>-7.2631899588932022E-5</v>
      </c>
      <c r="S109" s="11">
        <f t="shared" ca="1" si="4"/>
        <v>-2.556049183826912E-5</v>
      </c>
      <c r="T109" s="11">
        <f t="shared" ca="1" si="5"/>
        <v>-7.0283347191892184E-5</v>
      </c>
      <c r="U109" s="11">
        <f t="shared" ca="1" si="6"/>
        <v>-7.4328549759919707E-6</v>
      </c>
      <c r="V109" s="11">
        <f t="shared" ca="1" si="7"/>
        <v>-8.1791335172757391E-5</v>
      </c>
      <c r="W109" s="11">
        <f t="shared" ca="1" si="8"/>
        <v>-1.6389814168888024E-5</v>
      </c>
      <c r="X109" s="11"/>
      <c r="Y109" s="2">
        <f t="shared" ca="1" si="9"/>
        <v>1.8140384456270773E-5</v>
      </c>
      <c r="Z109" s="11">
        <f t="shared" ca="1" si="10"/>
        <v>-7.4328549759919707E-6</v>
      </c>
      <c r="AA109" s="2">
        <f t="shared" ca="1" si="11"/>
        <v>-6.926405027517994E-5</v>
      </c>
      <c r="AB109" s="2">
        <f t="shared" ca="1" si="12"/>
        <v>-7.2631899588932022E-5</v>
      </c>
      <c r="AC109" s="2">
        <f t="shared" ca="1" si="13"/>
        <v>-2.556049183826912E-5</v>
      </c>
      <c r="AD109" s="2">
        <f t="shared" ca="1" si="14"/>
        <v>-7.0283347191892184E-5</v>
      </c>
      <c r="AE109" s="2">
        <f t="shared" ca="1" si="15"/>
        <v>-7.4328549759919707E-6</v>
      </c>
      <c r="AF109" s="2">
        <f t="shared" ca="1" si="16"/>
        <v>-8.1791335172757391E-5</v>
      </c>
      <c r="AG109" s="2">
        <f t="shared" ca="1" si="17"/>
        <v>-1.6389814168888024E-5</v>
      </c>
      <c r="AI109" s="2">
        <f t="shared" ca="1" si="18"/>
        <v>1.8140384456270773E-5</v>
      </c>
      <c r="AJ109" s="11">
        <f t="shared" ca="1" si="19"/>
        <v>-7.4328549759919707E-6</v>
      </c>
      <c r="AK109" s="2">
        <f t="shared" ca="1" si="20"/>
        <v>-6.926405027517994E-5</v>
      </c>
      <c r="AL109" s="2">
        <f t="shared" ca="1" si="21"/>
        <v>-7.2631899588932022E-5</v>
      </c>
      <c r="AM109" s="2">
        <f t="shared" ca="1" si="22"/>
        <v>-2.556049183826912E-5</v>
      </c>
      <c r="AN109" s="2">
        <f t="shared" ca="1" si="23"/>
        <v>-7.0283347191892184E-5</v>
      </c>
      <c r="AO109" s="2">
        <f t="shared" ca="1" si="24"/>
        <v>-7.4328549759919707E-6</v>
      </c>
      <c r="AP109" s="2">
        <f t="shared" ca="1" si="25"/>
        <v>-8.1791335172757391E-5</v>
      </c>
      <c r="AQ109" s="2">
        <f t="shared" ca="1" si="26"/>
        <v>-1.6389814168888024E-5</v>
      </c>
      <c r="AS109" s="2" t="e">
        <f t="shared" ca="1" si="27"/>
        <v>#N/A</v>
      </c>
      <c r="AT109" s="2" t="e">
        <f t="shared" ca="1" si="28"/>
        <v>#N/A</v>
      </c>
      <c r="AU109" s="2" t="e">
        <f t="shared" ca="1" si="29"/>
        <v>#N/A</v>
      </c>
      <c r="AV109" s="2" t="e">
        <f t="shared" ca="1" si="30"/>
        <v>#N/A</v>
      </c>
      <c r="AW109" s="2" t="e">
        <f t="shared" ca="1" si="31"/>
        <v>#N/A</v>
      </c>
      <c r="AX109" s="2" t="e">
        <f t="shared" ca="1" si="32"/>
        <v>#N/A</v>
      </c>
      <c r="AY109" s="9" t="e">
        <f t="shared" ca="1" si="33"/>
        <v>#N/A</v>
      </c>
      <c r="AZ109" s="9" t="e">
        <f t="shared" ca="1" si="34"/>
        <v>#N/A</v>
      </c>
      <c r="BB109" s="2" t="e">
        <f t="shared" ca="1" si="35"/>
        <v>#N/A</v>
      </c>
      <c r="BC109" s="2" t="e">
        <f t="shared" ca="1" si="41"/>
        <v>#N/A</v>
      </c>
      <c r="BD109" s="2" t="e">
        <f t="shared" ca="1" si="36"/>
        <v>#N/A</v>
      </c>
      <c r="BE109" s="2" t="e">
        <f t="shared" ca="1" si="37"/>
        <v>#N/A</v>
      </c>
      <c r="BF109" s="2" t="e">
        <f t="shared" ca="1" si="38"/>
        <v>#N/A</v>
      </c>
      <c r="BG109" s="2" t="e">
        <f t="shared" ca="1" si="39"/>
        <v>#N/A</v>
      </c>
      <c r="BH109" s="2" t="e">
        <f t="shared" ca="1" si="42"/>
        <v>#N/A</v>
      </c>
      <c r="BI109" s="2" t="e">
        <f t="shared" ca="1" si="40"/>
        <v>#N/A</v>
      </c>
    </row>
    <row r="110" spans="1:61" ht="15" x14ac:dyDescent="0.25">
      <c r="A110" s="66">
        <v>44</v>
      </c>
      <c r="B110" s="66">
        <v>1498730142.6470001</v>
      </c>
      <c r="C110" s="67">
        <v>-4.9617316264243402E-6</v>
      </c>
      <c r="D110" s="67">
        <v>-2.3672595590266101E-5</v>
      </c>
      <c r="E110" s="67">
        <v>7.9979192257570398E-4</v>
      </c>
      <c r="F110" s="67">
        <v>-5.33719209323632E-5</v>
      </c>
      <c r="G110" s="67">
        <v>-1.04179262570479E-4</v>
      </c>
      <c r="H110" s="67">
        <v>1.02249764364335E-3</v>
      </c>
      <c r="I110" s="67">
        <v>-2.3672595590266101E-5</v>
      </c>
      <c r="J110" s="67">
        <v>6.3110032632688901E-4</v>
      </c>
      <c r="K110" s="67">
        <v>7.0510583994006304E-3</v>
      </c>
      <c r="L110" s="67"/>
      <c r="M110" s="67"/>
      <c r="O110" s="11">
        <f t="shared" ca="1" si="0"/>
        <v>-1.7765662336384367E-5</v>
      </c>
      <c r="P110" s="11">
        <f t="shared" ca="1" si="1"/>
        <v>-2.4437695820570843E-5</v>
      </c>
      <c r="Q110" s="11">
        <f t="shared" ca="1" si="2"/>
        <v>-3.6699689692579912E-5</v>
      </c>
      <c r="R110" s="11">
        <f t="shared" ca="1" si="3"/>
        <v>-6.5018408578710327E-5</v>
      </c>
      <c r="S110" s="11">
        <f t="shared" ca="1" si="4"/>
        <v>-1.1510691461744912E-4</v>
      </c>
      <c r="T110" s="11">
        <f t="shared" ca="1" si="5"/>
        <v>-1.1605739493895212E-4</v>
      </c>
      <c r="U110" s="11">
        <f t="shared" ca="1" si="6"/>
        <v>-2.4437695820570843E-5</v>
      </c>
      <c r="V110" s="11">
        <f t="shared" ca="1" si="7"/>
        <v>-1.9095679366885345E-5</v>
      </c>
      <c r="W110" s="11">
        <f t="shared" ca="1" si="8"/>
        <v>-7.1789864104357566E-5</v>
      </c>
      <c r="X110" s="11"/>
      <c r="Y110" s="2">
        <f t="shared" ca="1" si="9"/>
        <v>-1.7765662336384367E-5</v>
      </c>
      <c r="Z110" s="11">
        <f t="shared" ca="1" si="10"/>
        <v>-2.4437695820570843E-5</v>
      </c>
      <c r="AA110" s="2">
        <f t="shared" ca="1" si="11"/>
        <v>-3.6699689692579912E-5</v>
      </c>
      <c r="AB110" s="2">
        <f t="shared" ca="1" si="12"/>
        <v>-6.5018408578710327E-5</v>
      </c>
      <c r="AC110" s="2">
        <f t="shared" ca="1" si="13"/>
        <v>-1.1510691461744912E-4</v>
      </c>
      <c r="AD110" s="2">
        <f t="shared" ca="1" si="14"/>
        <v>-1.1605739493895212E-4</v>
      </c>
      <c r="AE110" s="2">
        <f t="shared" ca="1" si="15"/>
        <v>-2.4437695820570843E-5</v>
      </c>
      <c r="AF110" s="2">
        <f t="shared" ca="1" si="16"/>
        <v>-1.9095679366885345E-5</v>
      </c>
      <c r="AG110" s="2">
        <f t="shared" ca="1" si="17"/>
        <v>-7.1789864104357566E-5</v>
      </c>
      <c r="AI110" s="2">
        <f t="shared" ca="1" si="18"/>
        <v>-1.7765662336384367E-5</v>
      </c>
      <c r="AJ110" s="11">
        <f t="shared" ca="1" si="19"/>
        <v>-2.4437695820570843E-5</v>
      </c>
      <c r="AK110" s="2">
        <f t="shared" ca="1" si="20"/>
        <v>-3.6699689692579912E-5</v>
      </c>
      <c r="AL110" s="2">
        <f t="shared" ca="1" si="21"/>
        <v>-6.5018408578710327E-5</v>
      </c>
      <c r="AM110" s="2">
        <f t="shared" ca="1" si="22"/>
        <v>-1.1510691461744912E-4</v>
      </c>
      <c r="AN110" s="2">
        <f t="shared" ca="1" si="23"/>
        <v>-1.1605739493895212E-4</v>
      </c>
      <c r="AO110" s="2">
        <f t="shared" ca="1" si="24"/>
        <v>-2.4437695820570843E-5</v>
      </c>
      <c r="AP110" s="2">
        <f t="shared" ca="1" si="25"/>
        <v>-1.9095679366885345E-5</v>
      </c>
      <c r="AQ110" s="2">
        <f t="shared" ca="1" si="26"/>
        <v>-7.1789864104357566E-5</v>
      </c>
      <c r="AS110" s="2" t="e">
        <f t="shared" ca="1" si="27"/>
        <v>#N/A</v>
      </c>
      <c r="AT110" s="2" t="e">
        <f t="shared" ca="1" si="28"/>
        <v>#N/A</v>
      </c>
      <c r="AU110" s="2" t="e">
        <f t="shared" ca="1" si="29"/>
        <v>#N/A</v>
      </c>
      <c r="AV110" s="2" t="e">
        <f t="shared" ca="1" si="30"/>
        <v>#N/A</v>
      </c>
      <c r="AW110" s="2" t="e">
        <f t="shared" ca="1" si="31"/>
        <v>#N/A</v>
      </c>
      <c r="AX110" s="2" t="e">
        <f t="shared" ca="1" si="32"/>
        <v>#N/A</v>
      </c>
      <c r="AY110" s="9" t="e">
        <f t="shared" ca="1" si="33"/>
        <v>#N/A</v>
      </c>
      <c r="AZ110" s="9" t="e">
        <f t="shared" ca="1" si="34"/>
        <v>#N/A</v>
      </c>
      <c r="BB110" s="2" t="e">
        <f t="shared" ca="1" si="35"/>
        <v>#N/A</v>
      </c>
      <c r="BC110" s="2" t="e">
        <f t="shared" ca="1" si="41"/>
        <v>#N/A</v>
      </c>
      <c r="BD110" s="2" t="e">
        <f t="shared" ca="1" si="36"/>
        <v>#N/A</v>
      </c>
      <c r="BE110" s="2" t="e">
        <f t="shared" ca="1" si="37"/>
        <v>#N/A</v>
      </c>
      <c r="BF110" s="2" t="e">
        <f t="shared" ca="1" si="38"/>
        <v>#N/A</v>
      </c>
      <c r="BG110" s="2" t="e">
        <f t="shared" ca="1" si="39"/>
        <v>#N/A</v>
      </c>
      <c r="BH110" s="2" t="e">
        <f t="shared" ca="1" si="42"/>
        <v>#N/A</v>
      </c>
      <c r="BI110" s="2" t="e">
        <f t="shared" ca="1" si="40"/>
        <v>#N/A</v>
      </c>
    </row>
    <row r="111" spans="1:61" ht="15" x14ac:dyDescent="0.25">
      <c r="A111" s="66">
        <v>45</v>
      </c>
      <c r="B111" s="66">
        <v>1498730143.1730001</v>
      </c>
      <c r="C111" s="67">
        <v>1.06067747790679E-4</v>
      </c>
      <c r="D111" s="67">
        <v>5.4337479679768398E-5</v>
      </c>
      <c r="E111" s="67">
        <v>8.3570971995448396E-4</v>
      </c>
      <c r="F111" s="67">
        <v>2.8000889673102898E-5</v>
      </c>
      <c r="G111" s="67">
        <v>1.2814913177693901E-4</v>
      </c>
      <c r="H111" s="67">
        <v>1.1440895658549699E-3</v>
      </c>
      <c r="I111" s="67">
        <v>5.4337479679768398E-5</v>
      </c>
      <c r="J111" s="67">
        <v>7.9426998879183303E-4</v>
      </c>
      <c r="K111" s="67">
        <v>7.1386969558019696E-3</v>
      </c>
      <c r="L111" s="67"/>
      <c r="M111" s="67"/>
      <c r="O111" s="11">
        <f t="shared" ca="1" si="0"/>
        <v>9.326381708071898E-5</v>
      </c>
      <c r="P111" s="11">
        <f t="shared" ca="1" si="1"/>
        <v>5.3572379449463659E-5</v>
      </c>
      <c r="Q111" s="11">
        <f t="shared" ca="1" si="2"/>
        <v>-7.81892313799935E-7</v>
      </c>
      <c r="R111" s="11">
        <f t="shared" ca="1" si="3"/>
        <v>1.6354402026755774E-5</v>
      </c>
      <c r="S111" s="11">
        <f t="shared" ca="1" si="4"/>
        <v>1.1722147972996888E-4</v>
      </c>
      <c r="T111" s="11">
        <f t="shared" ca="1" si="5"/>
        <v>5.534527272667766E-6</v>
      </c>
      <c r="U111" s="11">
        <f t="shared" ca="1" si="6"/>
        <v>5.3572379449463659E-5</v>
      </c>
      <c r="V111" s="11">
        <f t="shared" ca="1" si="7"/>
        <v>1.4407398309805868E-4</v>
      </c>
      <c r="W111" s="11">
        <f t="shared" ca="1" si="8"/>
        <v>1.5848692296981624E-5</v>
      </c>
      <c r="X111" s="11"/>
      <c r="Y111" s="2">
        <f t="shared" ca="1" si="9"/>
        <v>9.326381708071898E-5</v>
      </c>
      <c r="Z111" s="11">
        <f t="shared" ca="1" si="10"/>
        <v>5.3572379449463659E-5</v>
      </c>
      <c r="AA111" s="2">
        <f t="shared" ca="1" si="11"/>
        <v>-1.1917611052160637E-6</v>
      </c>
      <c r="AB111" s="2">
        <f t="shared" ca="1" si="12"/>
        <v>6.433714234524474E-6</v>
      </c>
      <c r="AC111" s="2">
        <f t="shared" ca="1" si="13"/>
        <v>1.1722147972996888E-4</v>
      </c>
      <c r="AD111" s="2">
        <f t="shared" ca="1" si="14"/>
        <v>-6.6611695216375818E-5</v>
      </c>
      <c r="AE111" s="2">
        <f t="shared" ca="1" si="15"/>
        <v>5.3572379449463659E-5</v>
      </c>
      <c r="AF111" s="2">
        <f t="shared" ca="1" si="16"/>
        <v>3.7531385329377473E-5</v>
      </c>
      <c r="AG111" s="2">
        <f t="shared" ca="1" si="17"/>
        <v>-2.7383815369029692E-5</v>
      </c>
      <c r="AI111" s="2">
        <f t="shared" ca="1" si="18"/>
        <v>9.326381708071898E-5</v>
      </c>
      <c r="AJ111" s="11">
        <f t="shared" ca="1" si="19"/>
        <v>5.3572379449463659E-5</v>
      </c>
      <c r="AK111" s="2">
        <f t="shared" ca="1" si="20"/>
        <v>-6.4397256545994762E-5</v>
      </c>
      <c r="AL111" s="2">
        <f t="shared" ca="1" si="21"/>
        <v>-2.3149097747239341E-5</v>
      </c>
      <c r="AM111" s="2">
        <f t="shared" ca="1" si="22"/>
        <v>1.1722147972996888E-4</v>
      </c>
      <c r="AN111" s="2">
        <f t="shared" ca="1" si="23"/>
        <v>-6.6611695216375818E-5</v>
      </c>
      <c r="AO111" s="2">
        <f t="shared" ca="1" si="24"/>
        <v>5.3572379449463659E-5</v>
      </c>
      <c r="AP111" s="2">
        <f t="shared" ca="1" si="25"/>
        <v>3.7531385329377473E-5</v>
      </c>
      <c r="AQ111" s="2">
        <f t="shared" ca="1" si="26"/>
        <v>-2.7383815369029692E-5</v>
      </c>
      <c r="AS111" s="2">
        <f t="shared" ca="1" si="27"/>
        <v>2.8636036134920335</v>
      </c>
      <c r="AT111" s="2">
        <f t="shared" ca="1" si="28"/>
        <v>0.130159272479973</v>
      </c>
      <c r="AU111" s="2">
        <f t="shared" ca="1" si="29"/>
        <v>2.1286770696475277E-6</v>
      </c>
      <c r="AV111" s="2">
        <f t="shared" ca="1" si="30"/>
        <v>1.4194530602841115E-4</v>
      </c>
      <c r="AW111" s="2">
        <f t="shared" ca="1" si="31"/>
        <v>44.030807622348476</v>
      </c>
      <c r="AX111" s="2">
        <f t="shared" ca="1" si="32"/>
        <v>-4.7113678952620114E-2</v>
      </c>
      <c r="AY111" s="9" t="str">
        <f t="shared" ca="1" si="33"/>
        <v>rejected</v>
      </c>
      <c r="AZ111" s="9" t="e">
        <f t="shared" ca="1" si="34"/>
        <v>#N/A</v>
      </c>
      <c r="BB111" s="2" t="e">
        <f t="shared" ca="1" si="35"/>
        <v>#N/A</v>
      </c>
      <c r="BC111" s="2" t="e">
        <f t="shared" ca="1" si="41"/>
        <v>#N/A</v>
      </c>
      <c r="BD111" s="2" t="e">
        <f t="shared" ca="1" si="36"/>
        <v>#N/A</v>
      </c>
      <c r="BE111" s="2" t="e">
        <f t="shared" ca="1" si="37"/>
        <v>#N/A</v>
      </c>
      <c r="BF111" s="2" t="e">
        <f t="shared" ca="1" si="38"/>
        <v>#N/A</v>
      </c>
      <c r="BG111" s="2" t="e">
        <f t="shared" ca="1" si="39"/>
        <v>#N/A</v>
      </c>
      <c r="BH111" s="2" t="e">
        <f t="shared" ca="1" si="42"/>
        <v>#N/A</v>
      </c>
      <c r="BI111" s="2" t="e">
        <f t="shared" ca="1" si="40"/>
        <v>#N/A</v>
      </c>
    </row>
    <row r="112" spans="1:61" ht="15" x14ac:dyDescent="0.25">
      <c r="A112" s="66">
        <v>46</v>
      </c>
      <c r="B112" s="66">
        <v>1498730143.7</v>
      </c>
      <c r="C112" s="67">
        <v>3.1180543460873501E-5</v>
      </c>
      <c r="D112" s="67">
        <v>3.1745574631292902E-5</v>
      </c>
      <c r="E112" s="67">
        <v>8.4600639184140899E-4</v>
      </c>
      <c r="F112" s="67">
        <v>3.4663284785007998E-5</v>
      </c>
      <c r="G112" s="67">
        <v>-3.9460849164972298E-5</v>
      </c>
      <c r="H112" s="67">
        <v>1.1409899803388E-3</v>
      </c>
      <c r="I112" s="67">
        <v>3.1745574631292902E-5</v>
      </c>
      <c r="J112" s="67">
        <v>6.9047484450263704E-4</v>
      </c>
      <c r="K112" s="67">
        <v>7.0821011538913896E-3</v>
      </c>
      <c r="L112" s="67"/>
      <c r="M112" s="67"/>
      <c r="O112" s="11">
        <f t="shared" ca="1" si="0"/>
        <v>1.8376612750913474E-5</v>
      </c>
      <c r="P112" s="11">
        <f t="shared" ca="1" si="1"/>
        <v>3.0980474400988163E-5</v>
      </c>
      <c r="Q112" s="11">
        <f t="shared" ca="1" si="2"/>
        <v>9.5147795731250926E-6</v>
      </c>
      <c r="R112" s="11">
        <f t="shared" ca="1" si="3"/>
        <v>2.3016797138660874E-5</v>
      </c>
      <c r="S112" s="11">
        <f t="shared" ca="1" si="4"/>
        <v>-5.0388501211942419E-5</v>
      </c>
      <c r="T112" s="11">
        <f t="shared" ca="1" si="5"/>
        <v>2.4349417564978153E-6</v>
      </c>
      <c r="U112" s="11">
        <f t="shared" ca="1" si="6"/>
        <v>3.0980474400988163E-5</v>
      </c>
      <c r="V112" s="11">
        <f t="shared" ca="1" si="7"/>
        <v>4.0278838808862683E-5</v>
      </c>
      <c r="W112" s="11">
        <f t="shared" ca="1" si="8"/>
        <v>-4.0747109613598412E-5</v>
      </c>
      <c r="X112" s="11"/>
      <c r="Y112" s="2">
        <f t="shared" ca="1" si="9"/>
        <v>1.8376612750913474E-5</v>
      </c>
      <c r="Z112" s="11">
        <f t="shared" ca="1" si="10"/>
        <v>3.0980474400988163E-5</v>
      </c>
      <c r="AA112" s="2">
        <f t="shared" ca="1" si="11"/>
        <v>9.2777557610278592E-6</v>
      </c>
      <c r="AB112" s="2">
        <f t="shared" ca="1" si="12"/>
        <v>1.7279743504943758E-5</v>
      </c>
      <c r="AC112" s="2">
        <f t="shared" ca="1" si="13"/>
        <v>-5.0388501211942419E-5</v>
      </c>
      <c r="AD112" s="2">
        <f t="shared" ca="1" si="14"/>
        <v>-3.9286636077435565E-5</v>
      </c>
      <c r="AE112" s="2">
        <f t="shared" ca="1" si="15"/>
        <v>3.0980474400988163E-5</v>
      </c>
      <c r="AF112" s="2">
        <f t="shared" ca="1" si="16"/>
        <v>-2.1333885074366885E-5</v>
      </c>
      <c r="AG112" s="2">
        <f t="shared" ca="1" si="17"/>
        <v>-6.5748119663951838E-5</v>
      </c>
      <c r="AI112" s="2">
        <f t="shared" ca="1" si="18"/>
        <v>1.8376612750913474E-5</v>
      </c>
      <c r="AJ112" s="11">
        <f t="shared" ca="1" si="19"/>
        <v>3.0980474400988163E-5</v>
      </c>
      <c r="AK112" s="2">
        <f t="shared" ca="1" si="20"/>
        <v>-2.7273471823552062E-5</v>
      </c>
      <c r="AL112" s="2">
        <f t="shared" ca="1" si="21"/>
        <v>1.7224223789941815E-7</v>
      </c>
      <c r="AM112" s="2">
        <f t="shared" ca="1" si="22"/>
        <v>-5.0388501211942419E-5</v>
      </c>
      <c r="AN112" s="2">
        <f t="shared" ca="1" si="23"/>
        <v>-3.9286636077435565E-5</v>
      </c>
      <c r="AO112" s="2">
        <f t="shared" ca="1" si="24"/>
        <v>3.0980474400988163E-5</v>
      </c>
      <c r="AP112" s="2">
        <f t="shared" ca="1" si="25"/>
        <v>-2.1333885074366885E-5</v>
      </c>
      <c r="AQ112" s="2">
        <f t="shared" ca="1" si="26"/>
        <v>-6.5748119663951838E-5</v>
      </c>
      <c r="AS112" s="2" t="e">
        <f t="shared" ca="1" si="27"/>
        <v>#N/A</v>
      </c>
      <c r="AT112" s="2" t="e">
        <f t="shared" ca="1" si="28"/>
        <v>#N/A</v>
      </c>
      <c r="AU112" s="2" t="e">
        <f t="shared" ca="1" si="29"/>
        <v>#N/A</v>
      </c>
      <c r="AV112" s="2" t="e">
        <f t="shared" ca="1" si="30"/>
        <v>#N/A</v>
      </c>
      <c r="AW112" s="2" t="e">
        <f t="shared" ca="1" si="31"/>
        <v>#N/A</v>
      </c>
      <c r="AX112" s="2" t="e">
        <f t="shared" ca="1" si="32"/>
        <v>#N/A</v>
      </c>
      <c r="AY112" s="9" t="e">
        <f t="shared" ca="1" si="33"/>
        <v>#N/A</v>
      </c>
      <c r="AZ112" s="9" t="e">
        <f t="shared" ca="1" si="34"/>
        <v>#N/A</v>
      </c>
      <c r="BB112" s="2" t="e">
        <f t="shared" ca="1" si="35"/>
        <v>#N/A</v>
      </c>
      <c r="BC112" s="2" t="e">
        <f t="shared" ca="1" si="41"/>
        <v>#N/A</v>
      </c>
      <c r="BD112" s="2" t="e">
        <f t="shared" ca="1" si="36"/>
        <v>#N/A</v>
      </c>
      <c r="BE112" s="2" t="e">
        <f t="shared" ca="1" si="37"/>
        <v>#N/A</v>
      </c>
      <c r="BF112" s="2" t="e">
        <f t="shared" ca="1" si="38"/>
        <v>#N/A</v>
      </c>
      <c r="BG112" s="2" t="e">
        <f t="shared" ca="1" si="39"/>
        <v>#N/A</v>
      </c>
      <c r="BH112" s="2" t="e">
        <f t="shared" ca="1" si="42"/>
        <v>#N/A</v>
      </c>
      <c r="BI112" s="2" t="e">
        <f t="shared" ca="1" si="40"/>
        <v>#N/A</v>
      </c>
    </row>
    <row r="113" spans="1:61" ht="15" x14ac:dyDescent="0.25">
      <c r="A113" s="66">
        <v>47</v>
      </c>
      <c r="B113" s="66">
        <v>1498730144.227</v>
      </c>
      <c r="C113" s="67">
        <v>-2.1024542404488099E-5</v>
      </c>
      <c r="D113" s="67">
        <v>-4.9434097377065302E-5</v>
      </c>
      <c r="E113" s="67">
        <v>7.9308740917549399E-4</v>
      </c>
      <c r="F113" s="67">
        <v>-1.9824284788065799E-5</v>
      </c>
      <c r="G113" s="67">
        <v>-3.0165784374933599E-5</v>
      </c>
      <c r="H113" s="67">
        <v>1.0885369127240699E-3</v>
      </c>
      <c r="I113" s="67">
        <v>-4.9434097377065302E-5</v>
      </c>
      <c r="J113" s="67">
        <v>5.7529150070597995E-4</v>
      </c>
      <c r="K113" s="67">
        <v>7.0064062760433702E-3</v>
      </c>
      <c r="L113" s="67"/>
      <c r="M113" s="67"/>
      <c r="O113" s="11">
        <f t="shared" ca="1" si="0"/>
        <v>-3.3828473114448126E-5</v>
      </c>
      <c r="P113" s="11">
        <f t="shared" ca="1" si="1"/>
        <v>-5.0199197607370041E-5</v>
      </c>
      <c r="Q113" s="11">
        <f t="shared" ca="1" si="2"/>
        <v>-4.3404203092789907E-5</v>
      </c>
      <c r="R113" s="11">
        <f t="shared" ca="1" si="3"/>
        <v>-3.1470772434412923E-5</v>
      </c>
      <c r="S113" s="11">
        <f t="shared" ca="1" si="4"/>
        <v>-4.1093436421903723E-5</v>
      </c>
      <c r="T113" s="11">
        <f t="shared" ca="1" si="5"/>
        <v>-5.0018125858232237E-5</v>
      </c>
      <c r="U113" s="11">
        <f t="shared" ca="1" si="6"/>
        <v>-5.0199197607370041E-5</v>
      </c>
      <c r="V113" s="11">
        <f t="shared" ca="1" si="7"/>
        <v>-7.4904504987794406E-5</v>
      </c>
      <c r="W113" s="11">
        <f t="shared" ca="1" si="8"/>
        <v>-1.164419874616178E-4</v>
      </c>
      <c r="X113" s="11"/>
      <c r="Y113" s="2">
        <f t="shared" ca="1" si="9"/>
        <v>-3.3828473114448126E-5</v>
      </c>
      <c r="Z113" s="11">
        <f t="shared" ca="1" si="10"/>
        <v>-5.0199197607370041E-5</v>
      </c>
      <c r="AA113" s="2">
        <f t="shared" ca="1" si="11"/>
        <v>-4.3404203092789907E-5</v>
      </c>
      <c r="AB113" s="2">
        <f t="shared" ca="1" si="12"/>
        <v>-3.1470772434412923E-5</v>
      </c>
      <c r="AC113" s="2">
        <f t="shared" ca="1" si="13"/>
        <v>-4.1093436421903723E-5</v>
      </c>
      <c r="AD113" s="2">
        <f t="shared" ca="1" si="14"/>
        <v>-5.0018125858232237E-5</v>
      </c>
      <c r="AE113" s="2">
        <f t="shared" ca="1" si="15"/>
        <v>-5.0199197607370041E-5</v>
      </c>
      <c r="AF113" s="2">
        <f t="shared" ca="1" si="16"/>
        <v>-7.4904504987794406E-5</v>
      </c>
      <c r="AG113" s="2">
        <f t="shared" ca="1" si="17"/>
        <v>-1.164419874616178E-4</v>
      </c>
      <c r="AI113" s="2">
        <f t="shared" ca="1" si="18"/>
        <v>-3.3828473114448126E-5</v>
      </c>
      <c r="AJ113" s="11">
        <f t="shared" ca="1" si="19"/>
        <v>-5.0199197607370041E-5</v>
      </c>
      <c r="AK113" s="2">
        <f t="shared" ca="1" si="20"/>
        <v>-4.3404203092789907E-5</v>
      </c>
      <c r="AL113" s="2">
        <f t="shared" ca="1" si="21"/>
        <v>-3.1470772434412923E-5</v>
      </c>
      <c r="AM113" s="2">
        <f t="shared" ca="1" si="22"/>
        <v>-4.1093436421903723E-5</v>
      </c>
      <c r="AN113" s="2">
        <f t="shared" ca="1" si="23"/>
        <v>-5.0018125858232237E-5</v>
      </c>
      <c r="AO113" s="2">
        <f t="shared" ca="1" si="24"/>
        <v>-5.0199197607370041E-5</v>
      </c>
      <c r="AP113" s="2">
        <f t="shared" ca="1" si="25"/>
        <v>-7.4904504987794406E-5</v>
      </c>
      <c r="AQ113" s="2">
        <f t="shared" ca="1" si="26"/>
        <v>-1.164419874616178E-4</v>
      </c>
      <c r="AS113" s="2" t="e">
        <f t="shared" ca="1" si="27"/>
        <v>#N/A</v>
      </c>
      <c r="AT113" s="2" t="e">
        <f t="shared" ca="1" si="28"/>
        <v>#N/A</v>
      </c>
      <c r="AU113" s="2" t="e">
        <f t="shared" ca="1" si="29"/>
        <v>#N/A</v>
      </c>
      <c r="AV113" s="2" t="e">
        <f t="shared" ca="1" si="30"/>
        <v>#N/A</v>
      </c>
      <c r="AW113" s="2" t="e">
        <f t="shared" ca="1" si="31"/>
        <v>#N/A</v>
      </c>
      <c r="AX113" s="2" t="e">
        <f t="shared" ca="1" si="32"/>
        <v>#N/A</v>
      </c>
      <c r="AY113" s="9" t="e">
        <f t="shared" ca="1" si="33"/>
        <v>#N/A</v>
      </c>
      <c r="AZ113" s="9" t="e">
        <f t="shared" ca="1" si="34"/>
        <v>#N/A</v>
      </c>
      <c r="BB113" s="2" t="e">
        <f t="shared" ca="1" si="35"/>
        <v>#N/A</v>
      </c>
      <c r="BC113" s="2" t="e">
        <f t="shared" ca="1" si="41"/>
        <v>#N/A</v>
      </c>
      <c r="BD113" s="2" t="e">
        <f t="shared" ca="1" si="36"/>
        <v>#N/A</v>
      </c>
      <c r="BE113" s="2" t="e">
        <f t="shared" ca="1" si="37"/>
        <v>#N/A</v>
      </c>
      <c r="BF113" s="2" t="e">
        <f t="shared" ca="1" si="38"/>
        <v>#N/A</v>
      </c>
      <c r="BG113" s="2" t="e">
        <f t="shared" ca="1" si="39"/>
        <v>#N/A</v>
      </c>
      <c r="BH113" s="2" t="e">
        <f t="shared" ca="1" si="42"/>
        <v>#N/A</v>
      </c>
      <c r="BI113" s="2" t="e">
        <f t="shared" ca="1" si="40"/>
        <v>#N/A</v>
      </c>
    </row>
    <row r="114" spans="1:61" ht="15" x14ac:dyDescent="0.25">
      <c r="A114" s="66">
        <v>48</v>
      </c>
      <c r="B114" s="66">
        <v>1498730144.7539999</v>
      </c>
      <c r="C114" s="67">
        <v>4.9370291045424099E-5</v>
      </c>
      <c r="D114" s="67">
        <v>-2.5797995687406599E-5</v>
      </c>
      <c r="E114" s="67">
        <v>8.3187842710014202E-4</v>
      </c>
      <c r="F114" s="67">
        <v>2.6097356376414701E-5</v>
      </c>
      <c r="G114" s="67">
        <v>2.5622962391386299E-5</v>
      </c>
      <c r="H114" s="67">
        <v>1.09640469752681E-3</v>
      </c>
      <c r="I114" s="67">
        <v>-2.5797995687406599E-5</v>
      </c>
      <c r="J114" s="67">
        <v>6.28725419089974E-4</v>
      </c>
      <c r="K114" s="67">
        <v>7.1021600600988301E-3</v>
      </c>
      <c r="L114" s="67"/>
      <c r="M114" s="67"/>
      <c r="O114" s="11">
        <f t="shared" ca="1" si="0"/>
        <v>3.6566360335464072E-5</v>
      </c>
      <c r="P114" s="11">
        <f t="shared" ca="1" si="1"/>
        <v>-2.6563095917711341E-5</v>
      </c>
      <c r="Q114" s="11">
        <f t="shared" ca="1" si="2"/>
        <v>-4.6131851681418786E-6</v>
      </c>
      <c r="R114" s="11">
        <f t="shared" ca="1" si="3"/>
        <v>1.4450868730067577E-5</v>
      </c>
      <c r="S114" s="11">
        <f t="shared" ca="1" si="4"/>
        <v>1.4695310344416177E-5</v>
      </c>
      <c r="T114" s="11">
        <f t="shared" ca="1" si="5"/>
        <v>-4.2150341055492138E-5</v>
      </c>
      <c r="U114" s="11">
        <f t="shared" ca="1" si="6"/>
        <v>-2.6563095917711341E-5</v>
      </c>
      <c r="V114" s="11">
        <f t="shared" ca="1" si="7"/>
        <v>-2.1470586603800361E-5</v>
      </c>
      <c r="W114" s="11">
        <f t="shared" ca="1" si="8"/>
        <v>-2.0688203406157846E-5</v>
      </c>
      <c r="X114" s="11"/>
      <c r="Y114" s="2">
        <f t="shared" ca="1" si="9"/>
        <v>3.6566360335464072E-5</v>
      </c>
      <c r="Z114" s="11">
        <f t="shared" ca="1" si="10"/>
        <v>-2.6563095917711341E-5</v>
      </c>
      <c r="AA114" s="2">
        <f t="shared" ca="1" si="11"/>
        <v>-4.6131851681418786E-6</v>
      </c>
      <c r="AB114" s="2">
        <f t="shared" ca="1" si="12"/>
        <v>1.4450868730067577E-5</v>
      </c>
      <c r="AC114" s="2">
        <f t="shared" ca="1" si="13"/>
        <v>1.4695310344416177E-5</v>
      </c>
      <c r="AD114" s="2">
        <f t="shared" ca="1" si="14"/>
        <v>-4.2150341055492138E-5</v>
      </c>
      <c r="AE114" s="2">
        <f t="shared" ca="1" si="15"/>
        <v>-2.6563095917711341E-5</v>
      </c>
      <c r="AF114" s="2">
        <f t="shared" ca="1" si="16"/>
        <v>-2.1470586603800361E-5</v>
      </c>
      <c r="AG114" s="2">
        <f t="shared" ca="1" si="17"/>
        <v>-2.0688203406157846E-5</v>
      </c>
      <c r="AI114" s="2">
        <f t="shared" ca="1" si="18"/>
        <v>3.6566360335464072E-5</v>
      </c>
      <c r="AJ114" s="11">
        <f t="shared" ca="1" si="19"/>
        <v>-2.6563095917711341E-5</v>
      </c>
      <c r="AK114" s="2">
        <f t="shared" ca="1" si="20"/>
        <v>-4.6131851681418786E-6</v>
      </c>
      <c r="AL114" s="2">
        <f t="shared" ca="1" si="21"/>
        <v>1.4450868730067577E-5</v>
      </c>
      <c r="AM114" s="2">
        <f t="shared" ca="1" si="22"/>
        <v>1.4695310344416177E-5</v>
      </c>
      <c r="AN114" s="2">
        <f t="shared" ca="1" si="23"/>
        <v>-4.2150341055492138E-5</v>
      </c>
      <c r="AO114" s="2">
        <f t="shared" ca="1" si="24"/>
        <v>-2.6563095917711341E-5</v>
      </c>
      <c r="AP114" s="2">
        <f t="shared" ca="1" si="25"/>
        <v>-2.1470586603800361E-5</v>
      </c>
      <c r="AQ114" s="2">
        <f t="shared" ca="1" si="26"/>
        <v>-2.0688203406157846E-5</v>
      </c>
      <c r="AS114" s="2" t="e">
        <f t="shared" ca="1" si="27"/>
        <v>#N/A</v>
      </c>
      <c r="AT114" s="2" t="e">
        <f t="shared" ca="1" si="28"/>
        <v>#N/A</v>
      </c>
      <c r="AU114" s="2" t="e">
        <f t="shared" ca="1" si="29"/>
        <v>#N/A</v>
      </c>
      <c r="AV114" s="2" t="e">
        <f t="shared" ca="1" si="30"/>
        <v>#N/A</v>
      </c>
      <c r="AW114" s="2" t="e">
        <f t="shared" ca="1" si="31"/>
        <v>#N/A</v>
      </c>
      <c r="AX114" s="2" t="e">
        <f t="shared" ca="1" si="32"/>
        <v>#N/A</v>
      </c>
      <c r="AY114" s="9" t="e">
        <f t="shared" ca="1" si="33"/>
        <v>#N/A</v>
      </c>
      <c r="AZ114" s="9" t="e">
        <f t="shared" ca="1" si="34"/>
        <v>#N/A</v>
      </c>
      <c r="BB114" s="2" t="e">
        <f t="shared" ca="1" si="35"/>
        <v>#N/A</v>
      </c>
      <c r="BC114" s="2" t="e">
        <f t="shared" ca="1" si="41"/>
        <v>#N/A</v>
      </c>
      <c r="BD114" s="2" t="e">
        <f t="shared" ca="1" si="36"/>
        <v>#N/A</v>
      </c>
      <c r="BE114" s="2" t="e">
        <f t="shared" ca="1" si="37"/>
        <v>#N/A</v>
      </c>
      <c r="BF114" s="2" t="e">
        <f t="shared" ca="1" si="38"/>
        <v>#N/A</v>
      </c>
      <c r="BG114" s="2" t="e">
        <f t="shared" ca="1" si="39"/>
        <v>#N/A</v>
      </c>
      <c r="BH114" s="2" t="e">
        <f t="shared" ca="1" si="42"/>
        <v>#N/A</v>
      </c>
      <c r="BI114" s="2" t="e">
        <f t="shared" ca="1" si="40"/>
        <v>#N/A</v>
      </c>
    </row>
    <row r="115" spans="1:61" ht="15" x14ac:dyDescent="0.25">
      <c r="A115" s="66">
        <v>49</v>
      </c>
      <c r="B115" s="66">
        <v>1498730145.2809999</v>
      </c>
      <c r="C115" s="67">
        <v>8.2207173247836901E-5</v>
      </c>
      <c r="D115" s="67">
        <v>9.7337753989858606E-5</v>
      </c>
      <c r="E115" s="67">
        <v>8.7665757415687198E-4</v>
      </c>
      <c r="F115" s="67">
        <v>1.1583034298582601E-5</v>
      </c>
      <c r="G115" s="67">
        <v>1.3349980603124799E-4</v>
      </c>
      <c r="H115" s="67">
        <v>1.1524346515209901E-3</v>
      </c>
      <c r="I115" s="67">
        <v>9.7337753989858606E-5</v>
      </c>
      <c r="J115" s="67">
        <v>6.3703761915094798E-4</v>
      </c>
      <c r="K115" s="67">
        <v>7.1468164467088403E-3</v>
      </c>
      <c r="L115" s="67"/>
      <c r="M115" s="67"/>
      <c r="O115" s="11">
        <f t="shared" ca="1" si="0"/>
        <v>6.940324253787688E-5</v>
      </c>
      <c r="P115" s="11">
        <f t="shared" ca="1" si="1"/>
        <v>9.6572653759553867E-5</v>
      </c>
      <c r="Q115" s="11">
        <f t="shared" ca="1" si="2"/>
        <v>4.0165961888588087E-5</v>
      </c>
      <c r="R115" s="11">
        <f t="shared" ca="1" si="3"/>
        <v>-6.3453347764523224E-8</v>
      </c>
      <c r="S115" s="11">
        <f t="shared" ca="1" si="4"/>
        <v>1.2257215398427788E-4</v>
      </c>
      <c r="T115" s="11">
        <f t="shared" ca="1" si="5"/>
        <v>1.3879612938687931E-5</v>
      </c>
      <c r="U115" s="11">
        <f t="shared" ca="1" si="6"/>
        <v>9.6572653759553867E-5</v>
      </c>
      <c r="V115" s="11">
        <f t="shared" ca="1" si="7"/>
        <v>-1.3158386542826378E-5</v>
      </c>
      <c r="W115" s="11">
        <f t="shared" ca="1" si="8"/>
        <v>2.3968183203852342E-5</v>
      </c>
      <c r="X115" s="11"/>
      <c r="Y115" s="2">
        <f t="shared" ca="1" si="9"/>
        <v>6.940324253787688E-5</v>
      </c>
      <c r="Z115" s="11">
        <f t="shared" ca="1" si="10"/>
        <v>9.6572653759553867E-5</v>
      </c>
      <c r="AA115" s="2">
        <f t="shared" ca="1" si="11"/>
        <v>3.9427108821260441E-5</v>
      </c>
      <c r="AB115" s="2">
        <f t="shared" ca="1" si="12"/>
        <v>-1.794705600012679E-5</v>
      </c>
      <c r="AC115" s="2">
        <f t="shared" ca="1" si="13"/>
        <v>1.2257215398427788E-4</v>
      </c>
      <c r="AD115" s="2">
        <f t="shared" ca="1" si="14"/>
        <v>-1.1617531902614376E-4</v>
      </c>
      <c r="AE115" s="2">
        <f t="shared" ca="1" si="15"/>
        <v>9.6572653759553867E-5</v>
      </c>
      <c r="AF115" s="2">
        <f t="shared" ca="1" si="16"/>
        <v>-2.0521820376009721E-4</v>
      </c>
      <c r="AG115" s="2">
        <f t="shared" ca="1" si="17"/>
        <v>-5.3965222720845065E-5</v>
      </c>
      <c r="AI115" s="2">
        <f t="shared" ca="1" si="18"/>
        <v>6.940324253787688E-5</v>
      </c>
      <c r="AJ115" s="11">
        <f t="shared" ca="1" si="19"/>
        <v>9.6572653759553867E-5</v>
      </c>
      <c r="AK115" s="2">
        <f t="shared" ca="1" si="20"/>
        <v>-7.4510754115393032E-5</v>
      </c>
      <c r="AL115" s="2">
        <f t="shared" ca="1" si="21"/>
        <v>-7.1274735078556451E-5</v>
      </c>
      <c r="AM115" s="2">
        <f t="shared" ca="1" si="22"/>
        <v>1.2257215398427788E-4</v>
      </c>
      <c r="AN115" s="2">
        <f t="shared" ca="1" si="23"/>
        <v>-1.1617531902614376E-4</v>
      </c>
      <c r="AO115" s="2">
        <f t="shared" ca="1" si="24"/>
        <v>9.6572653759553867E-5</v>
      </c>
      <c r="AP115" s="2">
        <f t="shared" ca="1" si="25"/>
        <v>-2.0521820376009721E-4</v>
      </c>
      <c r="AQ115" s="2">
        <f t="shared" ca="1" si="26"/>
        <v>-5.3965222720845065E-5</v>
      </c>
      <c r="AS115" s="2">
        <f t="shared" ca="1" si="27"/>
        <v>1.726862507602327</v>
      </c>
      <c r="AT115" s="2">
        <f t="shared" ca="1" si="28"/>
        <v>7.8010995661660476E-2</v>
      </c>
      <c r="AU115" s="2">
        <f t="shared" ca="1" si="29"/>
        <v>-4.9500588371760546E-9</v>
      </c>
      <c r="AV115" s="2">
        <f t="shared" ca="1" si="30"/>
        <v>-1.3153436483989202E-5</v>
      </c>
      <c r="AW115" s="2">
        <f t="shared" ca="1" si="31"/>
        <v>-2.0989151423056014</v>
      </c>
      <c r="AX115" s="2">
        <f t="shared" ca="1" si="32"/>
        <v>0.57517393469517675</v>
      </c>
      <c r="AY115" s="9" t="str">
        <f t="shared" ca="1" si="33"/>
        <v>rejected</v>
      </c>
      <c r="AZ115" s="9" t="e">
        <f t="shared" ca="1" si="34"/>
        <v>#N/A</v>
      </c>
      <c r="BB115" s="2" t="e">
        <f t="shared" ca="1" si="35"/>
        <v>#N/A</v>
      </c>
      <c r="BC115" s="2" t="e">
        <f t="shared" ca="1" si="41"/>
        <v>#N/A</v>
      </c>
      <c r="BD115" s="2" t="e">
        <f t="shared" ca="1" si="36"/>
        <v>#N/A</v>
      </c>
      <c r="BE115" s="2" t="e">
        <f t="shared" ca="1" si="37"/>
        <v>#N/A</v>
      </c>
      <c r="BF115" s="2" t="e">
        <f t="shared" ca="1" si="38"/>
        <v>#N/A</v>
      </c>
      <c r="BG115" s="2" t="e">
        <f t="shared" ca="1" si="39"/>
        <v>#N/A</v>
      </c>
      <c r="BH115" s="2" t="e">
        <f t="shared" ca="1" si="42"/>
        <v>#N/A</v>
      </c>
      <c r="BI115" s="2" t="e">
        <f t="shared" ca="1" si="40"/>
        <v>#N/A</v>
      </c>
    </row>
    <row r="116" spans="1:61" ht="15" x14ac:dyDescent="0.25">
      <c r="A116" s="66">
        <v>50</v>
      </c>
      <c r="B116" s="66">
        <v>1498730145.8080001</v>
      </c>
      <c r="C116" s="67">
        <v>1.65244251589724E-6</v>
      </c>
      <c r="D116" s="67">
        <v>2.0451551307678099E-5</v>
      </c>
      <c r="E116" s="67">
        <v>9.4442873942318195E-4</v>
      </c>
      <c r="F116" s="67">
        <v>6.5863492799940199E-6</v>
      </c>
      <c r="G116" s="67">
        <v>1.46751450924437E-6</v>
      </c>
      <c r="H116" s="67">
        <v>1.1340755549498901E-3</v>
      </c>
      <c r="I116" s="67">
        <v>2.0451551307678099E-5</v>
      </c>
      <c r="J116" s="67">
        <v>6.2065077676803503E-4</v>
      </c>
      <c r="K116" s="67">
        <v>7.0443723934204101E-3</v>
      </c>
      <c r="L116" s="67"/>
      <c r="M116" s="67"/>
      <c r="O116" s="11">
        <f t="shared" ca="1" si="0"/>
        <v>-1.1151488194062787E-5</v>
      </c>
      <c r="P116" s="11">
        <f t="shared" ca="1" si="1"/>
        <v>1.9686451077373357E-5</v>
      </c>
      <c r="Q116" s="11">
        <f t="shared" ca="1" si="2"/>
        <v>1.0793712715489805E-4</v>
      </c>
      <c r="R116" s="11">
        <f t="shared" ca="1" si="3"/>
        <v>-5.060138366353104E-6</v>
      </c>
      <c r="S116" s="11">
        <f t="shared" ca="1" si="4"/>
        <v>-9.4601375377257518E-6</v>
      </c>
      <c r="T116" s="11">
        <f t="shared" ca="1" si="5"/>
        <v>-4.4794836324120544E-6</v>
      </c>
      <c r="U116" s="11">
        <f t="shared" ca="1" si="6"/>
        <v>1.9686451077373357E-5</v>
      </c>
      <c r="V116" s="11">
        <f t="shared" ca="1" si="7"/>
        <v>-2.954522892573933E-5</v>
      </c>
      <c r="W116" s="11">
        <f t="shared" ca="1" si="8"/>
        <v>-7.8475870084577896E-5</v>
      </c>
      <c r="X116" s="11"/>
      <c r="Y116" s="2">
        <f t="shared" ca="1" si="9"/>
        <v>-1.1151488194062787E-5</v>
      </c>
      <c r="Z116" s="11">
        <f t="shared" ca="1" si="10"/>
        <v>1.9686451077373357E-5</v>
      </c>
      <c r="AA116" s="2">
        <f t="shared" ca="1" si="11"/>
        <v>1.0778651107263187E-4</v>
      </c>
      <c r="AB116" s="2">
        <f t="shared" ca="1" si="12"/>
        <v>-8.7057321757505676E-6</v>
      </c>
      <c r="AC116" s="2">
        <f t="shared" ca="1" si="13"/>
        <v>-9.4601375377257518E-6</v>
      </c>
      <c r="AD116" s="2">
        <f t="shared" ca="1" si="14"/>
        <v>-3.0991337204039609E-5</v>
      </c>
      <c r="AE116" s="2">
        <f t="shared" ca="1" si="15"/>
        <v>1.9686451077373357E-5</v>
      </c>
      <c r="AF116" s="2">
        <f t="shared" ca="1" si="16"/>
        <v>-6.8696852583000816E-5</v>
      </c>
      <c r="AG116" s="2">
        <f t="shared" ca="1" si="17"/>
        <v>-9.4362688177508823E-5</v>
      </c>
      <c r="AI116" s="2">
        <f t="shared" ca="1" si="18"/>
        <v>-1.1151488194062787E-5</v>
      </c>
      <c r="AJ116" s="11">
        <f t="shared" ca="1" si="19"/>
        <v>1.9686451077373357E-5</v>
      </c>
      <c r="AK116" s="2">
        <f t="shared" ca="1" si="20"/>
        <v>8.4560141316369499E-5</v>
      </c>
      <c r="AL116" s="2">
        <f t="shared" ca="1" si="21"/>
        <v>-1.9576643395206551E-5</v>
      </c>
      <c r="AM116" s="2">
        <f t="shared" ca="1" si="22"/>
        <v>-9.4601375377257518E-6</v>
      </c>
      <c r="AN116" s="2">
        <f t="shared" ca="1" si="23"/>
        <v>-3.0991337204039609E-5</v>
      </c>
      <c r="AO116" s="2">
        <f t="shared" ca="1" si="24"/>
        <v>1.9686451077373357E-5</v>
      </c>
      <c r="AP116" s="2">
        <f t="shared" ca="1" si="25"/>
        <v>-6.8696852583000816E-5</v>
      </c>
      <c r="AQ116" s="2">
        <f t="shared" ca="1" si="26"/>
        <v>-9.4362688177508823E-5</v>
      </c>
      <c r="AS116" s="2" t="e">
        <f t="shared" ca="1" si="27"/>
        <v>#N/A</v>
      </c>
      <c r="AT116" s="2" t="e">
        <f t="shared" ca="1" si="28"/>
        <v>#N/A</v>
      </c>
      <c r="AU116" s="2" t="e">
        <f t="shared" ca="1" si="29"/>
        <v>#N/A</v>
      </c>
      <c r="AV116" s="2" t="e">
        <f t="shared" ca="1" si="30"/>
        <v>#N/A</v>
      </c>
      <c r="AW116" s="2" t="e">
        <f t="shared" ca="1" si="31"/>
        <v>#N/A</v>
      </c>
      <c r="AX116" s="2" t="e">
        <f t="shared" ca="1" si="32"/>
        <v>#N/A</v>
      </c>
      <c r="AY116" s="9" t="e">
        <f t="shared" ca="1" si="33"/>
        <v>#N/A</v>
      </c>
      <c r="AZ116" s="9" t="e">
        <f t="shared" ca="1" si="34"/>
        <v>#N/A</v>
      </c>
      <c r="BB116" s="2" t="e">
        <f t="shared" ca="1" si="35"/>
        <v>#N/A</v>
      </c>
      <c r="BC116" s="2" t="e">
        <f t="shared" ca="1" si="41"/>
        <v>#N/A</v>
      </c>
      <c r="BD116" s="2" t="e">
        <f t="shared" ca="1" si="36"/>
        <v>#N/A</v>
      </c>
      <c r="BE116" s="2" t="e">
        <f t="shared" ca="1" si="37"/>
        <v>#N/A</v>
      </c>
      <c r="BF116" s="2" t="e">
        <f t="shared" ca="1" si="38"/>
        <v>#N/A</v>
      </c>
      <c r="BG116" s="2" t="e">
        <f t="shared" ca="1" si="39"/>
        <v>#N/A</v>
      </c>
      <c r="BH116" s="2" t="e">
        <f t="shared" ca="1" si="42"/>
        <v>#N/A</v>
      </c>
      <c r="BI116" s="2" t="e">
        <f t="shared" ca="1" si="40"/>
        <v>#N/A</v>
      </c>
    </row>
    <row r="117" spans="1:61" ht="15" x14ac:dyDescent="0.25">
      <c r="A117" s="66">
        <v>51</v>
      </c>
      <c r="B117" s="66">
        <v>1498730146.335</v>
      </c>
      <c r="C117" s="67">
        <v>1.3701647647720099E-4</v>
      </c>
      <c r="D117" s="67">
        <v>4.8003665102501998E-5</v>
      </c>
      <c r="E117" s="67">
        <v>9.03478125196937E-4</v>
      </c>
      <c r="F117" s="67">
        <v>-4.1713650329105202E-5</v>
      </c>
      <c r="G117" s="67">
        <v>6.2809398060681003E-5</v>
      </c>
      <c r="H117" s="67">
        <v>1.13908254787156E-3</v>
      </c>
      <c r="I117" s="67">
        <v>4.8003665102501998E-5</v>
      </c>
      <c r="J117" s="67">
        <v>6.8097468415890302E-4</v>
      </c>
      <c r="K117" s="67">
        <v>7.03625373179316E-3</v>
      </c>
      <c r="L117" s="67"/>
      <c r="M117" s="67"/>
      <c r="O117" s="11">
        <f t="shared" ca="1" si="0"/>
        <v>1.2421254576724095E-4</v>
      </c>
      <c r="P117" s="11">
        <f t="shared" ca="1" si="1"/>
        <v>4.723856487219726E-5</v>
      </c>
      <c r="Q117" s="11">
        <f t="shared" ca="1" si="2"/>
        <v>6.6986512928653109E-5</v>
      </c>
      <c r="R117" s="11">
        <f t="shared" ca="1" si="3"/>
        <v>-5.3360137975452329E-5</v>
      </c>
      <c r="S117" s="11">
        <f t="shared" ca="1" si="4"/>
        <v>5.1881746013710882E-5</v>
      </c>
      <c r="T117" s="11">
        <f t="shared" ca="1" si="5"/>
        <v>5.2750928925785097E-7</v>
      </c>
      <c r="U117" s="11">
        <f t="shared" ca="1" si="6"/>
        <v>4.723856487219726E-5</v>
      </c>
      <c r="V117" s="11">
        <f t="shared" ca="1" si="7"/>
        <v>3.0778678465128665E-5</v>
      </c>
      <c r="W117" s="11">
        <f t="shared" ca="1" si="8"/>
        <v>-8.6594531711827946E-5</v>
      </c>
      <c r="X117" s="11"/>
      <c r="Y117" s="2">
        <f t="shared" ca="1" si="9"/>
        <v>1.2421254576724095E-4</v>
      </c>
      <c r="Z117" s="11">
        <f t="shared" ca="1" si="10"/>
        <v>4.723856487219726E-5</v>
      </c>
      <c r="AA117" s="2">
        <f t="shared" ca="1" si="11"/>
        <v>6.6625102558395715E-5</v>
      </c>
      <c r="AB117" s="2">
        <f t="shared" ca="1" si="12"/>
        <v>-6.2107911710091354E-5</v>
      </c>
      <c r="AC117" s="2">
        <f t="shared" ca="1" si="13"/>
        <v>5.1881746013710882E-5</v>
      </c>
      <c r="AD117" s="2">
        <f t="shared" ca="1" si="14"/>
        <v>-6.3088929748093554E-5</v>
      </c>
      <c r="AE117" s="2">
        <f t="shared" ca="1" si="15"/>
        <v>4.723856487219726E-5</v>
      </c>
      <c r="AF117" s="2">
        <f t="shared" ca="1" si="16"/>
        <v>-6.3167483121663674E-5</v>
      </c>
      <c r="AG117" s="2">
        <f t="shared" ca="1" si="17"/>
        <v>-1.2471569860707748E-4</v>
      </c>
      <c r="AI117" s="2">
        <f t="shared" ca="1" si="18"/>
        <v>1.2421254576724095E-4</v>
      </c>
      <c r="AJ117" s="11">
        <f t="shared" ca="1" si="19"/>
        <v>4.723856487219726E-5</v>
      </c>
      <c r="AK117" s="2">
        <f t="shared" ca="1" si="20"/>
        <v>1.0892336395281331E-5</v>
      </c>
      <c r="AL117" s="2">
        <f t="shared" ca="1" si="21"/>
        <v>-8.8193174251413009E-5</v>
      </c>
      <c r="AM117" s="2">
        <f t="shared" ca="1" si="22"/>
        <v>5.1881746013710882E-5</v>
      </c>
      <c r="AN117" s="2">
        <f t="shared" ca="1" si="23"/>
        <v>-6.3088929748093554E-5</v>
      </c>
      <c r="AO117" s="2">
        <f t="shared" ca="1" si="24"/>
        <v>4.723856487219726E-5</v>
      </c>
      <c r="AP117" s="2">
        <f t="shared" ca="1" si="25"/>
        <v>-6.3167483121663674E-5</v>
      </c>
      <c r="AQ117" s="2">
        <f t="shared" ca="1" si="26"/>
        <v>-1.2471569860707748E-4</v>
      </c>
      <c r="AS117" s="2" t="e">
        <f t="shared" ca="1" si="27"/>
        <v>#N/A</v>
      </c>
      <c r="AT117" s="2" t="e">
        <f t="shared" ca="1" si="28"/>
        <v>#N/A</v>
      </c>
      <c r="AU117" s="2" t="e">
        <f t="shared" ca="1" si="29"/>
        <v>#N/A</v>
      </c>
      <c r="AV117" s="2" t="e">
        <f t="shared" ca="1" si="30"/>
        <v>#N/A</v>
      </c>
      <c r="AW117" s="2" t="e">
        <f t="shared" ca="1" si="31"/>
        <v>#N/A</v>
      </c>
      <c r="AX117" s="2" t="e">
        <f t="shared" ca="1" si="32"/>
        <v>#N/A</v>
      </c>
      <c r="AY117" s="9" t="e">
        <f t="shared" ca="1" si="33"/>
        <v>#N/A</v>
      </c>
      <c r="AZ117" s="9" t="e">
        <f t="shared" ca="1" si="34"/>
        <v>#N/A</v>
      </c>
      <c r="BB117" s="2" t="e">
        <f t="shared" ca="1" si="35"/>
        <v>#N/A</v>
      </c>
      <c r="BC117" s="2" t="e">
        <f t="shared" ca="1" si="41"/>
        <v>#N/A</v>
      </c>
      <c r="BD117" s="2" t="e">
        <f t="shared" ca="1" si="36"/>
        <v>#N/A</v>
      </c>
      <c r="BE117" s="2" t="e">
        <f t="shared" ca="1" si="37"/>
        <v>#N/A</v>
      </c>
      <c r="BF117" s="2" t="e">
        <f t="shared" ca="1" si="38"/>
        <v>#N/A</v>
      </c>
      <c r="BG117" s="2" t="e">
        <f t="shared" ca="1" si="39"/>
        <v>#N/A</v>
      </c>
      <c r="BH117" s="2" t="e">
        <f t="shared" ca="1" si="42"/>
        <v>#N/A</v>
      </c>
      <c r="BI117" s="2" t="e">
        <f t="shared" ca="1" si="40"/>
        <v>#N/A</v>
      </c>
    </row>
    <row r="118" spans="1:61" ht="15" x14ac:dyDescent="0.25">
      <c r="A118" s="66">
        <v>52</v>
      </c>
      <c r="B118" s="66">
        <v>1498730146.862</v>
      </c>
      <c r="C118" s="67">
        <v>-8.76351882508015E-5</v>
      </c>
      <c r="D118" s="67">
        <v>3.8385548399333397E-5</v>
      </c>
      <c r="E118" s="67">
        <v>8.6348702976571899E-4</v>
      </c>
      <c r="F118" s="67">
        <v>-1.8396700803737901E-5</v>
      </c>
      <c r="G118" s="67">
        <v>2.6659000495745799E-5</v>
      </c>
      <c r="H118" s="67">
        <v>1.12811488176745E-3</v>
      </c>
      <c r="I118" s="67">
        <v>3.8385548399333397E-5</v>
      </c>
      <c r="J118" s="67">
        <v>6.1851338238577301E-4</v>
      </c>
      <c r="K118" s="67">
        <v>7.1205477432070398E-3</v>
      </c>
      <c r="L118" s="67"/>
      <c r="M118" s="67"/>
      <c r="O118" s="11">
        <f t="shared" ca="1" si="0"/>
        <v>-1.0043911896076153E-4</v>
      </c>
      <c r="P118" s="11">
        <f t="shared" ca="1" si="1"/>
        <v>3.7620448169028658E-5</v>
      </c>
      <c r="Q118" s="11">
        <f t="shared" ca="1" si="2"/>
        <v>2.6995417497435096E-5</v>
      </c>
      <c r="R118" s="11">
        <f t="shared" ca="1" si="3"/>
        <v>-3.0043188450085025E-5</v>
      </c>
      <c r="S118" s="11">
        <f t="shared" ca="1" si="4"/>
        <v>1.5731348448775675E-5</v>
      </c>
      <c r="T118" s="11">
        <f t="shared" ca="1" si="5"/>
        <v>-1.0440156814852134E-5</v>
      </c>
      <c r="U118" s="11">
        <f t="shared" ca="1" si="6"/>
        <v>3.7620448169028658E-5</v>
      </c>
      <c r="V118" s="11">
        <f t="shared" ca="1" si="7"/>
        <v>-3.1682623308001349E-5</v>
      </c>
      <c r="W118" s="11">
        <f t="shared" ca="1" si="8"/>
        <v>-2.3005202979481734E-6</v>
      </c>
      <c r="X118" s="11"/>
      <c r="Y118" s="2">
        <f t="shared" ca="1" si="9"/>
        <v>-1.0043911896076153E-4</v>
      </c>
      <c r="Z118" s="11">
        <f t="shared" ca="1" si="10"/>
        <v>3.7620448169028658E-5</v>
      </c>
      <c r="AA118" s="2">
        <f t="shared" ca="1" si="11"/>
        <v>2.6707592917268401E-5</v>
      </c>
      <c r="AB118" s="2">
        <f t="shared" ca="1" si="12"/>
        <v>-3.7009851583665317E-5</v>
      </c>
      <c r="AC118" s="2">
        <f t="shared" ca="1" si="13"/>
        <v>1.5731348448775675E-5</v>
      </c>
      <c r="AD118" s="2">
        <f t="shared" ca="1" si="14"/>
        <v>-6.1103824391921957E-5</v>
      </c>
      <c r="AE118" s="2">
        <f t="shared" ca="1" si="15"/>
        <v>3.7620448169028658E-5</v>
      </c>
      <c r="AF118" s="2">
        <f t="shared" ca="1" si="16"/>
        <v>-1.0650066048201505E-4</v>
      </c>
      <c r="AG118" s="2">
        <f t="shared" ca="1" si="17"/>
        <v>-3.2659939285498773E-5</v>
      </c>
      <c r="AI118" s="2">
        <f t="shared" ca="1" si="18"/>
        <v>-1.0043911896076153E-4</v>
      </c>
      <c r="AJ118" s="11">
        <f t="shared" ca="1" si="19"/>
        <v>3.7620448169028658E-5</v>
      </c>
      <c r="AK118" s="2">
        <f t="shared" ca="1" si="20"/>
        <v>-1.7677575142527344E-5</v>
      </c>
      <c r="AL118" s="2">
        <f t="shared" ca="1" si="21"/>
        <v>-5.7783964219523004E-5</v>
      </c>
      <c r="AM118" s="2">
        <f t="shared" ca="1" si="22"/>
        <v>1.5731348448775675E-5</v>
      </c>
      <c r="AN118" s="2">
        <f t="shared" ca="1" si="23"/>
        <v>-6.1103824391921957E-5</v>
      </c>
      <c r="AO118" s="2">
        <f t="shared" ca="1" si="24"/>
        <v>3.7620448169028658E-5</v>
      </c>
      <c r="AP118" s="2">
        <f t="shared" ca="1" si="25"/>
        <v>-1.0650066048201505E-4</v>
      </c>
      <c r="AQ118" s="2">
        <f t="shared" ca="1" si="26"/>
        <v>-3.2659939285498773E-5</v>
      </c>
      <c r="AS118" s="2" t="e">
        <f t="shared" ca="1" si="27"/>
        <v>#N/A</v>
      </c>
      <c r="AT118" s="2" t="e">
        <f t="shared" ca="1" si="28"/>
        <v>#N/A</v>
      </c>
      <c r="AU118" s="2" t="e">
        <f t="shared" ca="1" si="29"/>
        <v>#N/A</v>
      </c>
      <c r="AV118" s="2" t="e">
        <f t="shared" ca="1" si="30"/>
        <v>#N/A</v>
      </c>
      <c r="AW118" s="2" t="e">
        <f t="shared" ca="1" si="31"/>
        <v>#N/A</v>
      </c>
      <c r="AX118" s="2" t="e">
        <f t="shared" ca="1" si="32"/>
        <v>#N/A</v>
      </c>
      <c r="AY118" s="9" t="e">
        <f t="shared" ca="1" si="33"/>
        <v>#N/A</v>
      </c>
      <c r="AZ118" s="9" t="e">
        <f t="shared" ca="1" si="34"/>
        <v>#N/A</v>
      </c>
      <c r="BB118" s="2" t="e">
        <f t="shared" ca="1" si="35"/>
        <v>#N/A</v>
      </c>
      <c r="BC118" s="2" t="e">
        <f t="shared" ca="1" si="41"/>
        <v>#N/A</v>
      </c>
      <c r="BD118" s="2" t="e">
        <f t="shared" ca="1" si="36"/>
        <v>#N/A</v>
      </c>
      <c r="BE118" s="2" t="e">
        <f t="shared" ca="1" si="37"/>
        <v>#N/A</v>
      </c>
      <c r="BF118" s="2" t="e">
        <f t="shared" ca="1" si="38"/>
        <v>#N/A</v>
      </c>
      <c r="BG118" s="2" t="e">
        <f t="shared" ca="1" si="39"/>
        <v>#N/A</v>
      </c>
      <c r="BH118" s="2" t="e">
        <f t="shared" ca="1" si="42"/>
        <v>#N/A</v>
      </c>
      <c r="BI118" s="2" t="e">
        <f t="shared" ca="1" si="40"/>
        <v>#N/A</v>
      </c>
    </row>
    <row r="119" spans="1:61" ht="15" x14ac:dyDescent="0.25">
      <c r="A119" s="66">
        <v>53</v>
      </c>
      <c r="B119" s="66">
        <v>1498730147.3889999</v>
      </c>
      <c r="C119" s="67">
        <v>2.8345807637826598E-5</v>
      </c>
      <c r="D119" s="67">
        <v>3.9590715849299798E-5</v>
      </c>
      <c r="E119" s="67">
        <v>7.8949572395901196E-4</v>
      </c>
      <c r="F119" s="67">
        <v>6.9879540191368294E-5</v>
      </c>
      <c r="G119" s="67">
        <v>-7.7128333171842201E-6</v>
      </c>
      <c r="H119" s="67">
        <v>1.2127597698420301E-3</v>
      </c>
      <c r="I119" s="67">
        <v>3.9590715849299798E-5</v>
      </c>
      <c r="J119" s="67">
        <v>5.9642724187906903E-4</v>
      </c>
      <c r="K119" s="67">
        <v>7.0314780791818996E-3</v>
      </c>
      <c r="L119" s="67"/>
      <c r="M119" s="67"/>
      <c r="O119" s="11">
        <f t="shared" ca="1" si="0"/>
        <v>1.5541876927866571E-5</v>
      </c>
      <c r="P119" s="11">
        <f t="shared" ca="1" si="1"/>
        <v>3.882561561899506E-5</v>
      </c>
      <c r="Q119" s="11">
        <f t="shared" ca="1" si="2"/>
        <v>-4.6995888309271931E-5</v>
      </c>
      <c r="R119" s="11">
        <f t="shared" ca="1" si="3"/>
        <v>5.8233052545021173E-5</v>
      </c>
      <c r="S119" s="11">
        <f t="shared" ca="1" si="4"/>
        <v>-1.8640485364154342E-5</v>
      </c>
      <c r="T119" s="11">
        <f t="shared" ca="1" si="5"/>
        <v>7.4204731259727924E-5</v>
      </c>
      <c r="U119" s="11">
        <f t="shared" ca="1" si="6"/>
        <v>3.882561561899506E-5</v>
      </c>
      <c r="V119" s="11">
        <f t="shared" ca="1" si="7"/>
        <v>-5.3768763814705323E-5</v>
      </c>
      <c r="W119" s="11">
        <f t="shared" ca="1" si="8"/>
        <v>-9.1370184323088383E-5</v>
      </c>
      <c r="X119" s="11"/>
      <c r="Y119" s="2">
        <f t="shared" ca="1" si="9"/>
        <v>1.5541876927866571E-5</v>
      </c>
      <c r="Z119" s="11">
        <f t="shared" ca="1" si="10"/>
        <v>3.882561561899506E-5</v>
      </c>
      <c r="AA119" s="2">
        <f t="shared" ca="1" si="11"/>
        <v>-4.729293332226704E-5</v>
      </c>
      <c r="AB119" s="2">
        <f t="shared" ca="1" si="12"/>
        <v>5.1043213025935087E-5</v>
      </c>
      <c r="AC119" s="2">
        <f t="shared" ca="1" si="13"/>
        <v>-1.8640485364154342E-5</v>
      </c>
      <c r="AD119" s="2">
        <f t="shared" ca="1" si="14"/>
        <v>2.1918057949566663E-5</v>
      </c>
      <c r="AE119" s="2">
        <f t="shared" ca="1" si="15"/>
        <v>3.882561561899506E-5</v>
      </c>
      <c r="AF119" s="2">
        <f t="shared" ca="1" si="16"/>
        <v>-1.3098358963587633E-4</v>
      </c>
      <c r="AG119" s="2">
        <f t="shared" ca="1" si="17"/>
        <v>-1.2270216438697962E-4</v>
      </c>
      <c r="AI119" s="2">
        <f t="shared" ca="1" si="18"/>
        <v>1.5541876927866571E-5</v>
      </c>
      <c r="AJ119" s="11">
        <f t="shared" ca="1" si="19"/>
        <v>3.882561561899506E-5</v>
      </c>
      <c r="AK119" s="2">
        <f t="shared" ca="1" si="20"/>
        <v>-9.3099975985114203E-5</v>
      </c>
      <c r="AL119" s="2">
        <f t="shared" ca="1" si="21"/>
        <v>2.9603603683653719E-5</v>
      </c>
      <c r="AM119" s="2">
        <f t="shared" ca="1" si="22"/>
        <v>-1.8640485364154342E-5</v>
      </c>
      <c r="AN119" s="2">
        <f t="shared" ca="1" si="23"/>
        <v>2.1918057949566663E-5</v>
      </c>
      <c r="AO119" s="2">
        <f t="shared" ca="1" si="24"/>
        <v>3.882561561899506E-5</v>
      </c>
      <c r="AP119" s="2">
        <f t="shared" ca="1" si="25"/>
        <v>-1.3098358963587633E-4</v>
      </c>
      <c r="AQ119" s="2">
        <f t="shared" ca="1" si="26"/>
        <v>-1.2270216438697962E-4</v>
      </c>
      <c r="AS119" s="2" t="e">
        <f t="shared" ca="1" si="27"/>
        <v>#N/A</v>
      </c>
      <c r="AT119" s="2" t="e">
        <f t="shared" ca="1" si="28"/>
        <v>#N/A</v>
      </c>
      <c r="AU119" s="2" t="e">
        <f t="shared" ca="1" si="29"/>
        <v>#N/A</v>
      </c>
      <c r="AV119" s="2" t="e">
        <f t="shared" ca="1" si="30"/>
        <v>#N/A</v>
      </c>
      <c r="AW119" s="2" t="e">
        <f t="shared" ca="1" si="31"/>
        <v>#N/A</v>
      </c>
      <c r="AX119" s="2" t="e">
        <f t="shared" ca="1" si="32"/>
        <v>#N/A</v>
      </c>
      <c r="AY119" s="9" t="e">
        <f t="shared" ca="1" si="33"/>
        <v>#N/A</v>
      </c>
      <c r="AZ119" s="9" t="e">
        <f t="shared" ca="1" si="34"/>
        <v>#N/A</v>
      </c>
      <c r="BB119" s="2" t="e">
        <f t="shared" ca="1" si="35"/>
        <v>#N/A</v>
      </c>
      <c r="BC119" s="2" t="e">
        <f t="shared" ca="1" si="41"/>
        <v>#N/A</v>
      </c>
      <c r="BD119" s="2" t="e">
        <f t="shared" ca="1" si="36"/>
        <v>#N/A</v>
      </c>
      <c r="BE119" s="2" t="e">
        <f t="shared" ca="1" si="37"/>
        <v>#N/A</v>
      </c>
      <c r="BF119" s="2" t="e">
        <f t="shared" ca="1" si="38"/>
        <v>#N/A</v>
      </c>
      <c r="BG119" s="2" t="e">
        <f t="shared" ca="1" si="39"/>
        <v>#N/A</v>
      </c>
      <c r="BH119" s="2" t="e">
        <f t="shared" ca="1" si="42"/>
        <v>#N/A</v>
      </c>
      <c r="BI119" s="2" t="e">
        <f t="shared" ca="1" si="40"/>
        <v>#N/A</v>
      </c>
    </row>
    <row r="120" spans="1:61" ht="15" x14ac:dyDescent="0.25">
      <c r="A120" s="66">
        <v>54</v>
      </c>
      <c r="B120" s="66">
        <v>1498730147.9159999</v>
      </c>
      <c r="C120" s="67">
        <v>-1.34656050205114E-5</v>
      </c>
      <c r="D120" s="67">
        <v>-4.7002271013186199E-5</v>
      </c>
      <c r="E120" s="67">
        <v>7.56692259382982E-4</v>
      </c>
      <c r="F120" s="67">
        <v>-5.4323610482940297E-5</v>
      </c>
      <c r="G120" s="67">
        <v>-1.41774567059952E-4</v>
      </c>
      <c r="H120" s="67">
        <v>1.1665022392352701E-3</v>
      </c>
      <c r="I120" s="67">
        <v>-4.7002271013186199E-5</v>
      </c>
      <c r="J120" s="67">
        <v>6.7764964940834102E-4</v>
      </c>
      <c r="K120" s="67">
        <v>6.9450426974392802E-3</v>
      </c>
      <c r="L120" s="67"/>
      <c r="M120" s="67"/>
      <c r="O120" s="11">
        <f t="shared" ca="1" si="0"/>
        <v>-2.6269535730471428E-5</v>
      </c>
      <c r="P120" s="11">
        <f t="shared" ca="1" si="1"/>
        <v>-4.7767371243490937E-5</v>
      </c>
      <c r="Q120" s="11">
        <f t="shared" ca="1" si="2"/>
        <v>-7.9799352885301898E-5</v>
      </c>
      <c r="R120" s="11">
        <f t="shared" ca="1" si="3"/>
        <v>-6.5970098129287418E-5</v>
      </c>
      <c r="S120" s="11">
        <f t="shared" ca="1" si="4"/>
        <v>-1.5270221910692212E-4</v>
      </c>
      <c r="T120" s="11">
        <f t="shared" ca="1" si="5"/>
        <v>2.7947200652967937E-5</v>
      </c>
      <c r="U120" s="11">
        <f t="shared" ca="1" si="6"/>
        <v>-4.7767371243490937E-5</v>
      </c>
      <c r="V120" s="11">
        <f t="shared" ca="1" si="7"/>
        <v>2.7453643714566659E-5</v>
      </c>
      <c r="W120" s="11">
        <f t="shared" ca="1" si="8"/>
        <v>-1.7780556606570783E-4</v>
      </c>
      <c r="X120" s="11"/>
      <c r="Y120" s="2">
        <f t="shared" ca="1" si="9"/>
        <v>-2.6269535730471428E-5</v>
      </c>
      <c r="Z120" s="11">
        <f t="shared" ca="1" si="10"/>
        <v>-4.7767371243490937E-5</v>
      </c>
      <c r="AA120" s="2">
        <f t="shared" ca="1" si="11"/>
        <v>-7.9799352885301898E-5</v>
      </c>
      <c r="AB120" s="2">
        <f t="shared" ca="1" si="12"/>
        <v>-6.5970098129287418E-5</v>
      </c>
      <c r="AC120" s="2">
        <f t="shared" ca="1" si="13"/>
        <v>-1.5270221910692212E-4</v>
      </c>
      <c r="AD120" s="2">
        <f t="shared" ca="1" si="14"/>
        <v>2.7947200652967937E-5</v>
      </c>
      <c r="AE120" s="2">
        <f t="shared" ca="1" si="15"/>
        <v>-4.7767371243490937E-5</v>
      </c>
      <c r="AF120" s="2">
        <f t="shared" ca="1" si="16"/>
        <v>2.7453643714566659E-5</v>
      </c>
      <c r="AG120" s="2">
        <f t="shared" ca="1" si="17"/>
        <v>-1.7780556606570783E-4</v>
      </c>
      <c r="AI120" s="2">
        <f t="shared" ca="1" si="18"/>
        <v>-2.6269535730471428E-5</v>
      </c>
      <c r="AJ120" s="11">
        <f t="shared" ca="1" si="19"/>
        <v>-4.7767371243490937E-5</v>
      </c>
      <c r="AK120" s="2">
        <f t="shared" ca="1" si="20"/>
        <v>-7.9799352885301898E-5</v>
      </c>
      <c r="AL120" s="2">
        <f t="shared" ca="1" si="21"/>
        <v>-6.5970098129287418E-5</v>
      </c>
      <c r="AM120" s="2">
        <f t="shared" ca="1" si="22"/>
        <v>-1.5270221910692212E-4</v>
      </c>
      <c r="AN120" s="2">
        <f t="shared" ca="1" si="23"/>
        <v>2.7947200652967937E-5</v>
      </c>
      <c r="AO120" s="2">
        <f t="shared" ca="1" si="24"/>
        <v>-4.7767371243490937E-5</v>
      </c>
      <c r="AP120" s="2">
        <f t="shared" ca="1" si="25"/>
        <v>2.7453643714566659E-5</v>
      </c>
      <c r="AQ120" s="2">
        <f t="shared" ca="1" si="26"/>
        <v>-1.7780556606570783E-4</v>
      </c>
      <c r="AS120" s="2" t="e">
        <f t="shared" ca="1" si="27"/>
        <v>#N/A</v>
      </c>
      <c r="AT120" s="2" t="e">
        <f t="shared" ca="1" si="28"/>
        <v>#N/A</v>
      </c>
      <c r="AU120" s="2" t="e">
        <f t="shared" ca="1" si="29"/>
        <v>#N/A</v>
      </c>
      <c r="AV120" s="2" t="e">
        <f t="shared" ca="1" si="30"/>
        <v>#N/A</v>
      </c>
      <c r="AW120" s="2" t="e">
        <f t="shared" ca="1" si="31"/>
        <v>#N/A</v>
      </c>
      <c r="AX120" s="2" t="e">
        <f t="shared" ca="1" si="32"/>
        <v>#N/A</v>
      </c>
      <c r="AY120" s="9" t="e">
        <f t="shared" ca="1" si="33"/>
        <v>#N/A</v>
      </c>
      <c r="AZ120" s="9" t="e">
        <f t="shared" ca="1" si="34"/>
        <v>#N/A</v>
      </c>
      <c r="BB120" s="2" t="e">
        <f t="shared" ca="1" si="35"/>
        <v>#N/A</v>
      </c>
      <c r="BC120" s="2" t="e">
        <f t="shared" ca="1" si="41"/>
        <v>#N/A</v>
      </c>
      <c r="BD120" s="2" t="e">
        <f t="shared" ca="1" si="36"/>
        <v>#N/A</v>
      </c>
      <c r="BE120" s="2" t="e">
        <f t="shared" ca="1" si="37"/>
        <v>#N/A</v>
      </c>
      <c r="BF120" s="2" t="e">
        <f t="shared" ca="1" si="38"/>
        <v>#N/A</v>
      </c>
      <c r="BG120" s="2" t="e">
        <f t="shared" ca="1" si="39"/>
        <v>#N/A</v>
      </c>
      <c r="BH120" s="2" t="e">
        <f t="shared" ca="1" si="42"/>
        <v>#N/A</v>
      </c>
      <c r="BI120" s="2" t="e">
        <f t="shared" ca="1" si="40"/>
        <v>#N/A</v>
      </c>
    </row>
    <row r="121" spans="1:61" ht="15" x14ac:dyDescent="0.25">
      <c r="A121" s="66">
        <v>55</v>
      </c>
      <c r="B121" s="66">
        <v>1498730148.4430001</v>
      </c>
      <c r="C121" s="67">
        <v>9.92022219950617E-6</v>
      </c>
      <c r="D121" s="67">
        <v>2.9595358114632001E-5</v>
      </c>
      <c r="E121" s="67">
        <v>8.1679285340168504E-4</v>
      </c>
      <c r="F121" s="67">
        <v>4.9177942316513102E-5</v>
      </c>
      <c r="G121" s="67">
        <v>-6.1530185307381502E-5</v>
      </c>
      <c r="H121" s="67">
        <v>1.22825890541165E-3</v>
      </c>
      <c r="I121" s="67">
        <v>2.9595358114632001E-5</v>
      </c>
      <c r="J121" s="67">
        <v>6.1946333487910405E-4</v>
      </c>
      <c r="K121" s="67">
        <v>6.9782310928353302E-3</v>
      </c>
      <c r="L121" s="67"/>
      <c r="M121" s="67"/>
      <c r="O121" s="11">
        <f t="shared" ca="1" si="0"/>
        <v>-2.8837085104538578E-6</v>
      </c>
      <c r="P121" s="11">
        <f t="shared" ca="1" si="1"/>
        <v>2.8830257884327259E-5</v>
      </c>
      <c r="Q121" s="11">
        <f t="shared" ca="1" si="2"/>
        <v>-1.969875886659886E-5</v>
      </c>
      <c r="R121" s="11">
        <f t="shared" ca="1" si="3"/>
        <v>3.7531454670165982E-5</v>
      </c>
      <c r="S121" s="11">
        <f t="shared" ca="1" si="4"/>
        <v>-7.245783735435163E-5</v>
      </c>
      <c r="T121" s="11">
        <f t="shared" ca="1" si="5"/>
        <v>8.9703866829347889E-5</v>
      </c>
      <c r="U121" s="11">
        <f t="shared" ca="1" si="6"/>
        <v>2.8830257884327259E-5</v>
      </c>
      <c r="V121" s="11">
        <f t="shared" ca="1" si="7"/>
        <v>-3.0732670814670308E-5</v>
      </c>
      <c r="W121" s="11">
        <f t="shared" ca="1" si="8"/>
        <v>-1.4461717066965776E-4</v>
      </c>
      <c r="X121" s="11"/>
      <c r="Y121" s="2">
        <f t="shared" ca="1" si="9"/>
        <v>-2.8837085104538578E-6</v>
      </c>
      <c r="Z121" s="11">
        <f t="shared" ca="1" si="10"/>
        <v>2.8830257884327259E-5</v>
      </c>
      <c r="AA121" s="2">
        <f t="shared" ca="1" si="11"/>
        <v>-1.9919331913319912E-5</v>
      </c>
      <c r="AB121" s="2">
        <f t="shared" ca="1" si="12"/>
        <v>3.2192584334758673E-5</v>
      </c>
      <c r="AC121" s="2">
        <f t="shared" ca="1" si="13"/>
        <v>-7.245783735435163E-5</v>
      </c>
      <c r="AD121" s="2">
        <f t="shared" ca="1" si="14"/>
        <v>5.0877997582653434E-5</v>
      </c>
      <c r="AE121" s="2">
        <f t="shared" ca="1" si="15"/>
        <v>2.8830257884327259E-5</v>
      </c>
      <c r="AF121" s="2">
        <f t="shared" ca="1" si="16"/>
        <v>-8.8069130402671327E-5</v>
      </c>
      <c r="AG121" s="2">
        <f t="shared" ca="1" si="17"/>
        <v>-1.6788297214806753E-4</v>
      </c>
      <c r="AI121" s="2">
        <f t="shared" ca="1" si="18"/>
        <v>-2.8837085104538578E-6</v>
      </c>
      <c r="AJ121" s="11">
        <f t="shared" ca="1" si="19"/>
        <v>2.8830257884327259E-5</v>
      </c>
      <c r="AK121" s="2">
        <f t="shared" ca="1" si="20"/>
        <v>-5.3933701855265136E-5</v>
      </c>
      <c r="AL121" s="2">
        <f t="shared" ca="1" si="21"/>
        <v>1.6272438409891496E-5</v>
      </c>
      <c r="AM121" s="2">
        <f t="shared" ca="1" si="22"/>
        <v>-7.245783735435163E-5</v>
      </c>
      <c r="AN121" s="2">
        <f t="shared" ca="1" si="23"/>
        <v>5.0877997582653434E-5</v>
      </c>
      <c r="AO121" s="2">
        <f t="shared" ca="1" si="24"/>
        <v>2.8830257884327259E-5</v>
      </c>
      <c r="AP121" s="2">
        <f t="shared" ca="1" si="25"/>
        <v>-8.8069130402671327E-5</v>
      </c>
      <c r="AQ121" s="2">
        <f t="shared" ca="1" si="26"/>
        <v>-1.6788297214806753E-4</v>
      </c>
      <c r="AS121" s="2" t="e">
        <f t="shared" ca="1" si="27"/>
        <v>#N/A</v>
      </c>
      <c r="AT121" s="2" t="e">
        <f t="shared" ca="1" si="28"/>
        <v>#N/A</v>
      </c>
      <c r="AU121" s="2" t="e">
        <f t="shared" ca="1" si="29"/>
        <v>#N/A</v>
      </c>
      <c r="AV121" s="2" t="e">
        <f t="shared" ca="1" si="30"/>
        <v>#N/A</v>
      </c>
      <c r="AW121" s="2" t="e">
        <f t="shared" ca="1" si="31"/>
        <v>#N/A</v>
      </c>
      <c r="AX121" s="2" t="e">
        <f t="shared" ca="1" si="32"/>
        <v>#N/A</v>
      </c>
      <c r="AY121" s="9" t="e">
        <f t="shared" ca="1" si="33"/>
        <v>#N/A</v>
      </c>
      <c r="AZ121" s="9" t="e">
        <f t="shared" ca="1" si="34"/>
        <v>#N/A</v>
      </c>
      <c r="BB121" s="2" t="e">
        <f t="shared" ca="1" si="35"/>
        <v>#N/A</v>
      </c>
      <c r="BC121" s="2" t="e">
        <f t="shared" ca="1" si="41"/>
        <v>#N/A</v>
      </c>
      <c r="BD121" s="2" t="e">
        <f t="shared" ca="1" si="36"/>
        <v>#N/A</v>
      </c>
      <c r="BE121" s="2" t="e">
        <f t="shared" ca="1" si="37"/>
        <v>#N/A</v>
      </c>
      <c r="BF121" s="2" t="e">
        <f t="shared" ca="1" si="38"/>
        <v>#N/A</v>
      </c>
      <c r="BG121" s="2" t="e">
        <f t="shared" ca="1" si="39"/>
        <v>#N/A</v>
      </c>
      <c r="BH121" s="2" t="e">
        <f t="shared" ca="1" si="42"/>
        <v>#N/A</v>
      </c>
      <c r="BI121" s="2" t="e">
        <f t="shared" ca="1" si="40"/>
        <v>#N/A</v>
      </c>
    </row>
    <row r="122" spans="1:61" ht="15" x14ac:dyDescent="0.25">
      <c r="A122" s="66">
        <v>56</v>
      </c>
      <c r="B122" s="66">
        <v>1498730148.97</v>
      </c>
      <c r="C122" s="67">
        <v>1.0628892235247599E-5</v>
      </c>
      <c r="D122" s="67">
        <v>2.8278833290278098E-6</v>
      </c>
      <c r="E122" s="67">
        <v>8.57739937188018E-4</v>
      </c>
      <c r="F122" s="67">
        <v>1.1651919520290699E-4</v>
      </c>
      <c r="G122" s="67">
        <v>1.10708414016684E-4</v>
      </c>
      <c r="H122" s="67">
        <v>1.1927304733984499E-3</v>
      </c>
      <c r="I122" s="67">
        <v>2.8278833290278098E-6</v>
      </c>
      <c r="J122" s="67">
        <v>6.5437471640494599E-4</v>
      </c>
      <c r="K122" s="67">
        <v>7.0591771808694E-3</v>
      </c>
      <c r="L122" s="67"/>
      <c r="M122" s="67"/>
      <c r="O122" s="11">
        <f t="shared" ca="1" si="0"/>
        <v>-2.1750384747124283E-6</v>
      </c>
      <c r="P122" s="11">
        <f t="shared" ca="1" si="1"/>
        <v>2.0627830987230695E-6</v>
      </c>
      <c r="Q122" s="11">
        <f t="shared" ca="1" si="2"/>
        <v>2.12483249197341E-5</v>
      </c>
      <c r="R122" s="11">
        <f t="shared" ca="1" si="3"/>
        <v>1.0487270755655987E-4</v>
      </c>
      <c r="S122" s="11">
        <f t="shared" ca="1" si="4"/>
        <v>9.9780761969713871E-5</v>
      </c>
      <c r="T122" s="11">
        <f t="shared" ca="1" si="5"/>
        <v>5.4175434816147771E-5</v>
      </c>
      <c r="U122" s="11">
        <f t="shared" ca="1" si="6"/>
        <v>2.0627830987230695E-6</v>
      </c>
      <c r="V122" s="11">
        <f t="shared" ca="1" si="7"/>
        <v>4.1787107111716359E-6</v>
      </c>
      <c r="W122" s="11">
        <f t="shared" ca="1" si="8"/>
        <v>-6.3671082635587996E-5</v>
      </c>
      <c r="X122" s="11"/>
      <c r="Y122" s="2">
        <f t="shared" ca="1" si="9"/>
        <v>-2.1750384747124283E-6</v>
      </c>
      <c r="Z122" s="11">
        <f t="shared" ca="1" si="10"/>
        <v>2.0627830987230695E-6</v>
      </c>
      <c r="AA122" s="2">
        <f t="shared" ca="1" si="11"/>
        <v>2.1232543085432249E-5</v>
      </c>
      <c r="AB122" s="2">
        <f t="shared" ca="1" si="12"/>
        <v>1.0449071543084465E-4</v>
      </c>
      <c r="AC122" s="2">
        <f t="shared" ca="1" si="13"/>
        <v>9.9780761969713871E-5</v>
      </c>
      <c r="AD122" s="2">
        <f t="shared" ca="1" si="14"/>
        <v>5.1397473300969946E-5</v>
      </c>
      <c r="AE122" s="2">
        <f t="shared" ca="1" si="15"/>
        <v>2.0627830987230695E-6</v>
      </c>
      <c r="AF122" s="2">
        <f t="shared" ca="1" si="16"/>
        <v>7.6330487821559029E-8</v>
      </c>
      <c r="AG122" s="2">
        <f t="shared" ca="1" si="17"/>
        <v>-6.5335733096241681E-5</v>
      </c>
      <c r="AI122" s="2">
        <f t="shared" ca="1" si="18"/>
        <v>-2.1750384747124283E-6</v>
      </c>
      <c r="AJ122" s="11">
        <f t="shared" ca="1" si="19"/>
        <v>2.0627830987230695E-6</v>
      </c>
      <c r="AK122" s="2">
        <f t="shared" ca="1" si="20"/>
        <v>1.8798840698465347E-5</v>
      </c>
      <c r="AL122" s="2">
        <f t="shared" ca="1" si="21"/>
        <v>1.0335164105715084E-4</v>
      </c>
      <c r="AM122" s="2">
        <f t="shared" ca="1" si="22"/>
        <v>9.9780761969713871E-5</v>
      </c>
      <c r="AN122" s="2">
        <f t="shared" ca="1" si="23"/>
        <v>5.1397473300969946E-5</v>
      </c>
      <c r="AO122" s="2">
        <f t="shared" ca="1" si="24"/>
        <v>2.0627830987230695E-6</v>
      </c>
      <c r="AP122" s="2">
        <f t="shared" ca="1" si="25"/>
        <v>7.6330487821559029E-8</v>
      </c>
      <c r="AQ122" s="2">
        <f t="shared" ca="1" si="26"/>
        <v>-6.5335733096241681E-5</v>
      </c>
      <c r="AS122" s="2" t="e">
        <f t="shared" ca="1" si="27"/>
        <v>#N/A</v>
      </c>
      <c r="AT122" s="2" t="e">
        <f t="shared" ca="1" si="28"/>
        <v>#N/A</v>
      </c>
      <c r="AU122" s="2" t="e">
        <f t="shared" ca="1" si="29"/>
        <v>#N/A</v>
      </c>
      <c r="AV122" s="2" t="e">
        <f t="shared" ca="1" si="30"/>
        <v>#N/A</v>
      </c>
      <c r="AW122" s="2" t="e">
        <f t="shared" ca="1" si="31"/>
        <v>#N/A</v>
      </c>
      <c r="AX122" s="2" t="e">
        <f t="shared" ca="1" si="32"/>
        <v>#N/A</v>
      </c>
      <c r="AY122" s="9" t="e">
        <f t="shared" ca="1" si="33"/>
        <v>#N/A</v>
      </c>
      <c r="AZ122" s="9" t="e">
        <f t="shared" ca="1" si="34"/>
        <v>#N/A</v>
      </c>
      <c r="BB122" s="2" t="e">
        <f t="shared" ca="1" si="35"/>
        <v>#N/A</v>
      </c>
      <c r="BC122" s="2" t="e">
        <f t="shared" ca="1" si="41"/>
        <v>#N/A</v>
      </c>
      <c r="BD122" s="2" t="e">
        <f t="shared" ca="1" si="36"/>
        <v>#N/A</v>
      </c>
      <c r="BE122" s="2" t="e">
        <f t="shared" ca="1" si="37"/>
        <v>#N/A</v>
      </c>
      <c r="BF122" s="2" t="e">
        <f t="shared" ca="1" si="38"/>
        <v>#N/A</v>
      </c>
      <c r="BG122" s="2" t="e">
        <f t="shared" ca="1" si="39"/>
        <v>#N/A</v>
      </c>
      <c r="BH122" s="2" t="e">
        <f t="shared" ca="1" si="42"/>
        <v>#N/A</v>
      </c>
      <c r="BI122" s="2" t="e">
        <f t="shared" ca="1" si="40"/>
        <v>#N/A</v>
      </c>
    </row>
    <row r="123" spans="1:61" ht="15" x14ac:dyDescent="0.25">
      <c r="A123" s="66">
        <v>57</v>
      </c>
      <c r="B123" s="66">
        <v>1498730149.497</v>
      </c>
      <c r="C123" s="67">
        <v>-2.71661366248269E-5</v>
      </c>
      <c r="D123" s="67">
        <v>-5.00479470314486E-5</v>
      </c>
      <c r="E123" s="67">
        <v>7.5046690518574296E-4</v>
      </c>
      <c r="F123" s="67">
        <v>-3.3862085266323897E-5</v>
      </c>
      <c r="G123" s="67">
        <v>-2.5506157230989001E-5</v>
      </c>
      <c r="H123" s="67">
        <v>9.9627387257031309E-4</v>
      </c>
      <c r="I123" s="67">
        <v>-5.00479470314486E-5</v>
      </c>
      <c r="J123" s="67">
        <v>6.7171211491340798E-4</v>
      </c>
      <c r="K123" s="67">
        <v>6.9696354318050501E-3</v>
      </c>
      <c r="L123" s="67"/>
      <c r="M123" s="67"/>
      <c r="O123" s="11">
        <f t="shared" ca="1" si="0"/>
        <v>-3.9970067334786928E-5</v>
      </c>
      <c r="P123" s="11">
        <f t="shared" ca="1" si="1"/>
        <v>-5.0813047261753338E-5</v>
      </c>
      <c r="Q123" s="11">
        <f t="shared" ca="1" si="2"/>
        <v>-8.602470708254093E-5</v>
      </c>
      <c r="R123" s="11">
        <f t="shared" ca="1" si="3"/>
        <v>-4.5508572912671025E-5</v>
      </c>
      <c r="S123" s="11">
        <f t="shared" ca="1" si="4"/>
        <v>-3.6433809277959121E-5</v>
      </c>
      <c r="T123" s="11">
        <f t="shared" ca="1" si="5"/>
        <v>-1.4228116601198906E-4</v>
      </c>
      <c r="U123" s="11">
        <f t="shared" ca="1" si="6"/>
        <v>-5.0813047261753338E-5</v>
      </c>
      <c r="V123" s="11">
        <f t="shared" ca="1" si="7"/>
        <v>2.1516109219633624E-5</v>
      </c>
      <c r="W123" s="11">
        <f t="shared" ca="1" si="8"/>
        <v>-1.5321283169993788E-4</v>
      </c>
      <c r="X123" s="11"/>
      <c r="Y123" s="2">
        <f t="shared" ca="1" si="9"/>
        <v>-3.9970067334786928E-5</v>
      </c>
      <c r="Z123" s="11">
        <f t="shared" ca="1" si="10"/>
        <v>-5.0813047261753338E-5</v>
      </c>
      <c r="AA123" s="2">
        <f t="shared" ca="1" si="11"/>
        <v>-8.602470708254093E-5</v>
      </c>
      <c r="AB123" s="2">
        <f t="shared" ca="1" si="12"/>
        <v>-4.5508572912671025E-5</v>
      </c>
      <c r="AC123" s="2">
        <f t="shared" ca="1" si="13"/>
        <v>-3.6433809277959121E-5</v>
      </c>
      <c r="AD123" s="2">
        <f t="shared" ca="1" si="14"/>
        <v>-1.4228116601198906E-4</v>
      </c>
      <c r="AE123" s="2">
        <f t="shared" ca="1" si="15"/>
        <v>-5.0813047261753338E-5</v>
      </c>
      <c r="AF123" s="2">
        <f t="shared" ca="1" si="16"/>
        <v>2.1516109219633624E-5</v>
      </c>
      <c r="AG123" s="2">
        <f t="shared" ca="1" si="17"/>
        <v>-1.5321283169993788E-4</v>
      </c>
      <c r="AI123" s="2">
        <f t="shared" ca="1" si="18"/>
        <v>-3.9970067334786928E-5</v>
      </c>
      <c r="AJ123" s="11">
        <f t="shared" ca="1" si="19"/>
        <v>-5.0813047261753338E-5</v>
      </c>
      <c r="AK123" s="2">
        <f t="shared" ca="1" si="20"/>
        <v>-8.602470708254093E-5</v>
      </c>
      <c r="AL123" s="2">
        <f t="shared" ca="1" si="21"/>
        <v>-4.5508572912671025E-5</v>
      </c>
      <c r="AM123" s="2">
        <f t="shared" ca="1" si="22"/>
        <v>-3.6433809277959121E-5</v>
      </c>
      <c r="AN123" s="2">
        <f t="shared" ca="1" si="23"/>
        <v>-1.4228116601198906E-4</v>
      </c>
      <c r="AO123" s="2">
        <f t="shared" ca="1" si="24"/>
        <v>-5.0813047261753338E-5</v>
      </c>
      <c r="AP123" s="2">
        <f t="shared" ca="1" si="25"/>
        <v>2.1516109219633624E-5</v>
      </c>
      <c r="AQ123" s="2">
        <f t="shared" ca="1" si="26"/>
        <v>-1.5321283169993788E-4</v>
      </c>
      <c r="AS123" s="2" t="e">
        <f t="shared" ca="1" si="27"/>
        <v>#N/A</v>
      </c>
      <c r="AT123" s="2" t="e">
        <f t="shared" ca="1" si="28"/>
        <v>#N/A</v>
      </c>
      <c r="AU123" s="2" t="e">
        <f t="shared" ca="1" si="29"/>
        <v>#N/A</v>
      </c>
      <c r="AV123" s="2" t="e">
        <f t="shared" ca="1" si="30"/>
        <v>#N/A</v>
      </c>
      <c r="AW123" s="2" t="e">
        <f t="shared" ca="1" si="31"/>
        <v>#N/A</v>
      </c>
      <c r="AX123" s="2" t="e">
        <f t="shared" ca="1" si="32"/>
        <v>#N/A</v>
      </c>
      <c r="AY123" s="9" t="e">
        <f t="shared" ca="1" si="33"/>
        <v>#N/A</v>
      </c>
      <c r="AZ123" s="9" t="e">
        <f t="shared" ca="1" si="34"/>
        <v>#N/A</v>
      </c>
      <c r="BB123" s="2" t="e">
        <f t="shared" ca="1" si="35"/>
        <v>#N/A</v>
      </c>
      <c r="BC123" s="2" t="e">
        <f t="shared" ca="1" si="41"/>
        <v>#N/A</v>
      </c>
      <c r="BD123" s="2" t="e">
        <f t="shared" ca="1" si="36"/>
        <v>#N/A</v>
      </c>
      <c r="BE123" s="2" t="e">
        <f t="shared" ca="1" si="37"/>
        <v>#N/A</v>
      </c>
      <c r="BF123" s="2" t="e">
        <f t="shared" ca="1" si="38"/>
        <v>#N/A</v>
      </c>
      <c r="BG123" s="2" t="e">
        <f t="shared" ca="1" si="39"/>
        <v>#N/A</v>
      </c>
      <c r="BH123" s="2" t="e">
        <f t="shared" ca="1" si="42"/>
        <v>#N/A</v>
      </c>
      <c r="BI123" s="2" t="e">
        <f t="shared" ca="1" si="40"/>
        <v>#N/A</v>
      </c>
    </row>
    <row r="124" spans="1:61" ht="15" x14ac:dyDescent="0.25">
      <c r="A124" s="66">
        <v>58</v>
      </c>
      <c r="B124" s="66">
        <v>1498730150.0239999</v>
      </c>
      <c r="C124" s="67">
        <v>-6.3542492168666007E-5</v>
      </c>
      <c r="D124" s="67">
        <v>4.2497356409871901E-5</v>
      </c>
      <c r="E124" s="67">
        <v>8.6492380804290404E-4</v>
      </c>
      <c r="F124" s="67">
        <v>1.1583034298582601E-5</v>
      </c>
      <c r="G124" s="67">
        <v>9.2375406633960806E-5</v>
      </c>
      <c r="H124" s="67">
        <v>1.0875832460438199E-3</v>
      </c>
      <c r="I124" s="67">
        <v>4.2497356409871901E-5</v>
      </c>
      <c r="J124" s="67">
        <v>6.1423860735737698E-4</v>
      </c>
      <c r="K124" s="67">
        <v>6.9920798127882204E-3</v>
      </c>
      <c r="L124" s="67"/>
      <c r="M124" s="67"/>
      <c r="O124" s="11">
        <f t="shared" ca="1" si="0"/>
        <v>-7.6346422878626028E-5</v>
      </c>
      <c r="P124" s="11">
        <f t="shared" ca="1" si="1"/>
        <v>4.1732256179567163E-5</v>
      </c>
      <c r="Q124" s="11">
        <f t="shared" ca="1" si="2"/>
        <v>2.843219577462015E-5</v>
      </c>
      <c r="R124" s="11">
        <f t="shared" ca="1" si="3"/>
        <v>-6.3453347764523224E-8</v>
      </c>
      <c r="S124" s="11">
        <f t="shared" ca="1" si="4"/>
        <v>8.1447754586990679E-5</v>
      </c>
      <c r="T124" s="11">
        <f t="shared" ca="1" si="5"/>
        <v>-5.097179253848224E-5</v>
      </c>
      <c r="U124" s="11">
        <f t="shared" ca="1" si="6"/>
        <v>4.1732256179567163E-5</v>
      </c>
      <c r="V124" s="11">
        <f t="shared" ca="1" si="7"/>
        <v>-3.5957398336397377E-5</v>
      </c>
      <c r="W124" s="11">
        <f t="shared" ca="1" si="8"/>
        <v>-1.3076845071676758E-4</v>
      </c>
      <c r="X124" s="11"/>
      <c r="Y124" s="2">
        <f t="shared" ca="1" si="9"/>
        <v>-7.6346422878626028E-5</v>
      </c>
      <c r="Z124" s="11">
        <f t="shared" ca="1" si="10"/>
        <v>4.1732256179567163E-5</v>
      </c>
      <c r="AA124" s="2">
        <f t="shared" ca="1" si="11"/>
        <v>2.8112912786274955E-5</v>
      </c>
      <c r="AB124" s="2">
        <f t="shared" ca="1" si="12"/>
        <v>-7.7915529520289004E-6</v>
      </c>
      <c r="AC124" s="2">
        <f t="shared" ca="1" si="13"/>
        <v>8.1447754586990679E-5</v>
      </c>
      <c r="AD124" s="2">
        <f t="shared" ca="1" si="14"/>
        <v>-1.0717285491878984E-4</v>
      </c>
      <c r="AE124" s="2">
        <f t="shared" ca="1" si="15"/>
        <v>4.1732256179567163E-5</v>
      </c>
      <c r="AF124" s="2">
        <f t="shared" ca="1" si="16"/>
        <v>-1.189528342272648E-4</v>
      </c>
      <c r="AG124" s="2">
        <f t="shared" ca="1" si="17"/>
        <v>-1.6444606787217186E-4</v>
      </c>
      <c r="AI124" s="2">
        <f t="shared" ca="1" si="18"/>
        <v>-7.6346422878626028E-5</v>
      </c>
      <c r="AJ124" s="11">
        <f t="shared" ca="1" si="19"/>
        <v>4.1732256179567163E-5</v>
      </c>
      <c r="AK124" s="2">
        <f t="shared" ca="1" si="20"/>
        <v>-2.1123427932532679E-5</v>
      </c>
      <c r="AL124" s="2">
        <f t="shared" ca="1" si="21"/>
        <v>-3.0836217027469666E-5</v>
      </c>
      <c r="AM124" s="2">
        <f t="shared" ca="1" si="22"/>
        <v>8.1447754586990679E-5</v>
      </c>
      <c r="AN124" s="2">
        <f t="shared" ca="1" si="23"/>
        <v>-1.0717285491878984E-4</v>
      </c>
      <c r="AO124" s="2">
        <f t="shared" ca="1" si="24"/>
        <v>4.1732256179567163E-5</v>
      </c>
      <c r="AP124" s="2">
        <f t="shared" ca="1" si="25"/>
        <v>-1.189528342272648E-4</v>
      </c>
      <c r="AQ124" s="2">
        <f t="shared" ca="1" si="26"/>
        <v>-1.6444606787217186E-4</v>
      </c>
      <c r="AS124" s="2" t="e">
        <f t="shared" ca="1" si="27"/>
        <v>#N/A</v>
      </c>
      <c r="AT124" s="2" t="e">
        <f t="shared" ca="1" si="28"/>
        <v>#N/A</v>
      </c>
      <c r="AU124" s="2" t="e">
        <f t="shared" ca="1" si="29"/>
        <v>#N/A</v>
      </c>
      <c r="AV124" s="2" t="e">
        <f t="shared" ca="1" si="30"/>
        <v>#N/A</v>
      </c>
      <c r="AW124" s="2" t="e">
        <f t="shared" ca="1" si="31"/>
        <v>#N/A</v>
      </c>
      <c r="AX124" s="2" t="e">
        <f t="shared" ca="1" si="32"/>
        <v>#N/A</v>
      </c>
      <c r="AY124" s="9" t="e">
        <f t="shared" ca="1" si="33"/>
        <v>#N/A</v>
      </c>
      <c r="AZ124" s="9" t="e">
        <f t="shared" ca="1" si="34"/>
        <v>#N/A</v>
      </c>
      <c r="BB124" s="2" t="e">
        <f t="shared" ca="1" si="35"/>
        <v>#N/A</v>
      </c>
      <c r="BC124" s="2" t="e">
        <f t="shared" ca="1" si="41"/>
        <v>#N/A</v>
      </c>
      <c r="BD124" s="2" t="e">
        <f t="shared" ca="1" si="36"/>
        <v>#N/A</v>
      </c>
      <c r="BE124" s="2" t="e">
        <f t="shared" ca="1" si="37"/>
        <v>#N/A</v>
      </c>
      <c r="BF124" s="2" t="e">
        <f t="shared" ca="1" si="38"/>
        <v>#N/A</v>
      </c>
      <c r="BG124" s="2" t="e">
        <f t="shared" ca="1" si="39"/>
        <v>#N/A</v>
      </c>
      <c r="BH124" s="2" t="e">
        <f t="shared" ca="1" si="42"/>
        <v>#N/A</v>
      </c>
      <c r="BI124" s="2" t="e">
        <f t="shared" ca="1" si="40"/>
        <v>#N/A</v>
      </c>
    </row>
    <row r="125" spans="1:61" ht="15" x14ac:dyDescent="0.25">
      <c r="A125" s="66">
        <v>59</v>
      </c>
      <c r="B125" s="66">
        <v>1498730150.55</v>
      </c>
      <c r="C125" s="67">
        <v>5.9764582245735999E-5</v>
      </c>
      <c r="D125" s="67">
        <v>9.7172241673575694E-5</v>
      </c>
      <c r="E125" s="67">
        <v>8.1559559534268695E-4</v>
      </c>
      <c r="F125" s="67">
        <v>1.3936390256650901E-4</v>
      </c>
      <c r="G125" s="67">
        <v>9.6004035592302405E-5</v>
      </c>
      <c r="H125" s="67">
        <v>1.19463800816301E-3</v>
      </c>
      <c r="I125" s="67">
        <v>9.7172241673575694E-5</v>
      </c>
      <c r="J125" s="67">
        <v>8.3868905876933997E-4</v>
      </c>
      <c r="K125" s="67">
        <v>7.0419845449433E-3</v>
      </c>
      <c r="L125" s="67"/>
      <c r="M125" s="67"/>
      <c r="O125" s="11">
        <f t="shared" ca="1" si="0"/>
        <v>4.6960651535775971E-5</v>
      </c>
      <c r="P125" s="11">
        <f t="shared" ca="1" si="1"/>
        <v>9.6407141443270955E-5</v>
      </c>
      <c r="Q125" s="11">
        <f t="shared" ca="1" si="2"/>
        <v>-2.0896016925596949E-5</v>
      </c>
      <c r="R125" s="11">
        <f t="shared" ca="1" si="3"/>
        <v>1.2771741492016188E-4</v>
      </c>
      <c r="S125" s="11">
        <f t="shared" ca="1" si="4"/>
        <v>8.5076383545332277E-5</v>
      </c>
      <c r="T125" s="11">
        <f t="shared" ca="1" si="5"/>
        <v>5.6082969580707872E-5</v>
      </c>
      <c r="U125" s="11">
        <f t="shared" ca="1" si="6"/>
        <v>9.6407141443270955E-5</v>
      </c>
      <c r="V125" s="11">
        <f t="shared" ca="1" si="7"/>
        <v>1.8849305307556562E-4</v>
      </c>
      <c r="W125" s="11">
        <f t="shared" ca="1" si="8"/>
        <v>-8.0863718561688044E-5</v>
      </c>
      <c r="X125" s="11"/>
      <c r="Y125" s="2">
        <f t="shared" ca="1" si="9"/>
        <v>4.6960651535775971E-5</v>
      </c>
      <c r="Z125" s="11">
        <f t="shared" ca="1" si="10"/>
        <v>9.6407141443270955E-5</v>
      </c>
      <c r="AA125" s="2">
        <f t="shared" ca="1" si="11"/>
        <v>-2.1633603699850877E-5</v>
      </c>
      <c r="AB125" s="2">
        <f t="shared" ca="1" si="12"/>
        <v>1.0986446231606116E-4</v>
      </c>
      <c r="AC125" s="2">
        <f t="shared" ca="1" si="13"/>
        <v>8.5076383545332277E-5</v>
      </c>
      <c r="AD125" s="2">
        <f t="shared" ca="1" si="14"/>
        <v>-7.3749066023761695E-5</v>
      </c>
      <c r="AE125" s="2">
        <f t="shared" ca="1" si="15"/>
        <v>9.6407141443270955E-5</v>
      </c>
      <c r="AF125" s="2">
        <f t="shared" ca="1" si="16"/>
        <v>-3.2375998910090563E-6</v>
      </c>
      <c r="AG125" s="2">
        <f t="shared" ca="1" si="17"/>
        <v>-1.5866355729082584E-4</v>
      </c>
      <c r="AI125" s="2">
        <f t="shared" ca="1" si="18"/>
        <v>4.6960651535775971E-5</v>
      </c>
      <c r="AJ125" s="11">
        <f t="shared" ca="1" si="19"/>
        <v>9.6407141443270955E-5</v>
      </c>
      <c r="AK125" s="2">
        <f t="shared" ca="1" si="20"/>
        <v>-1.3537619272745423E-4</v>
      </c>
      <c r="AL125" s="2">
        <f t="shared" ca="1" si="21"/>
        <v>5.6628179583725895E-5</v>
      </c>
      <c r="AM125" s="2">
        <f t="shared" ca="1" si="22"/>
        <v>8.5076383545332277E-5</v>
      </c>
      <c r="AN125" s="2">
        <f t="shared" ca="1" si="23"/>
        <v>-7.3749066023761695E-5</v>
      </c>
      <c r="AO125" s="2">
        <f t="shared" ca="1" si="24"/>
        <v>9.6407141443270955E-5</v>
      </c>
      <c r="AP125" s="2">
        <f t="shared" ca="1" si="25"/>
        <v>-3.2375998910090563E-6</v>
      </c>
      <c r="AQ125" s="2">
        <f t="shared" ca="1" si="26"/>
        <v>-1.5866355729082584E-4</v>
      </c>
      <c r="AS125" s="2" t="e">
        <f t="shared" ca="1" si="27"/>
        <v>#N/A</v>
      </c>
      <c r="AT125" s="2" t="e">
        <f t="shared" ca="1" si="28"/>
        <v>#N/A</v>
      </c>
      <c r="AU125" s="2" t="e">
        <f t="shared" ca="1" si="29"/>
        <v>#N/A</v>
      </c>
      <c r="AV125" s="2" t="e">
        <f t="shared" ca="1" si="30"/>
        <v>#N/A</v>
      </c>
      <c r="AW125" s="2" t="e">
        <f t="shared" ca="1" si="31"/>
        <v>#N/A</v>
      </c>
      <c r="AX125" s="2" t="e">
        <f t="shared" ca="1" si="32"/>
        <v>#N/A</v>
      </c>
      <c r="AY125" s="9" t="e">
        <f t="shared" ca="1" si="33"/>
        <v>#N/A</v>
      </c>
      <c r="AZ125" s="9" t="e">
        <f t="shared" ca="1" si="34"/>
        <v>#N/A</v>
      </c>
      <c r="BB125" s="2" t="e">
        <f t="shared" ca="1" si="35"/>
        <v>#N/A</v>
      </c>
      <c r="BC125" s="2" t="e">
        <f t="shared" ca="1" si="41"/>
        <v>#N/A</v>
      </c>
      <c r="BD125" s="2" t="e">
        <f t="shared" ca="1" si="36"/>
        <v>#N/A</v>
      </c>
      <c r="BE125" s="2" t="e">
        <f t="shared" ca="1" si="37"/>
        <v>#N/A</v>
      </c>
      <c r="BF125" s="2" t="e">
        <f t="shared" ca="1" si="38"/>
        <v>#N/A</v>
      </c>
      <c r="BG125" s="2" t="e">
        <f t="shared" ca="1" si="39"/>
        <v>#N/A</v>
      </c>
      <c r="BH125" s="2" t="e">
        <f t="shared" ca="1" si="42"/>
        <v>#N/A</v>
      </c>
      <c r="BI125" s="2" t="e">
        <f t="shared" ca="1" si="40"/>
        <v>#N/A</v>
      </c>
    </row>
    <row r="126" spans="1:61" ht="15" x14ac:dyDescent="0.25">
      <c r="A126" s="66">
        <v>60</v>
      </c>
      <c r="B126" s="66">
        <v>1498730151.0780001</v>
      </c>
      <c r="C126" s="67">
        <v>-3.7806323348355798E-6</v>
      </c>
      <c r="D126" s="67">
        <v>1.1592077453669201E-5</v>
      </c>
      <c r="E126" s="67">
        <v>7.8758016375643904E-4</v>
      </c>
      <c r="F126" s="67">
        <v>-4.83755359110498E-5</v>
      </c>
      <c r="G126" s="67">
        <v>-8.5852508672271002E-5</v>
      </c>
      <c r="H126" s="67">
        <v>1.08090760474075E-3</v>
      </c>
      <c r="I126" s="67">
        <v>1.1592077453669201E-5</v>
      </c>
      <c r="J126" s="67">
        <v>5.7529150070597995E-4</v>
      </c>
      <c r="K126" s="67">
        <v>7.01022670080756E-3</v>
      </c>
      <c r="L126" s="67"/>
      <c r="M126" s="67"/>
      <c r="O126" s="11">
        <f t="shared" ca="1" si="0"/>
        <v>-1.6584563044795608E-5</v>
      </c>
      <c r="P126" s="11">
        <f t="shared" ca="1" si="1"/>
        <v>1.082697722336446E-5</v>
      </c>
      <c r="Q126" s="11">
        <f t="shared" ca="1" si="2"/>
        <v>-4.8911448511844858E-5</v>
      </c>
      <c r="R126" s="11">
        <f t="shared" ca="1" si="3"/>
        <v>-6.0022023557396921E-5</v>
      </c>
      <c r="S126" s="11">
        <f t="shared" ca="1" si="4"/>
        <v>-9.678016071924113E-5</v>
      </c>
      <c r="T126" s="11">
        <f t="shared" ca="1" si="5"/>
        <v>-5.7647433841552173E-5</v>
      </c>
      <c r="U126" s="11">
        <f t="shared" ca="1" si="6"/>
        <v>1.082697722336446E-5</v>
      </c>
      <c r="V126" s="11">
        <f t="shared" ca="1" si="7"/>
        <v>-7.4904504987794406E-5</v>
      </c>
      <c r="W126" s="11">
        <f t="shared" ca="1" si="8"/>
        <v>-1.1262156269742796E-4</v>
      </c>
      <c r="X126" s="11"/>
      <c r="Y126" s="2">
        <f t="shared" ca="1" si="9"/>
        <v>-1.6584563044795608E-5</v>
      </c>
      <c r="Z126" s="11">
        <f t="shared" ca="1" si="10"/>
        <v>1.082697722336446E-5</v>
      </c>
      <c r="AA126" s="2">
        <f t="shared" ca="1" si="11"/>
        <v>-4.8994282989514762E-5</v>
      </c>
      <c r="AB126" s="2">
        <f t="shared" ca="1" si="12"/>
        <v>-6.2026994437361699E-5</v>
      </c>
      <c r="AC126" s="2">
        <f t="shared" ca="1" si="13"/>
        <v>-9.678016071924113E-5</v>
      </c>
      <c r="AD126" s="2">
        <f t="shared" ca="1" si="14"/>
        <v>-7.2228184513220905E-5</v>
      </c>
      <c r="AE126" s="2">
        <f t="shared" ca="1" si="15"/>
        <v>1.082697722336446E-5</v>
      </c>
      <c r="AF126" s="2">
        <f t="shared" ca="1" si="16"/>
        <v>-9.6436762677556983E-5</v>
      </c>
      <c r="AG126" s="2">
        <f t="shared" ca="1" si="17"/>
        <v>-1.2135885196139252E-4</v>
      </c>
      <c r="AI126" s="2">
        <f t="shared" ca="1" si="18"/>
        <v>-1.6584563044795608E-5</v>
      </c>
      <c r="AJ126" s="11">
        <f t="shared" ca="1" si="19"/>
        <v>1.082697722336446E-5</v>
      </c>
      <c r="AK126" s="2">
        <f t="shared" ca="1" si="20"/>
        <v>-6.1768112835439745E-5</v>
      </c>
      <c r="AL126" s="2">
        <f t="shared" ca="1" si="21"/>
        <v>-6.800568037256029E-5</v>
      </c>
      <c r="AM126" s="2">
        <f t="shared" ca="1" si="22"/>
        <v>-9.678016071924113E-5</v>
      </c>
      <c r="AN126" s="2">
        <f t="shared" ca="1" si="23"/>
        <v>-7.2228184513220905E-5</v>
      </c>
      <c r="AO126" s="2">
        <f t="shared" ca="1" si="24"/>
        <v>1.082697722336446E-5</v>
      </c>
      <c r="AP126" s="2">
        <f t="shared" ca="1" si="25"/>
        <v>-9.6436762677556983E-5</v>
      </c>
      <c r="AQ126" s="2">
        <f t="shared" ca="1" si="26"/>
        <v>-1.2135885196139252E-4</v>
      </c>
      <c r="AS126" s="2" t="e">
        <f t="shared" ca="1" si="27"/>
        <v>#N/A</v>
      </c>
      <c r="AT126" s="2" t="e">
        <f t="shared" ca="1" si="28"/>
        <v>#N/A</v>
      </c>
      <c r="AU126" s="2" t="e">
        <f t="shared" ca="1" si="29"/>
        <v>#N/A</v>
      </c>
      <c r="AV126" s="2" t="e">
        <f t="shared" ca="1" si="30"/>
        <v>#N/A</v>
      </c>
      <c r="AW126" s="2" t="e">
        <f t="shared" ca="1" si="31"/>
        <v>#N/A</v>
      </c>
      <c r="AX126" s="2" t="e">
        <f t="shared" ca="1" si="32"/>
        <v>#N/A</v>
      </c>
      <c r="AY126" s="9" t="e">
        <f t="shared" ca="1" si="33"/>
        <v>#N/A</v>
      </c>
      <c r="AZ126" s="9" t="e">
        <f t="shared" ca="1" si="34"/>
        <v>#N/A</v>
      </c>
      <c r="BB126" s="2" t="e">
        <f t="shared" ca="1" si="35"/>
        <v>#N/A</v>
      </c>
      <c r="BC126" s="2" t="e">
        <f t="shared" ca="1" si="41"/>
        <v>#N/A</v>
      </c>
      <c r="BD126" s="2" t="e">
        <f t="shared" ca="1" si="36"/>
        <v>#N/A</v>
      </c>
      <c r="BE126" s="2" t="e">
        <f t="shared" ca="1" si="37"/>
        <v>#N/A</v>
      </c>
      <c r="BF126" s="2" t="e">
        <f t="shared" ca="1" si="38"/>
        <v>#N/A</v>
      </c>
      <c r="BG126" s="2" t="e">
        <f t="shared" ca="1" si="39"/>
        <v>#N/A</v>
      </c>
      <c r="BH126" s="2" t="e">
        <f t="shared" ca="1" si="42"/>
        <v>#N/A</v>
      </c>
      <c r="BI126" s="2" t="e">
        <f t="shared" ca="1" si="40"/>
        <v>#N/A</v>
      </c>
    </row>
    <row r="127" spans="1:61" ht="15" x14ac:dyDescent="0.25">
      <c r="A127" s="66">
        <v>61</v>
      </c>
      <c r="B127" s="66">
        <v>1498730151.605</v>
      </c>
      <c r="C127" s="67">
        <v>1.0628892235247599E-5</v>
      </c>
      <c r="D127" s="67">
        <v>-7.5377735853082102E-5</v>
      </c>
      <c r="E127" s="67">
        <v>8.1559559534268695E-4</v>
      </c>
      <c r="F127" s="67">
        <v>-3.7668912400399502E-5</v>
      </c>
      <c r="G127" s="67">
        <v>3.6803412103158098E-6</v>
      </c>
      <c r="H127" s="67">
        <v>1.1717478310537201E-3</v>
      </c>
      <c r="I127" s="67">
        <v>-7.5377735853082102E-5</v>
      </c>
      <c r="J127" s="67">
        <v>6.0877642147415896E-4</v>
      </c>
      <c r="K127" s="67">
        <v>6.99613895659965E-3</v>
      </c>
      <c r="L127" s="67"/>
      <c r="M127" s="67"/>
      <c r="O127" s="11">
        <f t="shared" ca="1" si="0"/>
        <v>-2.1750384747124283E-6</v>
      </c>
      <c r="P127" s="11">
        <f t="shared" ca="1" si="1"/>
        <v>-7.614283608338684E-5</v>
      </c>
      <c r="Q127" s="11">
        <f t="shared" ca="1" si="2"/>
        <v>-2.0896016925596949E-5</v>
      </c>
      <c r="R127" s="11">
        <f t="shared" ca="1" si="3"/>
        <v>-4.9315400046746622E-5</v>
      </c>
      <c r="S127" s="11">
        <f t="shared" ca="1" si="4"/>
        <v>-7.2473108366543126E-6</v>
      </c>
      <c r="T127" s="11">
        <f t="shared" ca="1" si="5"/>
        <v>3.3192792471417945E-5</v>
      </c>
      <c r="U127" s="11">
        <f t="shared" ca="1" si="6"/>
        <v>-7.614283608338684E-5</v>
      </c>
      <c r="V127" s="11">
        <f t="shared" ca="1" si="7"/>
        <v>-4.1419584219615398E-5</v>
      </c>
      <c r="W127" s="11">
        <f t="shared" ca="1" si="8"/>
        <v>-1.2670930690533797E-4</v>
      </c>
      <c r="X127" s="11"/>
      <c r="Y127" s="2">
        <f t="shared" ca="1" si="9"/>
        <v>-2.1750384747124283E-6</v>
      </c>
      <c r="Z127" s="11">
        <f t="shared" ca="1" si="10"/>
        <v>-7.614283608338684E-5</v>
      </c>
      <c r="AA127" s="2">
        <f t="shared" ca="1" si="11"/>
        <v>-2.0896016925596949E-5</v>
      </c>
      <c r="AB127" s="2">
        <f t="shared" ca="1" si="12"/>
        <v>-4.9315400046746622E-5</v>
      </c>
      <c r="AC127" s="2">
        <f t="shared" ca="1" si="13"/>
        <v>-7.2473108366543126E-6</v>
      </c>
      <c r="AD127" s="2">
        <f t="shared" ca="1" si="14"/>
        <v>3.3192792471417945E-5</v>
      </c>
      <c r="AE127" s="2">
        <f t="shared" ca="1" si="15"/>
        <v>-7.614283608338684E-5</v>
      </c>
      <c r="AF127" s="2">
        <f t="shared" ca="1" si="16"/>
        <v>-4.1419584219615398E-5</v>
      </c>
      <c r="AG127" s="2">
        <f t="shared" ca="1" si="17"/>
        <v>-1.2670930690533797E-4</v>
      </c>
      <c r="AI127" s="2">
        <f t="shared" ca="1" si="18"/>
        <v>-2.1750384747124283E-6</v>
      </c>
      <c r="AJ127" s="11">
        <f t="shared" ca="1" si="19"/>
        <v>-7.614283608338684E-5</v>
      </c>
      <c r="AK127" s="2">
        <f t="shared" ca="1" si="20"/>
        <v>-2.0896016925596949E-5</v>
      </c>
      <c r="AL127" s="2">
        <f t="shared" ca="1" si="21"/>
        <v>-4.9315400046746622E-5</v>
      </c>
      <c r="AM127" s="2">
        <f t="shared" ca="1" si="22"/>
        <v>-7.2473108366543126E-6</v>
      </c>
      <c r="AN127" s="2">
        <f t="shared" ca="1" si="23"/>
        <v>3.3192792471417945E-5</v>
      </c>
      <c r="AO127" s="2">
        <f t="shared" ca="1" si="24"/>
        <v>-7.614283608338684E-5</v>
      </c>
      <c r="AP127" s="2">
        <f t="shared" ca="1" si="25"/>
        <v>-4.1419584219615398E-5</v>
      </c>
      <c r="AQ127" s="2">
        <f t="shared" ca="1" si="26"/>
        <v>-1.2670930690533797E-4</v>
      </c>
      <c r="AS127" s="2" t="e">
        <f t="shared" ca="1" si="27"/>
        <v>#N/A</v>
      </c>
      <c r="AT127" s="2" t="e">
        <f t="shared" ca="1" si="28"/>
        <v>#N/A</v>
      </c>
      <c r="AU127" s="2" t="e">
        <f t="shared" ca="1" si="29"/>
        <v>#N/A</v>
      </c>
      <c r="AV127" s="2" t="e">
        <f t="shared" ca="1" si="30"/>
        <v>#N/A</v>
      </c>
      <c r="AW127" s="2" t="e">
        <f t="shared" ca="1" si="31"/>
        <v>#N/A</v>
      </c>
      <c r="AX127" s="2" t="e">
        <f t="shared" ca="1" si="32"/>
        <v>#N/A</v>
      </c>
      <c r="AY127" s="9" t="e">
        <f t="shared" ca="1" si="33"/>
        <v>#N/A</v>
      </c>
      <c r="AZ127" s="9" t="e">
        <f t="shared" ca="1" si="34"/>
        <v>#N/A</v>
      </c>
      <c r="BB127" s="2" t="e">
        <f t="shared" ca="1" si="35"/>
        <v>#N/A</v>
      </c>
      <c r="BC127" s="2" t="e">
        <f t="shared" ca="1" si="41"/>
        <v>#N/A</v>
      </c>
      <c r="BD127" s="2" t="e">
        <f t="shared" ca="1" si="36"/>
        <v>#N/A</v>
      </c>
      <c r="BE127" s="2" t="e">
        <f t="shared" ca="1" si="37"/>
        <v>#N/A</v>
      </c>
      <c r="BF127" s="2" t="e">
        <f t="shared" ca="1" si="38"/>
        <v>#N/A</v>
      </c>
      <c r="BG127" s="2" t="e">
        <f t="shared" ca="1" si="39"/>
        <v>#N/A</v>
      </c>
      <c r="BH127" s="2" t="e">
        <f t="shared" ca="1" si="42"/>
        <v>#N/A</v>
      </c>
      <c r="BI127" s="2" t="e">
        <f t="shared" ca="1" si="40"/>
        <v>#N/A</v>
      </c>
    </row>
    <row r="128" spans="1:61" ht="15" x14ac:dyDescent="0.25">
      <c r="A128" s="66">
        <v>62</v>
      </c>
      <c r="B128" s="66">
        <v>1498730152.132</v>
      </c>
      <c r="C128" s="67">
        <v>1.0865115693047101E-5</v>
      </c>
      <c r="D128" s="67">
        <v>-7.1401508101216296E-6</v>
      </c>
      <c r="E128" s="67">
        <v>9.2311505371768705E-4</v>
      </c>
      <c r="F128" s="67">
        <v>3.8708332073698701E-5</v>
      </c>
      <c r="G128" s="67">
        <v>-5.3354404085436696E-6</v>
      </c>
      <c r="H128" s="67">
        <v>1.1929689150450601E-3</v>
      </c>
      <c r="I128" s="67">
        <v>-7.1401508101216296E-6</v>
      </c>
      <c r="J128" s="67">
        <v>6.03551749914719E-4</v>
      </c>
      <c r="K128" s="67">
        <v>7.0195390471400002E-3</v>
      </c>
      <c r="L128" s="67"/>
      <c r="M128" s="67"/>
      <c r="O128" s="11">
        <f t="shared" ca="1" si="0"/>
        <v>-1.9388150169129273E-6</v>
      </c>
      <c r="P128" s="11">
        <f t="shared" ca="1" si="1"/>
        <v>-7.9052510404263699E-6</v>
      </c>
      <c r="Q128" s="11">
        <f t="shared" ca="1" si="2"/>
        <v>8.6623441449403156E-5</v>
      </c>
      <c r="R128" s="11">
        <f t="shared" ca="1" si="3"/>
        <v>2.7061844427351577E-5</v>
      </c>
      <c r="S128" s="11">
        <f t="shared" ca="1" si="4"/>
        <v>-1.6263092455513792E-5</v>
      </c>
      <c r="T128" s="11">
        <f t="shared" ca="1" si="5"/>
        <v>5.4413876462757957E-5</v>
      </c>
      <c r="U128" s="11">
        <f t="shared" ca="1" si="6"/>
        <v>-7.9052510404263699E-6</v>
      </c>
      <c r="V128" s="11">
        <f t="shared" ca="1" si="7"/>
        <v>-4.6644255779055362E-5</v>
      </c>
      <c r="W128" s="11">
        <f t="shared" ca="1" si="8"/>
        <v>-1.0330921636498777E-4</v>
      </c>
      <c r="X128" s="11"/>
      <c r="Y128" s="2">
        <f t="shared" ca="1" si="9"/>
        <v>-1.9388150169129273E-6</v>
      </c>
      <c r="Z128" s="11">
        <f t="shared" ca="1" si="10"/>
        <v>-7.9052510404263699E-6</v>
      </c>
      <c r="AA128" s="2">
        <f t="shared" ca="1" si="11"/>
        <v>8.6623441449403156E-5</v>
      </c>
      <c r="AB128" s="2">
        <f t="shared" ca="1" si="12"/>
        <v>2.7061844427351577E-5</v>
      </c>
      <c r="AC128" s="2">
        <f t="shared" ca="1" si="13"/>
        <v>-1.6263092455513792E-5</v>
      </c>
      <c r="AD128" s="2">
        <f t="shared" ca="1" si="14"/>
        <v>5.4413876462757957E-5</v>
      </c>
      <c r="AE128" s="2">
        <f t="shared" ca="1" si="15"/>
        <v>-7.9052510404263699E-6</v>
      </c>
      <c r="AF128" s="2">
        <f t="shared" ca="1" si="16"/>
        <v>-4.6644255779055362E-5</v>
      </c>
      <c r="AG128" s="2">
        <f t="shared" ca="1" si="17"/>
        <v>-1.0330921636498777E-4</v>
      </c>
      <c r="AI128" s="2">
        <f t="shared" ca="1" si="18"/>
        <v>-1.9388150169129273E-6</v>
      </c>
      <c r="AJ128" s="11">
        <f t="shared" ca="1" si="19"/>
        <v>-7.9052510404263699E-6</v>
      </c>
      <c r="AK128" s="2">
        <f t="shared" ca="1" si="20"/>
        <v>8.6623441449403156E-5</v>
      </c>
      <c r="AL128" s="2">
        <f t="shared" ca="1" si="21"/>
        <v>2.7061844427351577E-5</v>
      </c>
      <c r="AM128" s="2">
        <f t="shared" ca="1" si="22"/>
        <v>-1.6263092455513792E-5</v>
      </c>
      <c r="AN128" s="2">
        <f t="shared" ca="1" si="23"/>
        <v>5.4413876462757957E-5</v>
      </c>
      <c r="AO128" s="2">
        <f t="shared" ca="1" si="24"/>
        <v>-7.9052510404263699E-6</v>
      </c>
      <c r="AP128" s="2">
        <f t="shared" ca="1" si="25"/>
        <v>-4.6644255779055362E-5</v>
      </c>
      <c r="AQ128" s="2">
        <f t="shared" ca="1" si="26"/>
        <v>-1.0330921636498777E-4</v>
      </c>
      <c r="AS128" s="2" t="e">
        <f t="shared" ca="1" si="27"/>
        <v>#N/A</v>
      </c>
      <c r="AT128" s="2" t="e">
        <f t="shared" ca="1" si="28"/>
        <v>#N/A</v>
      </c>
      <c r="AU128" s="2" t="e">
        <f t="shared" ca="1" si="29"/>
        <v>#N/A</v>
      </c>
      <c r="AV128" s="2" t="e">
        <f t="shared" ca="1" si="30"/>
        <v>#N/A</v>
      </c>
      <c r="AW128" s="2" t="e">
        <f t="shared" ca="1" si="31"/>
        <v>#N/A</v>
      </c>
      <c r="AX128" s="2" t="e">
        <f t="shared" ca="1" si="32"/>
        <v>#N/A</v>
      </c>
      <c r="AY128" s="9" t="e">
        <f t="shared" ca="1" si="33"/>
        <v>#N/A</v>
      </c>
      <c r="AZ128" s="9" t="e">
        <f t="shared" ca="1" si="34"/>
        <v>#N/A</v>
      </c>
      <c r="BB128" s="2" t="e">
        <f t="shared" ca="1" si="35"/>
        <v>#N/A</v>
      </c>
      <c r="BC128" s="2" t="e">
        <f t="shared" ca="1" si="41"/>
        <v>#N/A</v>
      </c>
      <c r="BD128" s="2" t="e">
        <f t="shared" ca="1" si="36"/>
        <v>#N/A</v>
      </c>
      <c r="BE128" s="2" t="e">
        <f t="shared" ca="1" si="37"/>
        <v>#N/A</v>
      </c>
      <c r="BF128" s="2" t="e">
        <f t="shared" ca="1" si="38"/>
        <v>#N/A</v>
      </c>
      <c r="BG128" s="2" t="e">
        <f t="shared" ca="1" si="39"/>
        <v>#N/A</v>
      </c>
      <c r="BH128" s="2" t="e">
        <f t="shared" ca="1" si="42"/>
        <v>#N/A</v>
      </c>
      <c r="BI128" s="2" t="e">
        <f t="shared" ca="1" si="40"/>
        <v>#N/A</v>
      </c>
    </row>
    <row r="129" spans="1:61" ht="15" x14ac:dyDescent="0.25">
      <c r="A129" s="66">
        <v>63</v>
      </c>
      <c r="B129" s="66">
        <v>1498730152.6589999</v>
      </c>
      <c r="C129" s="67">
        <v>-1.01098498886024E-4</v>
      </c>
      <c r="D129" s="67">
        <v>-7.9343044227448204E-5</v>
      </c>
      <c r="E129" s="67">
        <v>8.53669099820849E-4</v>
      </c>
      <c r="F129" s="67">
        <v>-1.29242766249716E-5</v>
      </c>
      <c r="G129" s="67">
        <v>-7.9360868637079094E-5</v>
      </c>
      <c r="H129" s="67">
        <v>1.0420467202707001E-3</v>
      </c>
      <c r="I129" s="67">
        <v>-7.9343044227448204E-5</v>
      </c>
      <c r="J129" s="67">
        <v>6.2207570889991298E-4</v>
      </c>
      <c r="K129" s="67">
        <v>6.99995934225327E-3</v>
      </c>
      <c r="L129" s="67"/>
      <c r="M129" s="67"/>
      <c r="O129" s="11">
        <f t="shared" ca="1" si="0"/>
        <v>-1.1390242959598404E-4</v>
      </c>
      <c r="P129" s="11">
        <f t="shared" ca="1" si="1"/>
        <v>-8.0108144457752942E-5</v>
      </c>
      <c r="Q129" s="11">
        <f t="shared" ca="1" si="2"/>
        <v>1.7177487552565108E-5</v>
      </c>
      <c r="R129" s="11">
        <f t="shared" ca="1" si="3"/>
        <v>-2.4570764271318724E-5</v>
      </c>
      <c r="S129" s="11">
        <f t="shared" ca="1" si="4"/>
        <v>-9.0288520684049222E-5</v>
      </c>
      <c r="T129" s="11">
        <f t="shared" ca="1" si="5"/>
        <v>-9.6508318311602044E-5</v>
      </c>
      <c r="U129" s="11">
        <f t="shared" ca="1" si="6"/>
        <v>-8.0108144457752942E-5</v>
      </c>
      <c r="V129" s="11">
        <f t="shared" ca="1" si="7"/>
        <v>-2.8120296793861374E-5</v>
      </c>
      <c r="W129" s="11">
        <f t="shared" ca="1" si="8"/>
        <v>-1.2288892125171796E-4</v>
      </c>
      <c r="X129" s="11"/>
      <c r="Y129" s="2">
        <f t="shared" ca="1" si="9"/>
        <v>-1.1390242959598404E-4</v>
      </c>
      <c r="Z129" s="11">
        <f t="shared" ca="1" si="10"/>
        <v>-8.0108144457752942E-5</v>
      </c>
      <c r="AA129" s="2">
        <f t="shared" ca="1" si="11"/>
        <v>1.7177487552565108E-5</v>
      </c>
      <c r="AB129" s="2">
        <f t="shared" ca="1" si="12"/>
        <v>-2.4570764271318724E-5</v>
      </c>
      <c r="AC129" s="2">
        <f t="shared" ca="1" si="13"/>
        <v>-9.0288520684049222E-5</v>
      </c>
      <c r="AD129" s="2">
        <f t="shared" ca="1" si="14"/>
        <v>-9.6508318311602044E-5</v>
      </c>
      <c r="AE129" s="2">
        <f t="shared" ca="1" si="15"/>
        <v>-8.0108144457752942E-5</v>
      </c>
      <c r="AF129" s="2">
        <f t="shared" ca="1" si="16"/>
        <v>-2.8120296793861374E-5</v>
      </c>
      <c r="AG129" s="2">
        <f t="shared" ca="1" si="17"/>
        <v>-1.2288892125171796E-4</v>
      </c>
      <c r="AI129" s="2">
        <f t="shared" ca="1" si="18"/>
        <v>-1.1390242959598404E-4</v>
      </c>
      <c r="AJ129" s="11">
        <f t="shared" ca="1" si="19"/>
        <v>-8.0108144457752942E-5</v>
      </c>
      <c r="AK129" s="2">
        <f t="shared" ca="1" si="20"/>
        <v>1.7177487552565108E-5</v>
      </c>
      <c r="AL129" s="2">
        <f t="shared" ca="1" si="21"/>
        <v>-2.4570764271318724E-5</v>
      </c>
      <c r="AM129" s="2">
        <f t="shared" ca="1" si="22"/>
        <v>-9.0288520684049222E-5</v>
      </c>
      <c r="AN129" s="2">
        <f t="shared" ca="1" si="23"/>
        <v>-9.6508318311602044E-5</v>
      </c>
      <c r="AO129" s="2">
        <f t="shared" ca="1" si="24"/>
        <v>-8.0108144457752942E-5</v>
      </c>
      <c r="AP129" s="2">
        <f t="shared" ca="1" si="25"/>
        <v>-2.8120296793861374E-5</v>
      </c>
      <c r="AQ129" s="2">
        <f t="shared" ca="1" si="26"/>
        <v>-1.2288892125171796E-4</v>
      </c>
      <c r="AS129" s="2" t="e">
        <f t="shared" ca="1" si="27"/>
        <v>#N/A</v>
      </c>
      <c r="AT129" s="2" t="e">
        <f t="shared" ca="1" si="28"/>
        <v>#N/A</v>
      </c>
      <c r="AU129" s="2" t="e">
        <f t="shared" ca="1" si="29"/>
        <v>#N/A</v>
      </c>
      <c r="AV129" s="2" t="e">
        <f t="shared" ca="1" si="30"/>
        <v>#N/A</v>
      </c>
      <c r="AW129" s="2" t="e">
        <f t="shared" ca="1" si="31"/>
        <v>#N/A</v>
      </c>
      <c r="AX129" s="2" t="e">
        <f t="shared" ca="1" si="32"/>
        <v>#N/A</v>
      </c>
      <c r="AY129" s="9" t="e">
        <f t="shared" ca="1" si="33"/>
        <v>#N/A</v>
      </c>
      <c r="AZ129" s="9" t="e">
        <f t="shared" ca="1" si="34"/>
        <v>#N/A</v>
      </c>
      <c r="BB129" s="2" t="e">
        <f t="shared" ca="1" si="35"/>
        <v>#N/A</v>
      </c>
      <c r="BC129" s="2" t="e">
        <f t="shared" ca="1" si="41"/>
        <v>#N/A</v>
      </c>
      <c r="BD129" s="2" t="e">
        <f t="shared" ca="1" si="36"/>
        <v>#N/A</v>
      </c>
      <c r="BE129" s="2" t="e">
        <f t="shared" ca="1" si="37"/>
        <v>#N/A</v>
      </c>
      <c r="BF129" s="2" t="e">
        <f t="shared" ca="1" si="38"/>
        <v>#N/A</v>
      </c>
      <c r="BG129" s="2" t="e">
        <f t="shared" ca="1" si="39"/>
        <v>#N/A</v>
      </c>
      <c r="BH129" s="2" t="e">
        <f t="shared" ca="1" si="42"/>
        <v>#N/A</v>
      </c>
      <c r="BI129" s="2" t="e">
        <f t="shared" ca="1" si="40"/>
        <v>#N/A</v>
      </c>
    </row>
    <row r="130" spans="1:61" ht="15" x14ac:dyDescent="0.25">
      <c r="A130" s="66">
        <v>64</v>
      </c>
      <c r="B130" s="66">
        <v>1498730153.1849999</v>
      </c>
      <c r="C130" s="67">
        <v>-2.5512634228454201E-5</v>
      </c>
      <c r="D130" s="67">
        <v>-3.4081605720120901E-6</v>
      </c>
      <c r="E130" s="67">
        <v>7.8470683029568803E-4</v>
      </c>
      <c r="F130" s="67">
        <v>-2.6248387462391398E-5</v>
      </c>
      <c r="G130" s="67">
        <v>-9.2469031870362603E-5</v>
      </c>
      <c r="H130" s="67">
        <v>1.07637773065727E-3</v>
      </c>
      <c r="I130" s="67">
        <v>-3.4081605720120901E-6</v>
      </c>
      <c r="J130" s="67">
        <v>5.0238850347826298E-4</v>
      </c>
      <c r="K130" s="67">
        <v>6.8490651736350001E-3</v>
      </c>
      <c r="L130" s="67"/>
      <c r="M130" s="67"/>
      <c r="O130" s="11">
        <f t="shared" ca="1" si="0"/>
        <v>-3.8316564938414229E-5</v>
      </c>
      <c r="P130" s="11">
        <f t="shared" ca="1" si="1"/>
        <v>-4.1732608023168304E-6</v>
      </c>
      <c r="Q130" s="11">
        <f t="shared" ca="1" si="2"/>
        <v>-5.1784781972595865E-5</v>
      </c>
      <c r="R130" s="11">
        <f t="shared" ca="1" si="3"/>
        <v>-3.7894875108738526E-5</v>
      </c>
      <c r="S130" s="11">
        <f t="shared" ca="1" si="4"/>
        <v>-1.0339668391733273E-4</v>
      </c>
      <c r="T130" s="11">
        <f t="shared" ca="1" si="5"/>
        <v>-6.2177307925032109E-5</v>
      </c>
      <c r="U130" s="11">
        <f t="shared" ca="1" si="6"/>
        <v>-4.1732608023168304E-6</v>
      </c>
      <c r="V130" s="11">
        <f t="shared" ca="1" si="7"/>
        <v>-1.4780750221551138E-4</v>
      </c>
      <c r="W130" s="11">
        <f t="shared" ca="1" si="8"/>
        <v>-2.7378308986998785E-4</v>
      </c>
      <c r="X130" s="11"/>
      <c r="Y130" s="2">
        <f t="shared" ca="1" si="9"/>
        <v>-3.8316564938414229E-5</v>
      </c>
      <c r="Z130" s="11">
        <f t="shared" ca="1" si="10"/>
        <v>-4.1732608023168304E-6</v>
      </c>
      <c r="AA130" s="2">
        <f t="shared" ca="1" si="11"/>
        <v>-5.1784781972595865E-5</v>
      </c>
      <c r="AB130" s="2">
        <f t="shared" ca="1" si="12"/>
        <v>-3.7894875108738526E-5</v>
      </c>
      <c r="AC130" s="2">
        <f t="shared" ca="1" si="13"/>
        <v>-1.0339668391733273E-4</v>
      </c>
      <c r="AD130" s="2">
        <f t="shared" ca="1" si="14"/>
        <v>-6.2177307925032109E-5</v>
      </c>
      <c r="AE130" s="2">
        <f t="shared" ca="1" si="15"/>
        <v>-4.1732608023168304E-6</v>
      </c>
      <c r="AF130" s="2">
        <f t="shared" ca="1" si="16"/>
        <v>-1.4780750221551138E-4</v>
      </c>
      <c r="AG130" s="2">
        <f t="shared" ca="1" si="17"/>
        <v>-2.7378308986998785E-4</v>
      </c>
      <c r="AI130" s="2">
        <f t="shared" ca="1" si="18"/>
        <v>-3.8316564938414229E-5</v>
      </c>
      <c r="AJ130" s="11">
        <f t="shared" ca="1" si="19"/>
        <v>-4.1732608023168304E-6</v>
      </c>
      <c r="AK130" s="2">
        <f t="shared" ca="1" si="20"/>
        <v>-5.1784781972595865E-5</v>
      </c>
      <c r="AL130" s="2">
        <f t="shared" ca="1" si="21"/>
        <v>-3.7894875108738526E-5</v>
      </c>
      <c r="AM130" s="2">
        <f t="shared" ca="1" si="22"/>
        <v>-1.0339668391733273E-4</v>
      </c>
      <c r="AN130" s="2">
        <f t="shared" ca="1" si="23"/>
        <v>-6.2177307925032109E-5</v>
      </c>
      <c r="AO130" s="2">
        <f t="shared" ca="1" si="24"/>
        <v>-4.1732608023168304E-6</v>
      </c>
      <c r="AP130" s="2">
        <f t="shared" ca="1" si="25"/>
        <v>-1.4780750221551138E-4</v>
      </c>
      <c r="AQ130" s="2">
        <f t="shared" ca="1" si="26"/>
        <v>-2.7378308986998785E-4</v>
      </c>
      <c r="AS130" s="2" t="e">
        <f t="shared" ca="1" si="27"/>
        <v>#N/A</v>
      </c>
      <c r="AT130" s="2" t="e">
        <f t="shared" ca="1" si="28"/>
        <v>#N/A</v>
      </c>
      <c r="AU130" s="2" t="e">
        <f t="shared" ca="1" si="29"/>
        <v>#N/A</v>
      </c>
      <c r="AV130" s="2" t="e">
        <f t="shared" ca="1" si="30"/>
        <v>#N/A</v>
      </c>
      <c r="AW130" s="2" t="e">
        <f t="shared" ca="1" si="31"/>
        <v>#N/A</v>
      </c>
      <c r="AX130" s="2" t="e">
        <f t="shared" ca="1" si="32"/>
        <v>#N/A</v>
      </c>
      <c r="AY130" s="9" t="e">
        <f t="shared" ca="1" si="33"/>
        <v>#N/A</v>
      </c>
      <c r="AZ130" s="9" t="e">
        <f t="shared" ca="1" si="34"/>
        <v>#N/A</v>
      </c>
      <c r="BB130" s="2" t="e">
        <f t="shared" ca="1" si="35"/>
        <v>#N/A</v>
      </c>
      <c r="BC130" s="2" t="e">
        <f t="shared" ca="1" si="41"/>
        <v>#N/A</v>
      </c>
      <c r="BD130" s="2" t="e">
        <f t="shared" ca="1" si="36"/>
        <v>#N/A</v>
      </c>
      <c r="BE130" s="2" t="e">
        <f t="shared" ca="1" si="37"/>
        <v>#N/A</v>
      </c>
      <c r="BF130" s="2" t="e">
        <f t="shared" ca="1" si="38"/>
        <v>#N/A</v>
      </c>
      <c r="BG130" s="2" t="e">
        <f t="shared" ca="1" si="39"/>
        <v>#N/A</v>
      </c>
      <c r="BH130" s="2" t="e">
        <f t="shared" ca="1" si="42"/>
        <v>#N/A</v>
      </c>
      <c r="BI130" s="2" t="e">
        <f t="shared" ca="1" si="40"/>
        <v>#N/A</v>
      </c>
    </row>
    <row r="131" spans="1:61" ht="15" x14ac:dyDescent="0.25">
      <c r="A131" s="66">
        <v>65</v>
      </c>
      <c r="B131" s="66">
        <v>1498730153.7119999</v>
      </c>
      <c r="C131" s="67">
        <v>1.34181438266103E-4</v>
      </c>
      <c r="D131" s="67">
        <v>-4.5278707474829299E-5</v>
      </c>
      <c r="E131" s="67">
        <v>8.3163897178162196E-4</v>
      </c>
      <c r="F131" s="67">
        <v>-5.21823077184318E-5</v>
      </c>
      <c r="G131" s="67">
        <v>6.2715177897197094E-5</v>
      </c>
      <c r="H131" s="67">
        <v>1.1324065628786201E-3</v>
      </c>
      <c r="I131" s="67">
        <v>-4.5278707474829299E-5</v>
      </c>
      <c r="J131" s="67">
        <v>6.5508720629823896E-4</v>
      </c>
      <c r="K131" s="67">
        <v>7.0044960691185596E-3</v>
      </c>
      <c r="L131" s="67"/>
      <c r="M131" s="67"/>
      <c r="O131" s="11">
        <f t="shared" ref="O131:O194" ca="1" si="43">C131-AVERAGE(OFFSET(C$67,$J$2,0,$J$3))</f>
        <v>1.2137750755614296E-4</v>
      </c>
      <c r="P131" s="11">
        <f t="shared" ref="P131:P194" ca="1" si="44">D131-AVERAGE(OFFSET(D$67,$J$2,0,$J$3))</f>
        <v>-4.6043807705134038E-5</v>
      </c>
      <c r="Q131" s="11">
        <f t="shared" ref="Q131:Q194" ca="1" si="45">E131-AVERAGE(OFFSET(E$67,$J$2,0,$J$3))</f>
        <v>-4.8526404866619305E-6</v>
      </c>
      <c r="R131" s="11">
        <f t="shared" ref="R131:R194" ca="1" si="46">F131-AVERAGE(OFFSET(F$67,$J$2,0,$J$3))</f>
        <v>-6.3828795364778921E-5</v>
      </c>
      <c r="S131" s="11">
        <f t="shared" ref="S131:S194" ca="1" si="47">G131-AVERAGE(OFFSET(G$67,$J$2,0,$J$3))</f>
        <v>5.1787525850226973E-5</v>
      </c>
      <c r="T131" s="11">
        <f t="shared" ref="T131:T194" ca="1" si="48">H131-AVERAGE(OFFSET(H$67,$J$2,0,$J$3))</f>
        <v>-6.1484757036820489E-6</v>
      </c>
      <c r="U131" s="11">
        <f t="shared" ref="U131:U194" ca="1" si="49">I131-AVERAGE(OFFSET(I$67,$J$2,0,$J$3))</f>
        <v>-4.6043807705134038E-5</v>
      </c>
      <c r="V131" s="11">
        <f t="shared" ref="V131:V194" ca="1" si="50">J131-AVERAGE(OFFSET(J$67,$J$2,0,$J$3))</f>
        <v>4.8912006044646034E-6</v>
      </c>
      <c r="W131" s="11">
        <f t="shared" ref="W131:W194" ca="1" si="51">K131-AVERAGE(OFFSET(K$67,$J$2,0,$J$3))</f>
        <v>-1.1835219438642835E-4</v>
      </c>
      <c r="X131" s="11"/>
      <c r="Y131" s="2">
        <f t="shared" ref="Y131:Y194" ca="1" si="52">O131</f>
        <v>1.2137750755614296E-4</v>
      </c>
      <c r="Z131" s="11">
        <f t="shared" ref="Z131:Z194" ca="1" si="53">P131</f>
        <v>-4.6043807705134038E-5</v>
      </c>
      <c r="AA131" s="2">
        <f t="shared" ref="AA131:AA194" ca="1" si="54">IF($U131&gt;0,Q131-($B$14/$B$18*$U131), Q131)</f>
        <v>-4.8526404866619305E-6</v>
      </c>
      <c r="AB131" s="2">
        <f t="shared" ref="AB131:AB194" ca="1" si="55">IF($U131&gt;0,R131-($B$15/$B$18*$U131), R131)</f>
        <v>-6.3828795364778921E-5</v>
      </c>
      <c r="AC131" s="2">
        <f t="shared" ref="AC131:AC194" ca="1" si="56">S131</f>
        <v>5.1787525850226973E-5</v>
      </c>
      <c r="AD131" s="2">
        <f t="shared" ref="AD131:AD194" ca="1" si="57">IF($U131&gt;0,T131-($B$17/$B$18*$U131), T131)</f>
        <v>-6.1484757036820489E-6</v>
      </c>
      <c r="AE131" s="2">
        <f t="shared" ref="AE131:AE194" ca="1" si="58">U131</f>
        <v>-4.6043807705134038E-5</v>
      </c>
      <c r="AF131" s="2">
        <f t="shared" ref="AF131:AF194" ca="1" si="59">IF($U131&gt;0,V131-($B$19/$B$18*$U131), V131)</f>
        <v>4.8912006044646034E-6</v>
      </c>
      <c r="AG131" s="2">
        <f t="shared" ref="AG131:AG194" ca="1" si="60">IF($U131&gt;0,W131-($B$20/$B$18*$U131), W131)</f>
        <v>-1.1835219438642835E-4</v>
      </c>
      <c r="AI131" s="2">
        <f t="shared" ref="AI131:AI194" ca="1" si="61">Y131</f>
        <v>1.2137750755614296E-4</v>
      </c>
      <c r="AJ131" s="11">
        <f t="shared" ref="AJ131:AJ194" ca="1" si="62">Z131</f>
        <v>-4.6043807705134038E-5</v>
      </c>
      <c r="AK131" s="2">
        <f t="shared" ref="AK131:AK194" ca="1" si="63">IF($AJ131&gt;0,AA131-($B$25/$B$24*$AJ131),AA131)</f>
        <v>-4.8526404866619305E-6</v>
      </c>
      <c r="AL131" s="2">
        <f t="shared" ref="AL131:AL194" ca="1" si="64">IF($AJ131&gt;0,AB131-($B$26/$B$25*$AJ131),AB131)</f>
        <v>-6.3828795364778921E-5</v>
      </c>
      <c r="AM131" s="2">
        <f t="shared" ref="AM131:AM194" ca="1" si="65">AC131</f>
        <v>5.1787525850226973E-5</v>
      </c>
      <c r="AN131" s="2">
        <f t="shared" ref="AN131:AN194" ca="1" si="66">AD131</f>
        <v>-6.1484757036820489E-6</v>
      </c>
      <c r="AO131" s="2">
        <f t="shared" ref="AO131:AO194" ca="1" si="67">AE131</f>
        <v>-4.6043807705134038E-5</v>
      </c>
      <c r="AP131" s="2">
        <f t="shared" ref="AP131:AP194" ca="1" si="68">AF131</f>
        <v>4.8912006044646034E-6</v>
      </c>
      <c r="AQ131" s="2">
        <f t="shared" ref="AQ131:AQ194" ca="1" si="69">AG131</f>
        <v>-1.1835219438642835E-4</v>
      </c>
      <c r="AS131" s="2" t="e">
        <f t="shared" ref="AS131:AS194" ca="1" si="70">IF(AND(T131&gt;0,W131&gt;0),W131/T131, #N/A)</f>
        <v>#N/A</v>
      </c>
      <c r="AT131" s="2" t="e">
        <f t="shared" ref="AT131:AT194" ca="1" si="71">$B$8*((AS131/$B$10)^$B$11)</f>
        <v>#N/A</v>
      </c>
      <c r="AU131" s="2" t="e">
        <f t="shared" ref="AU131:AU194" ca="1" si="72">AT131*R131</f>
        <v>#N/A</v>
      </c>
      <c r="AV131" s="2" t="e">
        <f t="shared" ref="AV131:AV194" ca="1" si="73">V131-AU131</f>
        <v>#N/A</v>
      </c>
      <c r="AW131" s="2" t="e">
        <f t="shared" ref="AW131:AW194" ca="1" si="74">(AV131/T131)/((AS131/$B$10)^$B$12)</f>
        <v>#N/A</v>
      </c>
      <c r="AX131" s="2" t="e">
        <f t="shared" ref="AX131:AX194" ca="1" si="75">(Q131/T131)/((AS131/$B$10)^$B$13)</f>
        <v>#N/A</v>
      </c>
      <c r="AY131" s="9" t="e">
        <f t="shared" ref="AY131:AY194" ca="1" si="76">IF(AND(AW131&lt;$M$3,AW131&gt;$M$4),AW131,"rejected")</f>
        <v>#N/A</v>
      </c>
      <c r="AZ131" s="9" t="e">
        <f t="shared" ref="AZ131:AZ194" ca="1" si="77">IF(AND(AW131&lt;$M$3,AW131&gt;$M$4),AW131,#N/A)</f>
        <v>#N/A</v>
      </c>
      <c r="BB131" s="2" t="e">
        <f t="shared" ref="BB131:BB194" ca="1" si="78">IF(AND(AQ131&gt;0, AN131&gt;0),AQ131/AN131, #N/A)</f>
        <v>#N/A</v>
      </c>
      <c r="BC131" s="2" t="e">
        <f t="shared" ref="BC131:BC194" ca="1" si="79">$B$8*((BB131/$B$10)^$B$11)</f>
        <v>#N/A</v>
      </c>
      <c r="BD131" s="2" t="e">
        <f t="shared" ref="BD131:BD194" ca="1" si="80">BC131*AL131</f>
        <v>#N/A</v>
      </c>
      <c r="BE131" s="2" t="e">
        <f t="shared" ref="BE131:BE194" ca="1" si="81">AP131-BD131</f>
        <v>#N/A</v>
      </c>
      <c r="BF131" s="2" t="e">
        <f t="shared" ref="BF131:BF194" ca="1" si="82">(BE131/AN131)/((BB131/$B$10)^$B$12)</f>
        <v>#N/A</v>
      </c>
      <c r="BG131" s="2" t="e">
        <f t="shared" ref="BG131:BG194" ca="1" si="83">(AK131/AN131)/((BB131/$B$10)^$B$13)</f>
        <v>#N/A</v>
      </c>
      <c r="BH131" s="2" t="e">
        <f t="shared" ref="BH131:BH194" ca="1" si="84">IF(AND(BF131&lt;$P$3,BF131&gt;$P$4),BF131,"rejected")</f>
        <v>#N/A</v>
      </c>
      <c r="BI131" s="2" t="e">
        <f t="shared" ref="BI131:BI194" ca="1" si="85">IF(AND(BF131&lt;$P$3,BF131&gt;$P$4),BF131,#N/A)</f>
        <v>#N/A</v>
      </c>
    </row>
    <row r="132" spans="1:61" ht="15" x14ac:dyDescent="0.25">
      <c r="A132" s="66">
        <v>66</v>
      </c>
      <c r="B132" s="66">
        <v>1498730154.2390001</v>
      </c>
      <c r="C132" s="67">
        <v>-1.0630988654435899E-5</v>
      </c>
      <c r="D132" s="67">
        <v>1.20409384310279E-5</v>
      </c>
      <c r="E132" s="67">
        <v>8.3618863258758797E-4</v>
      </c>
      <c r="F132" s="67">
        <v>3.4187397945727799E-5</v>
      </c>
      <c r="G132" s="67">
        <v>2.2091095879290898E-5</v>
      </c>
      <c r="H132" s="67">
        <v>1.17508594926001E-3</v>
      </c>
      <c r="I132" s="67">
        <v>1.20409384310279E-5</v>
      </c>
      <c r="J132" s="67">
        <v>6.4439991132044796E-4</v>
      </c>
      <c r="K132" s="67">
        <v>6.8944265401708303E-3</v>
      </c>
      <c r="L132" s="67"/>
      <c r="M132" s="67"/>
      <c r="O132" s="11">
        <f t="shared" ca="1" si="43"/>
        <v>-2.3434919364395925E-5</v>
      </c>
      <c r="P132" s="11">
        <f t="shared" ca="1" si="44"/>
        <v>1.127583820072316E-5</v>
      </c>
      <c r="Q132" s="11">
        <f t="shared" ca="1" si="45"/>
        <v>-3.029796806959268E-7</v>
      </c>
      <c r="R132" s="11">
        <f t="shared" ca="1" si="46"/>
        <v>2.2540910299380675E-5</v>
      </c>
      <c r="S132" s="11">
        <f t="shared" ca="1" si="47"/>
        <v>1.1163443832320776E-5</v>
      </c>
      <c r="T132" s="11">
        <f t="shared" ca="1" si="48"/>
        <v>3.6530910677707836E-5</v>
      </c>
      <c r="U132" s="11">
        <f t="shared" ca="1" si="49"/>
        <v>1.127583820072316E-5</v>
      </c>
      <c r="V132" s="11">
        <f t="shared" ca="1" si="50"/>
        <v>-5.7960943733263975E-6</v>
      </c>
      <c r="W132" s="11">
        <f t="shared" ca="1" si="51"/>
        <v>-2.2842172333415768E-4</v>
      </c>
      <c r="X132" s="11"/>
      <c r="Y132" s="2">
        <f t="shared" ca="1" si="52"/>
        <v>-2.3434919364395925E-5</v>
      </c>
      <c r="Z132" s="11">
        <f t="shared" ca="1" si="53"/>
        <v>1.127583820072316E-5</v>
      </c>
      <c r="AA132" s="2">
        <f t="shared" ca="1" si="54"/>
        <v>-3.8924828072878363E-7</v>
      </c>
      <c r="AB132" s="2">
        <f t="shared" ca="1" si="55"/>
        <v>2.0452818048585391E-5</v>
      </c>
      <c r="AC132" s="2">
        <f t="shared" ca="1" si="56"/>
        <v>1.1163443832320776E-5</v>
      </c>
      <c r="AD132" s="2">
        <f t="shared" ca="1" si="57"/>
        <v>2.1345676421924291E-5</v>
      </c>
      <c r="AE132" s="2">
        <f t="shared" ca="1" si="58"/>
        <v>1.127583820072316E-5</v>
      </c>
      <c r="AF132" s="2">
        <f t="shared" ca="1" si="59"/>
        <v>-2.8221028756867299E-5</v>
      </c>
      <c r="AG132" s="2">
        <f t="shared" ca="1" si="60"/>
        <v>-2.3752124003405197E-4</v>
      </c>
      <c r="AI132" s="2">
        <f t="shared" ca="1" si="61"/>
        <v>-2.3434919364395925E-5</v>
      </c>
      <c r="AJ132" s="11">
        <f t="shared" ca="1" si="62"/>
        <v>1.127583820072316E-5</v>
      </c>
      <c r="AK132" s="2">
        <f t="shared" ca="1" si="63"/>
        <v>-1.3692651028763734E-5</v>
      </c>
      <c r="AL132" s="2">
        <f t="shared" ca="1" si="64"/>
        <v>1.4226269874755439E-5</v>
      </c>
      <c r="AM132" s="2">
        <f t="shared" ca="1" si="65"/>
        <v>1.1163443832320776E-5</v>
      </c>
      <c r="AN132" s="2">
        <f t="shared" ca="1" si="66"/>
        <v>2.1345676421924291E-5</v>
      </c>
      <c r="AO132" s="2">
        <f t="shared" ca="1" si="67"/>
        <v>1.127583820072316E-5</v>
      </c>
      <c r="AP132" s="2">
        <f t="shared" ca="1" si="68"/>
        <v>-2.8221028756867299E-5</v>
      </c>
      <c r="AQ132" s="2">
        <f t="shared" ca="1" si="69"/>
        <v>-2.3752124003405197E-4</v>
      </c>
      <c r="AS132" s="2" t="e">
        <f t="shared" ca="1" si="70"/>
        <v>#N/A</v>
      </c>
      <c r="AT132" s="2" t="e">
        <f t="shared" ca="1" si="71"/>
        <v>#N/A</v>
      </c>
      <c r="AU132" s="2" t="e">
        <f t="shared" ca="1" si="72"/>
        <v>#N/A</v>
      </c>
      <c r="AV132" s="2" t="e">
        <f t="shared" ca="1" si="73"/>
        <v>#N/A</v>
      </c>
      <c r="AW132" s="2" t="e">
        <f t="shared" ca="1" si="74"/>
        <v>#N/A</v>
      </c>
      <c r="AX132" s="2" t="e">
        <f t="shared" ca="1" si="75"/>
        <v>#N/A</v>
      </c>
      <c r="AY132" s="9" t="e">
        <f t="shared" ca="1" si="76"/>
        <v>#N/A</v>
      </c>
      <c r="AZ132" s="9" t="e">
        <f t="shared" ca="1" si="77"/>
        <v>#N/A</v>
      </c>
      <c r="BB132" s="2" t="e">
        <f t="shared" ca="1" si="78"/>
        <v>#N/A</v>
      </c>
      <c r="BC132" s="2" t="e">
        <f t="shared" ca="1" si="79"/>
        <v>#N/A</v>
      </c>
      <c r="BD132" s="2" t="e">
        <f t="shared" ca="1" si="80"/>
        <v>#N/A</v>
      </c>
      <c r="BE132" s="2" t="e">
        <f t="shared" ca="1" si="81"/>
        <v>#N/A</v>
      </c>
      <c r="BF132" s="2" t="e">
        <f t="shared" ca="1" si="82"/>
        <v>#N/A</v>
      </c>
      <c r="BG132" s="2" t="e">
        <f t="shared" ca="1" si="83"/>
        <v>#N/A</v>
      </c>
      <c r="BH132" s="2" t="e">
        <f t="shared" ca="1" si="84"/>
        <v>#N/A</v>
      </c>
      <c r="BI132" s="2" t="e">
        <f t="shared" ca="1" si="85"/>
        <v>#N/A</v>
      </c>
    </row>
    <row r="133" spans="1:61" ht="15" x14ac:dyDescent="0.25">
      <c r="A133" s="66">
        <v>67</v>
      </c>
      <c r="B133" s="66">
        <v>1498730154.766</v>
      </c>
      <c r="C133" s="67">
        <v>8.6459510851840098E-5</v>
      </c>
      <c r="D133" s="67">
        <v>-2.5490996265891099E-5</v>
      </c>
      <c r="E133" s="67">
        <v>8.4456964059661101E-4</v>
      </c>
      <c r="F133" s="67">
        <v>-5.26581531741445E-5</v>
      </c>
      <c r="G133" s="67">
        <v>-6.5576480015111207E-5</v>
      </c>
      <c r="H133" s="67">
        <v>1.2330279185137399E-3</v>
      </c>
      <c r="I133" s="67">
        <v>-2.5490996265891099E-5</v>
      </c>
      <c r="J133" s="67">
        <v>6.8691227377354195E-4</v>
      </c>
      <c r="K133" s="67">
        <v>6.9810963295500001E-3</v>
      </c>
      <c r="L133" s="67"/>
      <c r="M133" s="67"/>
      <c r="O133" s="11">
        <f t="shared" ca="1" si="43"/>
        <v>7.3655580141880064E-5</v>
      </c>
      <c r="P133" s="11">
        <f t="shared" ca="1" si="44"/>
        <v>-2.6256096496195841E-5</v>
      </c>
      <c r="Q133" s="11">
        <f t="shared" ca="1" si="45"/>
        <v>8.0780283283271104E-6</v>
      </c>
      <c r="R133" s="11">
        <f t="shared" ca="1" si="46"/>
        <v>-6.4304640820491628E-5</v>
      </c>
      <c r="S133" s="11">
        <f t="shared" ca="1" si="47"/>
        <v>-7.6504132062081334E-5</v>
      </c>
      <c r="T133" s="11">
        <f t="shared" ca="1" si="48"/>
        <v>9.4472879931437785E-5</v>
      </c>
      <c r="U133" s="11">
        <f t="shared" ca="1" si="49"/>
        <v>-2.6256096496195841E-5</v>
      </c>
      <c r="V133" s="11">
        <f t="shared" ca="1" si="50"/>
        <v>3.6716268079767592E-5</v>
      </c>
      <c r="W133" s="11">
        <f t="shared" ca="1" si="51"/>
        <v>-1.4175193395498786E-4</v>
      </c>
      <c r="X133" s="11"/>
      <c r="Y133" s="2">
        <f t="shared" ca="1" si="52"/>
        <v>7.3655580141880064E-5</v>
      </c>
      <c r="Z133" s="11">
        <f t="shared" ca="1" si="53"/>
        <v>-2.6256096496195841E-5</v>
      </c>
      <c r="AA133" s="2">
        <f t="shared" ca="1" si="54"/>
        <v>8.0780283283271104E-6</v>
      </c>
      <c r="AB133" s="2">
        <f t="shared" ca="1" si="55"/>
        <v>-6.4304640820491628E-5</v>
      </c>
      <c r="AC133" s="2">
        <f t="shared" ca="1" si="56"/>
        <v>-7.6504132062081334E-5</v>
      </c>
      <c r="AD133" s="2">
        <f t="shared" ca="1" si="57"/>
        <v>9.4472879931437785E-5</v>
      </c>
      <c r="AE133" s="2">
        <f t="shared" ca="1" si="58"/>
        <v>-2.6256096496195841E-5</v>
      </c>
      <c r="AF133" s="2">
        <f t="shared" ca="1" si="59"/>
        <v>3.6716268079767592E-5</v>
      </c>
      <c r="AG133" s="2">
        <f t="shared" ca="1" si="60"/>
        <v>-1.4175193395498786E-4</v>
      </c>
      <c r="AI133" s="2">
        <f t="shared" ca="1" si="61"/>
        <v>7.3655580141880064E-5</v>
      </c>
      <c r="AJ133" s="11">
        <f t="shared" ca="1" si="62"/>
        <v>-2.6256096496195841E-5</v>
      </c>
      <c r="AK133" s="2">
        <f t="shared" ca="1" si="63"/>
        <v>8.0780283283271104E-6</v>
      </c>
      <c r="AL133" s="2">
        <f t="shared" ca="1" si="64"/>
        <v>-6.4304640820491628E-5</v>
      </c>
      <c r="AM133" s="2">
        <f t="shared" ca="1" si="65"/>
        <v>-7.6504132062081334E-5</v>
      </c>
      <c r="AN133" s="2">
        <f t="shared" ca="1" si="66"/>
        <v>9.4472879931437785E-5</v>
      </c>
      <c r="AO133" s="2">
        <f t="shared" ca="1" si="67"/>
        <v>-2.6256096496195841E-5</v>
      </c>
      <c r="AP133" s="2">
        <f t="shared" ca="1" si="68"/>
        <v>3.6716268079767592E-5</v>
      </c>
      <c r="AQ133" s="2">
        <f t="shared" ca="1" si="69"/>
        <v>-1.4175193395498786E-4</v>
      </c>
      <c r="AS133" s="2" t="e">
        <f t="shared" ca="1" si="70"/>
        <v>#N/A</v>
      </c>
      <c r="AT133" s="2" t="e">
        <f t="shared" ca="1" si="71"/>
        <v>#N/A</v>
      </c>
      <c r="AU133" s="2" t="e">
        <f t="shared" ca="1" si="72"/>
        <v>#N/A</v>
      </c>
      <c r="AV133" s="2" t="e">
        <f t="shared" ca="1" si="73"/>
        <v>#N/A</v>
      </c>
      <c r="AW133" s="2" t="e">
        <f t="shared" ca="1" si="74"/>
        <v>#N/A</v>
      </c>
      <c r="AX133" s="2" t="e">
        <f t="shared" ca="1" si="75"/>
        <v>#N/A</v>
      </c>
      <c r="AY133" s="9" t="e">
        <f t="shared" ca="1" si="76"/>
        <v>#N/A</v>
      </c>
      <c r="AZ133" s="9" t="e">
        <f t="shared" ca="1" si="77"/>
        <v>#N/A</v>
      </c>
      <c r="BB133" s="2" t="e">
        <f t="shared" ca="1" si="78"/>
        <v>#N/A</v>
      </c>
      <c r="BC133" s="2" t="e">
        <f t="shared" ca="1" si="79"/>
        <v>#N/A</v>
      </c>
      <c r="BD133" s="2" t="e">
        <f t="shared" ca="1" si="80"/>
        <v>#N/A</v>
      </c>
      <c r="BE133" s="2" t="e">
        <f t="shared" ca="1" si="81"/>
        <v>#N/A</v>
      </c>
      <c r="BF133" s="2" t="e">
        <f t="shared" ca="1" si="82"/>
        <v>#N/A</v>
      </c>
      <c r="BG133" s="2" t="e">
        <f t="shared" ca="1" si="83"/>
        <v>#N/A</v>
      </c>
      <c r="BH133" s="2" t="e">
        <f t="shared" ca="1" si="84"/>
        <v>#N/A</v>
      </c>
      <c r="BI133" s="2" t="e">
        <f t="shared" ca="1" si="85"/>
        <v>#N/A</v>
      </c>
    </row>
    <row r="134" spans="1:61" ht="15" x14ac:dyDescent="0.25">
      <c r="A134" s="66">
        <v>68</v>
      </c>
      <c r="B134" s="66">
        <v>1498730155.293</v>
      </c>
      <c r="C134" s="67">
        <v>7.6064939993785997E-5</v>
      </c>
      <c r="D134" s="67">
        <v>-1.9893994048693701E-5</v>
      </c>
      <c r="E134" s="67">
        <v>9.3365210029610897E-4</v>
      </c>
      <c r="F134" s="67">
        <v>9.8672131167960303E-5</v>
      </c>
      <c r="G134" s="67">
        <v>8.6131648882600096E-5</v>
      </c>
      <c r="H134" s="67">
        <v>1.2034604037632899E-3</v>
      </c>
      <c r="I134" s="67">
        <v>-1.9893994048693701E-5</v>
      </c>
      <c r="J134" s="67">
        <v>6.1210122671147098E-4</v>
      </c>
      <c r="K134" s="67">
        <v>7.0415069759299804E-3</v>
      </c>
      <c r="L134" s="67"/>
      <c r="M134" s="67"/>
      <c r="O134" s="11">
        <f t="shared" ca="1" si="43"/>
        <v>6.3261009283825963E-5</v>
      </c>
      <c r="P134" s="11">
        <f t="shared" ca="1" si="44"/>
        <v>-2.0659094278998443E-5</v>
      </c>
      <c r="Q134" s="11">
        <f t="shared" ca="1" si="45"/>
        <v>9.7160488027825073E-5</v>
      </c>
      <c r="R134" s="11">
        <f t="shared" ca="1" si="46"/>
        <v>8.7025643521613182E-5</v>
      </c>
      <c r="S134" s="11">
        <f t="shared" ca="1" si="47"/>
        <v>7.5203996835629969E-5</v>
      </c>
      <c r="T134" s="11">
        <f t="shared" ca="1" si="48"/>
        <v>6.4905365180987747E-5</v>
      </c>
      <c r="U134" s="11">
        <f t="shared" ca="1" si="49"/>
        <v>-2.0659094278998443E-5</v>
      </c>
      <c r="V134" s="11">
        <f t="shared" ca="1" si="50"/>
        <v>-3.8094778982303377E-5</v>
      </c>
      <c r="W134" s="11">
        <f t="shared" ca="1" si="51"/>
        <v>-8.1341287575007609E-5</v>
      </c>
      <c r="X134" s="11"/>
      <c r="Y134" s="2">
        <f t="shared" ca="1" si="52"/>
        <v>6.3261009283825963E-5</v>
      </c>
      <c r="Z134" s="11">
        <f t="shared" ca="1" si="53"/>
        <v>-2.0659094278998443E-5</v>
      </c>
      <c r="AA134" s="2">
        <f t="shared" ca="1" si="54"/>
        <v>9.7160488027825073E-5</v>
      </c>
      <c r="AB134" s="2">
        <f t="shared" ca="1" si="55"/>
        <v>8.7025643521613182E-5</v>
      </c>
      <c r="AC134" s="2">
        <f t="shared" ca="1" si="56"/>
        <v>7.5203996835629969E-5</v>
      </c>
      <c r="AD134" s="2">
        <f t="shared" ca="1" si="57"/>
        <v>6.4905365180987747E-5</v>
      </c>
      <c r="AE134" s="2">
        <f t="shared" ca="1" si="58"/>
        <v>-2.0659094278998443E-5</v>
      </c>
      <c r="AF134" s="2">
        <f t="shared" ca="1" si="59"/>
        <v>-3.8094778982303377E-5</v>
      </c>
      <c r="AG134" s="2">
        <f t="shared" ca="1" si="60"/>
        <v>-8.1341287575007609E-5</v>
      </c>
      <c r="AI134" s="2">
        <f t="shared" ca="1" si="61"/>
        <v>6.3261009283825963E-5</v>
      </c>
      <c r="AJ134" s="11">
        <f t="shared" ca="1" si="62"/>
        <v>-2.0659094278998443E-5</v>
      </c>
      <c r="AK134" s="2">
        <f t="shared" ca="1" si="63"/>
        <v>9.7160488027825073E-5</v>
      </c>
      <c r="AL134" s="2">
        <f t="shared" ca="1" si="64"/>
        <v>8.7025643521613182E-5</v>
      </c>
      <c r="AM134" s="2">
        <f t="shared" ca="1" si="65"/>
        <v>7.5203996835629969E-5</v>
      </c>
      <c r="AN134" s="2">
        <f t="shared" ca="1" si="66"/>
        <v>6.4905365180987747E-5</v>
      </c>
      <c r="AO134" s="2">
        <f t="shared" ca="1" si="67"/>
        <v>-2.0659094278998443E-5</v>
      </c>
      <c r="AP134" s="2">
        <f t="shared" ca="1" si="68"/>
        <v>-3.8094778982303377E-5</v>
      </c>
      <c r="AQ134" s="2">
        <f t="shared" ca="1" si="69"/>
        <v>-8.1341287575007609E-5</v>
      </c>
      <c r="AS134" s="2" t="e">
        <f t="shared" ca="1" si="70"/>
        <v>#N/A</v>
      </c>
      <c r="AT134" s="2" t="e">
        <f t="shared" ca="1" si="71"/>
        <v>#N/A</v>
      </c>
      <c r="AU134" s="2" t="e">
        <f t="shared" ca="1" si="72"/>
        <v>#N/A</v>
      </c>
      <c r="AV134" s="2" t="e">
        <f t="shared" ca="1" si="73"/>
        <v>#N/A</v>
      </c>
      <c r="AW134" s="2" t="e">
        <f t="shared" ca="1" si="74"/>
        <v>#N/A</v>
      </c>
      <c r="AX134" s="2" t="e">
        <f t="shared" ca="1" si="75"/>
        <v>#N/A</v>
      </c>
      <c r="AY134" s="9" t="e">
        <f t="shared" ca="1" si="76"/>
        <v>#N/A</v>
      </c>
      <c r="AZ134" s="9" t="e">
        <f t="shared" ca="1" si="77"/>
        <v>#N/A</v>
      </c>
      <c r="BB134" s="2" t="e">
        <f t="shared" ca="1" si="78"/>
        <v>#N/A</v>
      </c>
      <c r="BC134" s="2" t="e">
        <f t="shared" ca="1" si="79"/>
        <v>#N/A</v>
      </c>
      <c r="BD134" s="2" t="e">
        <f t="shared" ca="1" si="80"/>
        <v>#N/A</v>
      </c>
      <c r="BE134" s="2" t="e">
        <f t="shared" ca="1" si="81"/>
        <v>#N/A</v>
      </c>
      <c r="BF134" s="2" t="e">
        <f t="shared" ca="1" si="82"/>
        <v>#N/A</v>
      </c>
      <c r="BG134" s="2" t="e">
        <f t="shared" ca="1" si="83"/>
        <v>#N/A</v>
      </c>
      <c r="BH134" s="2" t="e">
        <f t="shared" ca="1" si="84"/>
        <v>#N/A</v>
      </c>
      <c r="BI134" s="2" t="e">
        <f t="shared" ca="1" si="85"/>
        <v>#N/A</v>
      </c>
    </row>
    <row r="135" spans="1:61" ht="15" x14ac:dyDescent="0.25">
      <c r="A135" s="66">
        <v>69</v>
      </c>
      <c r="B135" s="66">
        <v>1498730155.8199999</v>
      </c>
      <c r="C135" s="67">
        <v>7.1103933200340598E-5</v>
      </c>
      <c r="D135" s="67">
        <v>2.1940020557732799E-5</v>
      </c>
      <c r="E135" s="67">
        <v>7.8877738845527397E-4</v>
      </c>
      <c r="F135" s="67">
        <v>4.4419014963238103E-5</v>
      </c>
      <c r="G135" s="67">
        <v>-1.6280388997549599E-5</v>
      </c>
      <c r="H135" s="67">
        <v>1.08615274772856E-3</v>
      </c>
      <c r="I135" s="67">
        <v>2.1940020557732799E-5</v>
      </c>
      <c r="J135" s="67">
        <v>6.6221213321401905E-4</v>
      </c>
      <c r="K135" s="67">
        <v>6.9123329075680001E-3</v>
      </c>
      <c r="L135" s="67"/>
      <c r="M135" s="67"/>
      <c r="O135" s="11">
        <f t="shared" ca="1" si="43"/>
        <v>5.830000249038057E-5</v>
      </c>
      <c r="P135" s="11">
        <f t="shared" ca="1" si="44"/>
        <v>2.1174920327428057E-5</v>
      </c>
      <c r="Q135" s="11">
        <f t="shared" ca="1" si="45"/>
        <v>-4.7714223813009925E-5</v>
      </c>
      <c r="R135" s="11">
        <f t="shared" ca="1" si="46"/>
        <v>3.2772527316890976E-5</v>
      </c>
      <c r="S135" s="11">
        <f t="shared" ca="1" si="47"/>
        <v>-2.720804104451972E-5</v>
      </c>
      <c r="T135" s="11">
        <f t="shared" ca="1" si="48"/>
        <v>-5.2402290853742137E-5</v>
      </c>
      <c r="U135" s="11">
        <f t="shared" ca="1" si="49"/>
        <v>2.1174920327428057E-5</v>
      </c>
      <c r="V135" s="11">
        <f t="shared" ca="1" si="50"/>
        <v>1.2016127520244691E-5</v>
      </c>
      <c r="W135" s="11">
        <f t="shared" ca="1" si="51"/>
        <v>-2.1051535593698788E-4</v>
      </c>
      <c r="X135" s="11"/>
      <c r="Y135" s="2">
        <f t="shared" ca="1" si="52"/>
        <v>5.830000249038057E-5</v>
      </c>
      <c r="Z135" s="11">
        <f t="shared" ca="1" si="53"/>
        <v>2.1174920327428057E-5</v>
      </c>
      <c r="AA135" s="2">
        <f t="shared" ca="1" si="54"/>
        <v>-4.7876227798872132E-5</v>
      </c>
      <c r="AB135" s="2">
        <f t="shared" ca="1" si="55"/>
        <v>2.885129447727162E-5</v>
      </c>
      <c r="AC135" s="2">
        <f t="shared" ca="1" si="56"/>
        <v>-2.720804104451972E-5</v>
      </c>
      <c r="AD135" s="2">
        <f t="shared" ca="1" si="57"/>
        <v>-8.0918674274260355E-5</v>
      </c>
      <c r="AE135" s="2">
        <f t="shared" ca="1" si="58"/>
        <v>2.1174920327428057E-5</v>
      </c>
      <c r="AF135" s="2">
        <f t="shared" ca="1" si="59"/>
        <v>-3.0095704032005412E-5</v>
      </c>
      <c r="AG135" s="2">
        <f t="shared" ca="1" si="60"/>
        <v>-2.2760335753016479E-4</v>
      </c>
      <c r="AI135" s="2">
        <f t="shared" ca="1" si="61"/>
        <v>5.830000249038057E-5</v>
      </c>
      <c r="AJ135" s="11">
        <f t="shared" ca="1" si="62"/>
        <v>2.1174920327428057E-5</v>
      </c>
      <c r="AK135" s="2">
        <f t="shared" ca="1" si="63"/>
        <v>-7.285871586395107E-5</v>
      </c>
      <c r="AL135" s="2">
        <f t="shared" ca="1" si="64"/>
        <v>1.715844653561828E-5</v>
      </c>
      <c r="AM135" s="2">
        <f t="shared" ca="1" si="65"/>
        <v>-2.720804104451972E-5</v>
      </c>
      <c r="AN135" s="2">
        <f t="shared" ca="1" si="66"/>
        <v>-8.0918674274260355E-5</v>
      </c>
      <c r="AO135" s="2">
        <f t="shared" ca="1" si="67"/>
        <v>2.1174920327428057E-5</v>
      </c>
      <c r="AP135" s="2">
        <f t="shared" ca="1" si="68"/>
        <v>-3.0095704032005412E-5</v>
      </c>
      <c r="AQ135" s="2">
        <f t="shared" ca="1" si="69"/>
        <v>-2.2760335753016479E-4</v>
      </c>
      <c r="AS135" s="2" t="e">
        <f t="shared" ca="1" si="70"/>
        <v>#N/A</v>
      </c>
      <c r="AT135" s="2" t="e">
        <f t="shared" ca="1" si="71"/>
        <v>#N/A</v>
      </c>
      <c r="AU135" s="2" t="e">
        <f t="shared" ca="1" si="72"/>
        <v>#N/A</v>
      </c>
      <c r="AV135" s="2" t="e">
        <f t="shared" ca="1" si="73"/>
        <v>#N/A</v>
      </c>
      <c r="AW135" s="2" t="e">
        <f t="shared" ca="1" si="74"/>
        <v>#N/A</v>
      </c>
      <c r="AX135" s="2" t="e">
        <f t="shared" ca="1" si="75"/>
        <v>#N/A</v>
      </c>
      <c r="AY135" s="9" t="e">
        <f t="shared" ca="1" si="76"/>
        <v>#N/A</v>
      </c>
      <c r="AZ135" s="9" t="e">
        <f t="shared" ca="1" si="77"/>
        <v>#N/A</v>
      </c>
      <c r="BB135" s="2" t="e">
        <f t="shared" ca="1" si="78"/>
        <v>#N/A</v>
      </c>
      <c r="BC135" s="2" t="e">
        <f t="shared" ca="1" si="79"/>
        <v>#N/A</v>
      </c>
      <c r="BD135" s="2" t="e">
        <f t="shared" ca="1" si="80"/>
        <v>#N/A</v>
      </c>
      <c r="BE135" s="2" t="e">
        <f t="shared" ca="1" si="81"/>
        <v>#N/A</v>
      </c>
      <c r="BF135" s="2" t="e">
        <f t="shared" ca="1" si="82"/>
        <v>#N/A</v>
      </c>
      <c r="BG135" s="2" t="e">
        <f t="shared" ca="1" si="83"/>
        <v>#N/A</v>
      </c>
      <c r="BH135" s="2" t="e">
        <f t="shared" ca="1" si="84"/>
        <v>#N/A</v>
      </c>
      <c r="BI135" s="2" t="e">
        <f t="shared" ca="1" si="85"/>
        <v>#N/A</v>
      </c>
    </row>
    <row r="136" spans="1:61" ht="15" x14ac:dyDescent="0.25">
      <c r="A136" s="66">
        <v>70</v>
      </c>
      <c r="B136" s="66">
        <v>1498730156.3469999</v>
      </c>
      <c r="C136" s="67">
        <v>-4.5118270981801299E-5</v>
      </c>
      <c r="D136" s="67">
        <v>2.84375685268527E-5</v>
      </c>
      <c r="E136" s="67">
        <v>7.9739744837184099E-4</v>
      </c>
      <c r="F136" s="67">
        <v>4.8939995410295802E-5</v>
      </c>
      <c r="G136" s="67">
        <v>7.3480412247353097E-5</v>
      </c>
      <c r="H136" s="67">
        <v>1.0887753295361301E-3</v>
      </c>
      <c r="I136" s="67">
        <v>2.84375685268527E-5</v>
      </c>
      <c r="J136" s="67">
        <v>6.4202497242696398E-4</v>
      </c>
      <c r="K136" s="67">
        <v>6.9779923234786403E-3</v>
      </c>
      <c r="L136" s="67"/>
      <c r="M136" s="67"/>
      <c r="O136" s="11">
        <f t="shared" ca="1" si="43"/>
        <v>-5.7922201691761327E-5</v>
      </c>
      <c r="P136" s="11">
        <f t="shared" ca="1" si="44"/>
        <v>2.7672468296547958E-5</v>
      </c>
      <c r="Q136" s="11">
        <f t="shared" ca="1" si="45"/>
        <v>-3.9094163896442901E-5</v>
      </c>
      <c r="R136" s="11">
        <f t="shared" ca="1" si="46"/>
        <v>3.7293507763948682E-5</v>
      </c>
      <c r="S136" s="11">
        <f t="shared" ca="1" si="47"/>
        <v>6.255276020038297E-5</v>
      </c>
      <c r="T136" s="11">
        <f t="shared" ca="1" si="48"/>
        <v>-4.9779709046172049E-5</v>
      </c>
      <c r="U136" s="11">
        <f t="shared" ca="1" si="49"/>
        <v>2.7672468296547958E-5</v>
      </c>
      <c r="V136" s="11">
        <f t="shared" ca="1" si="50"/>
        <v>-8.1710332668103814E-6</v>
      </c>
      <c r="W136" s="11">
        <f t="shared" ca="1" si="51"/>
        <v>-1.4485594002634772E-4</v>
      </c>
      <c r="X136" s="11"/>
      <c r="Y136" s="2">
        <f t="shared" ca="1" si="52"/>
        <v>-5.7922201691761327E-5</v>
      </c>
      <c r="Z136" s="11">
        <f t="shared" ca="1" si="53"/>
        <v>2.7672468296547958E-5</v>
      </c>
      <c r="AA136" s="2">
        <f t="shared" ca="1" si="54"/>
        <v>-3.9305878986434498E-5</v>
      </c>
      <c r="AB136" s="2">
        <f t="shared" ca="1" si="55"/>
        <v>3.2169040244833856E-5</v>
      </c>
      <c r="AC136" s="2">
        <f t="shared" ca="1" si="56"/>
        <v>6.255276020038297E-5</v>
      </c>
      <c r="AD136" s="2">
        <f t="shared" ca="1" si="57"/>
        <v>-8.7046376591284083E-5</v>
      </c>
      <c r="AE136" s="2">
        <f t="shared" ca="1" si="58"/>
        <v>2.7672468296547958E-5</v>
      </c>
      <c r="AF136" s="2">
        <f t="shared" ca="1" si="59"/>
        <v>-6.3204927398149161E-5</v>
      </c>
      <c r="AG136" s="2">
        <f t="shared" ca="1" si="60"/>
        <v>-1.6718741400719854E-4</v>
      </c>
      <c r="AI136" s="2">
        <f t="shared" ca="1" si="61"/>
        <v>-5.7922201691761327E-5</v>
      </c>
      <c r="AJ136" s="11">
        <f t="shared" ca="1" si="62"/>
        <v>2.7672468296547958E-5</v>
      </c>
      <c r="AK136" s="2">
        <f t="shared" ca="1" si="63"/>
        <v>-7.1954271436549313E-5</v>
      </c>
      <c r="AL136" s="2">
        <f t="shared" ca="1" si="64"/>
        <v>1.6888228843497193E-5</v>
      </c>
      <c r="AM136" s="2">
        <f t="shared" ca="1" si="65"/>
        <v>6.255276020038297E-5</v>
      </c>
      <c r="AN136" s="2">
        <f t="shared" ca="1" si="66"/>
        <v>-8.7046376591284083E-5</v>
      </c>
      <c r="AO136" s="2">
        <f t="shared" ca="1" si="67"/>
        <v>2.7672468296547958E-5</v>
      </c>
      <c r="AP136" s="2">
        <f t="shared" ca="1" si="68"/>
        <v>-6.3204927398149161E-5</v>
      </c>
      <c r="AQ136" s="2">
        <f t="shared" ca="1" si="69"/>
        <v>-1.6718741400719854E-4</v>
      </c>
      <c r="AS136" s="2" t="e">
        <f t="shared" ca="1" si="70"/>
        <v>#N/A</v>
      </c>
      <c r="AT136" s="2" t="e">
        <f t="shared" ca="1" si="71"/>
        <v>#N/A</v>
      </c>
      <c r="AU136" s="2" t="e">
        <f t="shared" ca="1" si="72"/>
        <v>#N/A</v>
      </c>
      <c r="AV136" s="2" t="e">
        <f t="shared" ca="1" si="73"/>
        <v>#N/A</v>
      </c>
      <c r="AW136" s="2" t="e">
        <f t="shared" ca="1" si="74"/>
        <v>#N/A</v>
      </c>
      <c r="AX136" s="2" t="e">
        <f t="shared" ca="1" si="75"/>
        <v>#N/A</v>
      </c>
      <c r="AY136" s="9" t="e">
        <f t="shared" ca="1" si="76"/>
        <v>#N/A</v>
      </c>
      <c r="AZ136" s="9" t="e">
        <f t="shared" ca="1" si="77"/>
        <v>#N/A</v>
      </c>
      <c r="BB136" s="2" t="e">
        <f t="shared" ca="1" si="78"/>
        <v>#N/A</v>
      </c>
      <c r="BC136" s="2" t="e">
        <f t="shared" ca="1" si="79"/>
        <v>#N/A</v>
      </c>
      <c r="BD136" s="2" t="e">
        <f t="shared" ca="1" si="80"/>
        <v>#N/A</v>
      </c>
      <c r="BE136" s="2" t="e">
        <f t="shared" ca="1" si="81"/>
        <v>#N/A</v>
      </c>
      <c r="BF136" s="2" t="e">
        <f t="shared" ca="1" si="82"/>
        <v>#N/A</v>
      </c>
      <c r="BG136" s="2" t="e">
        <f t="shared" ca="1" si="83"/>
        <v>#N/A</v>
      </c>
      <c r="BH136" s="2" t="e">
        <f t="shared" ca="1" si="84"/>
        <v>#N/A</v>
      </c>
      <c r="BI136" s="2" t="e">
        <f t="shared" ca="1" si="85"/>
        <v>#N/A</v>
      </c>
    </row>
    <row r="137" spans="1:61" ht="15" x14ac:dyDescent="0.25">
      <c r="A137" s="66">
        <v>71</v>
      </c>
      <c r="B137" s="66">
        <v>1498730156.8740001</v>
      </c>
      <c r="C137" s="67">
        <v>-4.3937219493156801E-5</v>
      </c>
      <c r="D137" s="67">
        <v>5.7291822539091002E-5</v>
      </c>
      <c r="E137" s="67">
        <v>8.3307570454891895E-4</v>
      </c>
      <c r="F137" s="67">
        <v>1.01554074563968E-5</v>
      </c>
      <c r="G137" s="67">
        <v>-4.2613913135806003E-5</v>
      </c>
      <c r="H137" s="67">
        <v>1.08615274772856E-3</v>
      </c>
      <c r="I137" s="67">
        <v>5.7291822539091002E-5</v>
      </c>
      <c r="J137" s="67">
        <v>5.6341768523444002E-4</v>
      </c>
      <c r="K137" s="67">
        <v>6.9371635994204296E-3</v>
      </c>
      <c r="L137" s="67"/>
      <c r="M137" s="67"/>
      <c r="O137" s="11">
        <f t="shared" ca="1" si="43"/>
        <v>-5.6741150203116828E-5</v>
      </c>
      <c r="P137" s="11">
        <f t="shared" ca="1" si="44"/>
        <v>5.6526722308786263E-5</v>
      </c>
      <c r="Q137" s="11">
        <f t="shared" ca="1" si="45"/>
        <v>-3.4159077193649445E-6</v>
      </c>
      <c r="R137" s="11">
        <f t="shared" ca="1" si="46"/>
        <v>-1.4910801899503236E-6</v>
      </c>
      <c r="S137" s="11">
        <f t="shared" ca="1" si="47"/>
        <v>-5.3541565182776124E-5</v>
      </c>
      <c r="T137" s="11">
        <f t="shared" ca="1" si="48"/>
        <v>-5.2402290853742137E-5</v>
      </c>
      <c r="U137" s="11">
        <f t="shared" ca="1" si="49"/>
        <v>5.6526722308786263E-5</v>
      </c>
      <c r="V137" s="11">
        <f t="shared" ca="1" si="50"/>
        <v>-8.6778320459334336E-5</v>
      </c>
      <c r="W137" s="11">
        <f t="shared" ca="1" si="51"/>
        <v>-1.8568466408455837E-4</v>
      </c>
      <c r="X137" s="11"/>
      <c r="Y137" s="2">
        <f t="shared" ca="1" si="52"/>
        <v>-5.6741150203116828E-5</v>
      </c>
      <c r="Z137" s="11">
        <f t="shared" ca="1" si="53"/>
        <v>5.6526722308786263E-5</v>
      </c>
      <c r="AA137" s="2">
        <f t="shared" ca="1" si="54"/>
        <v>-3.848379444412604E-6</v>
      </c>
      <c r="AB137" s="2">
        <f t="shared" ca="1" si="55"/>
        <v>-1.1958861716672091E-5</v>
      </c>
      <c r="AC137" s="2">
        <f t="shared" ca="1" si="56"/>
        <v>-5.3541565182776124E-5</v>
      </c>
      <c r="AD137" s="2">
        <f t="shared" ca="1" si="57"/>
        <v>-1.2852714336497226E-4</v>
      </c>
      <c r="AE137" s="2">
        <f t="shared" ca="1" si="58"/>
        <v>5.6526722308786263E-5</v>
      </c>
      <c r="AF137" s="2">
        <f t="shared" ca="1" si="59"/>
        <v>-1.9919639671462091E-4</v>
      </c>
      <c r="AG137" s="2">
        <f t="shared" ca="1" si="60"/>
        <v>-2.3130130423873322E-4</v>
      </c>
      <c r="AI137" s="2">
        <f t="shared" ca="1" si="61"/>
        <v>-5.6741150203116828E-5</v>
      </c>
      <c r="AJ137" s="11">
        <f t="shared" ca="1" si="62"/>
        <v>5.6526722308786263E-5</v>
      </c>
      <c r="AK137" s="2">
        <f t="shared" ca="1" si="63"/>
        <v>-7.0539452827488231E-5</v>
      </c>
      <c r="AL137" s="2">
        <f t="shared" ca="1" si="64"/>
        <v>-4.3173069769231152E-5</v>
      </c>
      <c r="AM137" s="2">
        <f t="shared" ca="1" si="65"/>
        <v>-5.3541565182776124E-5</v>
      </c>
      <c r="AN137" s="2">
        <f t="shared" ca="1" si="66"/>
        <v>-1.2852714336497226E-4</v>
      </c>
      <c r="AO137" s="2">
        <f t="shared" ca="1" si="67"/>
        <v>5.6526722308786263E-5</v>
      </c>
      <c r="AP137" s="2">
        <f t="shared" ca="1" si="68"/>
        <v>-1.9919639671462091E-4</v>
      </c>
      <c r="AQ137" s="2">
        <f t="shared" ca="1" si="69"/>
        <v>-2.3130130423873322E-4</v>
      </c>
      <c r="AS137" s="2" t="e">
        <f t="shared" ca="1" si="70"/>
        <v>#N/A</v>
      </c>
      <c r="AT137" s="2" t="e">
        <f t="shared" ca="1" si="71"/>
        <v>#N/A</v>
      </c>
      <c r="AU137" s="2" t="e">
        <f t="shared" ca="1" si="72"/>
        <v>#N/A</v>
      </c>
      <c r="AV137" s="2" t="e">
        <f t="shared" ca="1" si="73"/>
        <v>#N/A</v>
      </c>
      <c r="AW137" s="2" t="e">
        <f t="shared" ca="1" si="74"/>
        <v>#N/A</v>
      </c>
      <c r="AX137" s="2" t="e">
        <f t="shared" ca="1" si="75"/>
        <v>#N/A</v>
      </c>
      <c r="AY137" s="9" t="e">
        <f t="shared" ca="1" si="76"/>
        <v>#N/A</v>
      </c>
      <c r="AZ137" s="9" t="e">
        <f t="shared" ca="1" si="77"/>
        <v>#N/A</v>
      </c>
      <c r="BB137" s="2" t="e">
        <f t="shared" ca="1" si="78"/>
        <v>#N/A</v>
      </c>
      <c r="BC137" s="2" t="e">
        <f t="shared" ca="1" si="79"/>
        <v>#N/A</v>
      </c>
      <c r="BD137" s="2" t="e">
        <f t="shared" ca="1" si="80"/>
        <v>#N/A</v>
      </c>
      <c r="BE137" s="2" t="e">
        <f t="shared" ca="1" si="81"/>
        <v>#N/A</v>
      </c>
      <c r="BF137" s="2" t="e">
        <f t="shared" ca="1" si="82"/>
        <v>#N/A</v>
      </c>
      <c r="BG137" s="2" t="e">
        <f t="shared" ca="1" si="83"/>
        <v>#N/A</v>
      </c>
      <c r="BH137" s="2" t="e">
        <f t="shared" ca="1" si="84"/>
        <v>#N/A</v>
      </c>
      <c r="BI137" s="2" t="e">
        <f t="shared" ca="1" si="85"/>
        <v>#N/A</v>
      </c>
    </row>
    <row r="138" spans="1:61" ht="15" x14ac:dyDescent="0.25">
      <c r="A138" s="66">
        <v>72</v>
      </c>
      <c r="B138" s="66">
        <v>1498730157.401</v>
      </c>
      <c r="C138" s="67">
        <v>1.75526547825956E-4</v>
      </c>
      <c r="D138" s="67">
        <v>-1.9232723976064E-5</v>
      </c>
      <c r="E138" s="67">
        <v>9.5975571402006298E-4</v>
      </c>
      <c r="F138" s="67">
        <v>1.58877503920312E-4</v>
      </c>
      <c r="G138" s="67">
        <v>1.81480231635497E-4</v>
      </c>
      <c r="H138" s="67">
        <v>1.1893922963129801E-3</v>
      </c>
      <c r="I138" s="67">
        <v>-1.9232723976064E-5</v>
      </c>
      <c r="J138" s="67">
        <v>6.1685096769833396E-4</v>
      </c>
      <c r="K138" s="67">
        <v>6.9966165040105501E-3</v>
      </c>
      <c r="L138" s="67"/>
      <c r="M138" s="67"/>
      <c r="O138" s="11">
        <f t="shared" ca="1" si="43"/>
        <v>1.6272261711599596E-4</v>
      </c>
      <c r="P138" s="11">
        <f t="shared" ca="1" si="44"/>
        <v>-1.9997824206368742E-5</v>
      </c>
      <c r="Q138" s="11">
        <f t="shared" ca="1" si="45"/>
        <v>1.2326410175177909E-4</v>
      </c>
      <c r="R138" s="11">
        <f t="shared" ca="1" si="46"/>
        <v>1.4723101627396487E-4</v>
      </c>
      <c r="S138" s="11">
        <f t="shared" ca="1" si="47"/>
        <v>1.7055257958852689E-4</v>
      </c>
      <c r="T138" s="11">
        <f t="shared" ca="1" si="48"/>
        <v>5.0837257730677919E-5</v>
      </c>
      <c r="U138" s="11">
        <f t="shared" ca="1" si="49"/>
        <v>-1.9997824206368742E-5</v>
      </c>
      <c r="V138" s="11">
        <f t="shared" ca="1" si="50"/>
        <v>-3.3345037995440399E-5</v>
      </c>
      <c r="W138" s="11">
        <f t="shared" ca="1" si="51"/>
        <v>-1.2623175949443791E-4</v>
      </c>
      <c r="X138" s="11"/>
      <c r="Y138" s="2">
        <f t="shared" ca="1" si="52"/>
        <v>1.6272261711599596E-4</v>
      </c>
      <c r="Z138" s="11">
        <f t="shared" ca="1" si="53"/>
        <v>-1.9997824206368742E-5</v>
      </c>
      <c r="AA138" s="2">
        <f t="shared" ca="1" si="54"/>
        <v>1.2326410175177909E-4</v>
      </c>
      <c r="AB138" s="2">
        <f t="shared" ca="1" si="55"/>
        <v>1.4723101627396487E-4</v>
      </c>
      <c r="AC138" s="2">
        <f t="shared" ca="1" si="56"/>
        <v>1.7055257958852689E-4</v>
      </c>
      <c r="AD138" s="2">
        <f t="shared" ca="1" si="57"/>
        <v>5.0837257730677919E-5</v>
      </c>
      <c r="AE138" s="2">
        <f t="shared" ca="1" si="58"/>
        <v>-1.9997824206368742E-5</v>
      </c>
      <c r="AF138" s="2">
        <f t="shared" ca="1" si="59"/>
        <v>-3.3345037995440399E-5</v>
      </c>
      <c r="AG138" s="2">
        <f t="shared" ca="1" si="60"/>
        <v>-1.2623175949443791E-4</v>
      </c>
      <c r="AI138" s="2">
        <f t="shared" ca="1" si="61"/>
        <v>1.6272261711599596E-4</v>
      </c>
      <c r="AJ138" s="11">
        <f t="shared" ca="1" si="62"/>
        <v>-1.9997824206368742E-5</v>
      </c>
      <c r="AK138" s="2">
        <f t="shared" ca="1" si="63"/>
        <v>1.2326410175177909E-4</v>
      </c>
      <c r="AL138" s="2">
        <f t="shared" ca="1" si="64"/>
        <v>1.4723101627396487E-4</v>
      </c>
      <c r="AM138" s="2">
        <f t="shared" ca="1" si="65"/>
        <v>1.7055257958852689E-4</v>
      </c>
      <c r="AN138" s="2">
        <f t="shared" ca="1" si="66"/>
        <v>5.0837257730677919E-5</v>
      </c>
      <c r="AO138" s="2">
        <f t="shared" ca="1" si="67"/>
        <v>-1.9997824206368742E-5</v>
      </c>
      <c r="AP138" s="2">
        <f t="shared" ca="1" si="68"/>
        <v>-3.3345037995440399E-5</v>
      </c>
      <c r="AQ138" s="2">
        <f t="shared" ca="1" si="69"/>
        <v>-1.2623175949443791E-4</v>
      </c>
      <c r="AS138" s="2" t="e">
        <f t="shared" ca="1" si="70"/>
        <v>#N/A</v>
      </c>
      <c r="AT138" s="2" t="e">
        <f t="shared" ca="1" si="71"/>
        <v>#N/A</v>
      </c>
      <c r="AU138" s="2" t="e">
        <f t="shared" ca="1" si="72"/>
        <v>#N/A</v>
      </c>
      <c r="AV138" s="2" t="e">
        <f t="shared" ca="1" si="73"/>
        <v>#N/A</v>
      </c>
      <c r="AW138" s="2" t="e">
        <f t="shared" ca="1" si="74"/>
        <v>#N/A</v>
      </c>
      <c r="AX138" s="2" t="e">
        <f t="shared" ca="1" si="75"/>
        <v>#N/A</v>
      </c>
      <c r="AY138" s="9" t="e">
        <f t="shared" ca="1" si="76"/>
        <v>#N/A</v>
      </c>
      <c r="AZ138" s="9" t="e">
        <f t="shared" ca="1" si="77"/>
        <v>#N/A</v>
      </c>
      <c r="BB138" s="2" t="e">
        <f t="shared" ca="1" si="78"/>
        <v>#N/A</v>
      </c>
      <c r="BC138" s="2" t="e">
        <f t="shared" ca="1" si="79"/>
        <v>#N/A</v>
      </c>
      <c r="BD138" s="2" t="e">
        <f t="shared" ca="1" si="80"/>
        <v>#N/A</v>
      </c>
      <c r="BE138" s="2" t="e">
        <f t="shared" ca="1" si="81"/>
        <v>#N/A</v>
      </c>
      <c r="BF138" s="2" t="e">
        <f t="shared" ca="1" si="82"/>
        <v>#N/A</v>
      </c>
      <c r="BG138" s="2" t="e">
        <f t="shared" ca="1" si="83"/>
        <v>#N/A</v>
      </c>
      <c r="BH138" s="2" t="e">
        <f t="shared" ca="1" si="84"/>
        <v>#N/A</v>
      </c>
      <c r="BI138" s="2" t="e">
        <f t="shared" ca="1" si="85"/>
        <v>#N/A</v>
      </c>
    </row>
    <row r="139" spans="1:61" ht="15" x14ac:dyDescent="0.25">
      <c r="A139" s="66">
        <v>73</v>
      </c>
      <c r="B139" s="66">
        <v>1498730157.928</v>
      </c>
      <c r="C139" s="67">
        <v>1.4172250006651301E-5</v>
      </c>
      <c r="D139" s="67">
        <v>1.1899192639761299E-5</v>
      </c>
      <c r="E139" s="67">
        <v>8.8623626025744601E-4</v>
      </c>
      <c r="F139" s="67">
        <v>9.9148048736588299E-5</v>
      </c>
      <c r="G139" s="67">
        <v>1.28219843646898E-4</v>
      </c>
      <c r="H139" s="67">
        <v>1.1257306224395E-3</v>
      </c>
      <c r="I139" s="67">
        <v>1.1899192639761299E-5</v>
      </c>
      <c r="J139" s="67">
        <v>7.0567528919934796E-4</v>
      </c>
      <c r="K139" s="67">
        <v>7.0419845449433E-3</v>
      </c>
      <c r="L139" s="67"/>
      <c r="M139" s="67"/>
      <c r="O139" s="11">
        <f t="shared" ca="1" si="43"/>
        <v>1.3683192966912727E-6</v>
      </c>
      <c r="P139" s="11">
        <f t="shared" ca="1" si="44"/>
        <v>1.1134092409456559E-5</v>
      </c>
      <c r="Q139" s="11">
        <f t="shared" ca="1" si="45"/>
        <v>4.9744647989162115E-5</v>
      </c>
      <c r="R139" s="11">
        <f t="shared" ca="1" si="46"/>
        <v>8.7501561090241178E-5</v>
      </c>
      <c r="S139" s="11">
        <f t="shared" ca="1" si="47"/>
        <v>1.1729219159992787E-4</v>
      </c>
      <c r="T139" s="11">
        <f t="shared" ca="1" si="48"/>
        <v>-1.2824416142802114E-5</v>
      </c>
      <c r="U139" s="11">
        <f t="shared" ca="1" si="49"/>
        <v>1.1134092409456559E-5</v>
      </c>
      <c r="V139" s="11">
        <f t="shared" ca="1" si="50"/>
        <v>5.5479283505573606E-5</v>
      </c>
      <c r="W139" s="11">
        <f t="shared" ca="1" si="51"/>
        <v>-8.0863718561688044E-5</v>
      </c>
      <c r="X139" s="11"/>
      <c r="Y139" s="2">
        <f t="shared" ca="1" si="52"/>
        <v>1.3683192966912727E-6</v>
      </c>
      <c r="Z139" s="11">
        <f t="shared" ca="1" si="53"/>
        <v>1.1134092409456559E-5</v>
      </c>
      <c r="AA139" s="2">
        <f t="shared" ca="1" si="54"/>
        <v>4.9659463850501927E-5</v>
      </c>
      <c r="AB139" s="2">
        <f t="shared" ca="1" si="55"/>
        <v>8.5439717734034294E-5</v>
      </c>
      <c r="AC139" s="2">
        <f t="shared" ca="1" si="56"/>
        <v>1.1729219159992787E-4</v>
      </c>
      <c r="AD139" s="2">
        <f t="shared" ca="1" si="57"/>
        <v>-2.7818760550147014E-5</v>
      </c>
      <c r="AE139" s="2">
        <f t="shared" ca="1" si="58"/>
        <v>1.1134092409456559E-5</v>
      </c>
      <c r="AF139" s="2">
        <f t="shared" ca="1" si="59"/>
        <v>3.3336247461802495E-5</v>
      </c>
      <c r="AG139" s="2">
        <f t="shared" ca="1" si="60"/>
        <v>-8.9848847473126165E-5</v>
      </c>
      <c r="AI139" s="2">
        <f t="shared" ca="1" si="61"/>
        <v>1.3683192966912727E-6</v>
      </c>
      <c r="AJ139" s="11">
        <f t="shared" ca="1" si="62"/>
        <v>1.1134092409456559E-5</v>
      </c>
      <c r="AK139" s="2">
        <f t="shared" ca="1" si="63"/>
        <v>3.6523294909434651E-5</v>
      </c>
      <c r="AL139" s="2">
        <f t="shared" ca="1" si="64"/>
        <v>7.9291441967279367E-5</v>
      </c>
      <c r="AM139" s="2">
        <f t="shared" ca="1" si="65"/>
        <v>1.1729219159992787E-4</v>
      </c>
      <c r="AN139" s="2">
        <f t="shared" ca="1" si="66"/>
        <v>-2.7818760550147014E-5</v>
      </c>
      <c r="AO139" s="2">
        <f t="shared" ca="1" si="67"/>
        <v>1.1134092409456559E-5</v>
      </c>
      <c r="AP139" s="2">
        <f t="shared" ca="1" si="68"/>
        <v>3.3336247461802495E-5</v>
      </c>
      <c r="AQ139" s="2">
        <f t="shared" ca="1" si="69"/>
        <v>-8.9848847473126165E-5</v>
      </c>
      <c r="AS139" s="2" t="e">
        <f t="shared" ca="1" si="70"/>
        <v>#N/A</v>
      </c>
      <c r="AT139" s="2" t="e">
        <f t="shared" ca="1" si="71"/>
        <v>#N/A</v>
      </c>
      <c r="AU139" s="2" t="e">
        <f t="shared" ca="1" si="72"/>
        <v>#N/A</v>
      </c>
      <c r="AV139" s="2" t="e">
        <f t="shared" ca="1" si="73"/>
        <v>#N/A</v>
      </c>
      <c r="AW139" s="2" t="e">
        <f t="shared" ca="1" si="74"/>
        <v>#N/A</v>
      </c>
      <c r="AX139" s="2" t="e">
        <f t="shared" ca="1" si="75"/>
        <v>#N/A</v>
      </c>
      <c r="AY139" s="9" t="e">
        <f t="shared" ca="1" si="76"/>
        <v>#N/A</v>
      </c>
      <c r="AZ139" s="9" t="e">
        <f t="shared" ca="1" si="77"/>
        <v>#N/A</v>
      </c>
      <c r="BB139" s="2" t="e">
        <f t="shared" ca="1" si="78"/>
        <v>#N/A</v>
      </c>
      <c r="BC139" s="2" t="e">
        <f t="shared" ca="1" si="79"/>
        <v>#N/A</v>
      </c>
      <c r="BD139" s="2" t="e">
        <f t="shared" ca="1" si="80"/>
        <v>#N/A</v>
      </c>
      <c r="BE139" s="2" t="e">
        <f t="shared" ca="1" si="81"/>
        <v>#N/A</v>
      </c>
      <c r="BF139" s="2" t="e">
        <f t="shared" ca="1" si="82"/>
        <v>#N/A</v>
      </c>
      <c r="BG139" s="2" t="e">
        <f t="shared" ca="1" si="83"/>
        <v>#N/A</v>
      </c>
      <c r="BH139" s="2" t="e">
        <f t="shared" ca="1" si="84"/>
        <v>#N/A</v>
      </c>
      <c r="BI139" s="2" t="e">
        <f t="shared" ca="1" si="85"/>
        <v>#N/A</v>
      </c>
    </row>
    <row r="140" spans="1:61" ht="15" x14ac:dyDescent="0.25">
      <c r="A140" s="66">
        <v>74</v>
      </c>
      <c r="B140" s="66">
        <v>1498730158.454</v>
      </c>
      <c r="C140" s="67">
        <v>8.48058218402537E-5</v>
      </c>
      <c r="D140" s="67">
        <v>4.4104316204886802E-5</v>
      </c>
      <c r="E140" s="67">
        <v>1.0498064082561001E-3</v>
      </c>
      <c r="F140" s="67">
        <v>-7.6925970748933196E-5</v>
      </c>
      <c r="G140" s="67">
        <v>1.04534194077044E-4</v>
      </c>
      <c r="H140" s="67">
        <v>1.24304292003055E-3</v>
      </c>
      <c r="I140" s="67">
        <v>4.4104316204886802E-5</v>
      </c>
      <c r="J140" s="67">
        <v>6.2848792867728704E-4</v>
      </c>
      <c r="K140" s="67">
        <v>7.1420402676270296E-3</v>
      </c>
      <c r="L140" s="67"/>
      <c r="M140" s="67"/>
      <c r="O140" s="11">
        <f t="shared" ca="1" si="43"/>
        <v>7.2001891130293665E-5</v>
      </c>
      <c r="P140" s="11">
        <f t="shared" ca="1" si="44"/>
        <v>4.3339215974582063E-5</v>
      </c>
      <c r="Q140" s="11">
        <f t="shared" ca="1" si="45"/>
        <v>2.1331479598781617E-4</v>
      </c>
      <c r="R140" s="11">
        <f t="shared" ca="1" si="46"/>
        <v>-8.8572458395280316E-5</v>
      </c>
      <c r="S140" s="11">
        <f t="shared" ca="1" si="47"/>
        <v>9.3606542030073871E-5</v>
      </c>
      <c r="T140" s="11">
        <f t="shared" ca="1" si="48"/>
        <v>1.0448788144824784E-4</v>
      </c>
      <c r="U140" s="11">
        <f t="shared" ca="1" si="49"/>
        <v>4.3339215974582063E-5</v>
      </c>
      <c r="V140" s="11">
        <f t="shared" ca="1" si="50"/>
        <v>-2.170807701648732E-5</v>
      </c>
      <c r="W140" s="11">
        <f t="shared" ca="1" si="51"/>
        <v>1.9192004122041591E-5</v>
      </c>
      <c r="X140" s="11"/>
      <c r="Y140" s="2">
        <f t="shared" ca="1" si="52"/>
        <v>7.2001891130293665E-5</v>
      </c>
      <c r="Z140" s="11">
        <f t="shared" ca="1" si="53"/>
        <v>4.3339215974582063E-5</v>
      </c>
      <c r="AA140" s="2">
        <f t="shared" ca="1" si="54"/>
        <v>2.1298321855453862E-4</v>
      </c>
      <c r="AB140" s="2">
        <f t="shared" ca="1" si="55"/>
        <v>-9.6598139450748474E-5</v>
      </c>
      <c r="AC140" s="2">
        <f t="shared" ca="1" si="56"/>
        <v>9.3606542030073871E-5</v>
      </c>
      <c r="AD140" s="2">
        <f t="shared" ca="1" si="57"/>
        <v>4.6122717340641399E-5</v>
      </c>
      <c r="AE140" s="2">
        <f t="shared" ca="1" si="58"/>
        <v>4.3339215974582063E-5</v>
      </c>
      <c r="AF140" s="2">
        <f t="shared" ca="1" si="59"/>
        <v>-1.0789937004176152E-4</v>
      </c>
      <c r="AG140" s="2">
        <f t="shared" ca="1" si="60"/>
        <v>-1.5782417513038444E-5</v>
      </c>
      <c r="AI140" s="2">
        <f t="shared" ca="1" si="61"/>
        <v>7.2001891130293665E-5</v>
      </c>
      <c r="AJ140" s="11">
        <f t="shared" ca="1" si="62"/>
        <v>4.3339215974582063E-5</v>
      </c>
      <c r="AK140" s="2">
        <f t="shared" ca="1" si="63"/>
        <v>1.618509626077516E-4</v>
      </c>
      <c r="AL140" s="2">
        <f t="shared" ca="1" si="64"/>
        <v>-1.2053017104592063E-4</v>
      </c>
      <c r="AM140" s="2">
        <f t="shared" ca="1" si="65"/>
        <v>9.3606542030073871E-5</v>
      </c>
      <c r="AN140" s="2">
        <f t="shared" ca="1" si="66"/>
        <v>4.6122717340641399E-5</v>
      </c>
      <c r="AO140" s="2">
        <f t="shared" ca="1" si="67"/>
        <v>4.3339215974582063E-5</v>
      </c>
      <c r="AP140" s="2">
        <f t="shared" ca="1" si="68"/>
        <v>-1.0789937004176152E-4</v>
      </c>
      <c r="AQ140" s="2">
        <f t="shared" ca="1" si="69"/>
        <v>-1.5782417513038444E-5</v>
      </c>
      <c r="AS140" s="2">
        <f t="shared" ca="1" si="70"/>
        <v>0.18367684229053169</v>
      </c>
      <c r="AT140" s="2">
        <f t="shared" ca="1" si="71"/>
        <v>8.0751145001982036E-3</v>
      </c>
      <c r="AU140" s="2">
        <f t="shared" ca="1" si="72"/>
        <v>-7.1523274310593018E-7</v>
      </c>
      <c r="AV140" s="2">
        <f t="shared" ca="1" si="73"/>
        <v>-2.0992844273381388E-5</v>
      </c>
      <c r="AW140" s="2">
        <f t="shared" ca="1" si="74"/>
        <v>-1.3754254224658791</v>
      </c>
      <c r="AX140" s="2">
        <f t="shared" ca="1" si="75"/>
        <v>4.0967800403793796E-2</v>
      </c>
      <c r="AY140" s="9" t="str">
        <f t="shared" ca="1" si="76"/>
        <v>rejected</v>
      </c>
      <c r="AZ140" s="9" t="e">
        <f t="shared" ca="1" si="77"/>
        <v>#N/A</v>
      </c>
      <c r="BB140" s="2" t="e">
        <f t="shared" ca="1" si="78"/>
        <v>#N/A</v>
      </c>
      <c r="BC140" s="2" t="e">
        <f t="shared" ca="1" si="79"/>
        <v>#N/A</v>
      </c>
      <c r="BD140" s="2" t="e">
        <f t="shared" ca="1" si="80"/>
        <v>#N/A</v>
      </c>
      <c r="BE140" s="2" t="e">
        <f t="shared" ca="1" si="81"/>
        <v>#N/A</v>
      </c>
      <c r="BF140" s="2" t="e">
        <f t="shared" ca="1" si="82"/>
        <v>#N/A</v>
      </c>
      <c r="BG140" s="2" t="e">
        <f t="shared" ca="1" si="83"/>
        <v>#N/A</v>
      </c>
      <c r="BH140" s="2" t="e">
        <f t="shared" ca="1" si="84"/>
        <v>#N/A</v>
      </c>
      <c r="BI140" s="2" t="e">
        <f t="shared" ca="1" si="85"/>
        <v>#N/A</v>
      </c>
    </row>
    <row r="141" spans="1:61" ht="15" x14ac:dyDescent="0.25">
      <c r="A141" s="66">
        <v>75</v>
      </c>
      <c r="B141" s="66">
        <v>1498730158.9809999</v>
      </c>
      <c r="C141" s="67">
        <v>2.4802399248063101E-5</v>
      </c>
      <c r="D141" s="67">
        <v>-6.1481164758433096E-6</v>
      </c>
      <c r="E141" s="67">
        <v>8.9294139482323299E-4</v>
      </c>
      <c r="F141" s="67">
        <v>6.79759270686235E-5</v>
      </c>
      <c r="G141" s="67">
        <v>3.6549001441208798E-5</v>
      </c>
      <c r="H141" s="67">
        <v>1.25281956584057E-3</v>
      </c>
      <c r="I141" s="67">
        <v>-6.1481164758433096E-6</v>
      </c>
      <c r="J141" s="67">
        <v>5.8312829632729303E-4</v>
      </c>
      <c r="K141" s="67">
        <v>6.9913634949974497E-3</v>
      </c>
      <c r="L141" s="67"/>
      <c r="M141" s="67"/>
      <c r="O141" s="11">
        <f t="shared" ca="1" si="43"/>
        <v>1.1998468538103073E-5</v>
      </c>
      <c r="P141" s="11">
        <f t="shared" ca="1" si="44"/>
        <v>-6.9132167061480499E-6</v>
      </c>
      <c r="Q141" s="11">
        <f t="shared" ca="1" si="45"/>
        <v>5.6449782554949092E-5</v>
      </c>
      <c r="R141" s="11">
        <f t="shared" ca="1" si="46"/>
        <v>5.632943942227638E-5</v>
      </c>
      <c r="S141" s="11">
        <f t="shared" ca="1" si="47"/>
        <v>2.5621349394238677E-5</v>
      </c>
      <c r="T141" s="11">
        <f t="shared" ca="1" si="48"/>
        <v>1.1426452725826785E-4</v>
      </c>
      <c r="U141" s="11">
        <f t="shared" ca="1" si="49"/>
        <v>-6.9132167061480499E-6</v>
      </c>
      <c r="V141" s="11">
        <f t="shared" ca="1" si="50"/>
        <v>-6.7067709366481327E-5</v>
      </c>
      <c r="W141" s="11">
        <f t="shared" ca="1" si="51"/>
        <v>-1.3148476850753828E-4</v>
      </c>
      <c r="X141" s="11"/>
      <c r="Y141" s="2">
        <f t="shared" ca="1" si="52"/>
        <v>1.1998468538103073E-5</v>
      </c>
      <c r="Z141" s="11">
        <f t="shared" ca="1" si="53"/>
        <v>-6.9132167061480499E-6</v>
      </c>
      <c r="AA141" s="2">
        <f t="shared" ca="1" si="54"/>
        <v>5.6449782554949092E-5</v>
      </c>
      <c r="AB141" s="2">
        <f t="shared" ca="1" si="55"/>
        <v>5.632943942227638E-5</v>
      </c>
      <c r="AC141" s="2">
        <f t="shared" ca="1" si="56"/>
        <v>2.5621349394238677E-5</v>
      </c>
      <c r="AD141" s="2">
        <f t="shared" ca="1" si="57"/>
        <v>1.1426452725826785E-4</v>
      </c>
      <c r="AE141" s="2">
        <f t="shared" ca="1" si="58"/>
        <v>-6.9132167061480499E-6</v>
      </c>
      <c r="AF141" s="2">
        <f t="shared" ca="1" si="59"/>
        <v>-6.7067709366481327E-5</v>
      </c>
      <c r="AG141" s="2">
        <f t="shared" ca="1" si="60"/>
        <v>-1.3148476850753828E-4</v>
      </c>
      <c r="AI141" s="2">
        <f t="shared" ca="1" si="61"/>
        <v>1.1998468538103073E-5</v>
      </c>
      <c r="AJ141" s="11">
        <f t="shared" ca="1" si="62"/>
        <v>-6.9132167061480499E-6</v>
      </c>
      <c r="AK141" s="2">
        <f t="shared" ca="1" si="63"/>
        <v>5.6449782554949092E-5</v>
      </c>
      <c r="AL141" s="2">
        <f t="shared" ca="1" si="64"/>
        <v>5.632943942227638E-5</v>
      </c>
      <c r="AM141" s="2">
        <f t="shared" ca="1" si="65"/>
        <v>2.5621349394238677E-5</v>
      </c>
      <c r="AN141" s="2">
        <f t="shared" ca="1" si="66"/>
        <v>1.1426452725826785E-4</v>
      </c>
      <c r="AO141" s="2">
        <f t="shared" ca="1" si="67"/>
        <v>-6.9132167061480499E-6</v>
      </c>
      <c r="AP141" s="2">
        <f t="shared" ca="1" si="68"/>
        <v>-6.7067709366481327E-5</v>
      </c>
      <c r="AQ141" s="2">
        <f t="shared" ca="1" si="69"/>
        <v>-1.3148476850753828E-4</v>
      </c>
      <c r="AS141" s="2" t="e">
        <f t="shared" ca="1" si="70"/>
        <v>#N/A</v>
      </c>
      <c r="AT141" s="2" t="e">
        <f t="shared" ca="1" si="71"/>
        <v>#N/A</v>
      </c>
      <c r="AU141" s="2" t="e">
        <f t="shared" ca="1" si="72"/>
        <v>#N/A</v>
      </c>
      <c r="AV141" s="2" t="e">
        <f t="shared" ca="1" si="73"/>
        <v>#N/A</v>
      </c>
      <c r="AW141" s="2" t="e">
        <f t="shared" ca="1" si="74"/>
        <v>#N/A</v>
      </c>
      <c r="AX141" s="2" t="e">
        <f t="shared" ca="1" si="75"/>
        <v>#N/A</v>
      </c>
      <c r="AY141" s="9" t="e">
        <f t="shared" ca="1" si="76"/>
        <v>#N/A</v>
      </c>
      <c r="AZ141" s="9" t="e">
        <f t="shared" ca="1" si="77"/>
        <v>#N/A</v>
      </c>
      <c r="BB141" s="2" t="e">
        <f t="shared" ca="1" si="78"/>
        <v>#N/A</v>
      </c>
      <c r="BC141" s="2" t="e">
        <f t="shared" ca="1" si="79"/>
        <v>#N/A</v>
      </c>
      <c r="BD141" s="2" t="e">
        <f t="shared" ca="1" si="80"/>
        <v>#N/A</v>
      </c>
      <c r="BE141" s="2" t="e">
        <f t="shared" ca="1" si="81"/>
        <v>#N/A</v>
      </c>
      <c r="BF141" s="2" t="e">
        <f t="shared" ca="1" si="82"/>
        <v>#N/A</v>
      </c>
      <c r="BG141" s="2" t="e">
        <f t="shared" ca="1" si="83"/>
        <v>#N/A</v>
      </c>
      <c r="BH141" s="2" t="e">
        <f t="shared" ca="1" si="84"/>
        <v>#N/A</v>
      </c>
      <c r="BI141" s="2" t="e">
        <f t="shared" ca="1" si="85"/>
        <v>#N/A</v>
      </c>
    </row>
    <row r="142" spans="1:61" ht="15" x14ac:dyDescent="0.25">
      <c r="A142" s="66">
        <v>76</v>
      </c>
      <c r="B142" s="66">
        <v>1498730159.5090001</v>
      </c>
      <c r="C142" s="67">
        <v>-1.4174257846712699E-5</v>
      </c>
      <c r="D142" s="67">
        <v>7.0291976398157105E-5</v>
      </c>
      <c r="E142" s="67">
        <v>8.4025939918093298E-4</v>
      </c>
      <c r="F142" s="67">
        <v>-9.3552881778396907E-6</v>
      </c>
      <c r="G142" s="67">
        <v>-7.1269242116593997E-5</v>
      </c>
      <c r="H142" s="67">
        <v>1.2191978431522301E-3</v>
      </c>
      <c r="I142" s="67">
        <v>7.0291976398157105E-5</v>
      </c>
      <c r="J142" s="67">
        <v>6.6363712470278696E-4</v>
      </c>
      <c r="K142" s="67">
        <v>6.9462365055692398E-3</v>
      </c>
      <c r="L142" s="67"/>
      <c r="M142" s="67"/>
      <c r="O142" s="11">
        <f t="shared" ca="1" si="43"/>
        <v>-2.6978188556672729E-5</v>
      </c>
      <c r="P142" s="11">
        <f t="shared" ca="1" si="44"/>
        <v>6.9526876167852366E-5</v>
      </c>
      <c r="Q142" s="11">
        <f t="shared" ca="1" si="45"/>
        <v>3.7677869126490895E-6</v>
      </c>
      <c r="R142" s="11">
        <f t="shared" ca="1" si="46"/>
        <v>-2.1001775824186813E-5</v>
      </c>
      <c r="S142" s="11">
        <f t="shared" ca="1" si="47"/>
        <v>-8.2196894163564125E-5</v>
      </c>
      <c r="T142" s="11">
        <f t="shared" ca="1" si="48"/>
        <v>8.0642804569927952E-5</v>
      </c>
      <c r="U142" s="11">
        <f t="shared" ca="1" si="49"/>
        <v>6.9526876167852366E-5</v>
      </c>
      <c r="V142" s="11">
        <f t="shared" ca="1" si="50"/>
        <v>1.3441119009012601E-5</v>
      </c>
      <c r="W142" s="11">
        <f t="shared" ca="1" si="51"/>
        <v>-1.7661175793574815E-4</v>
      </c>
      <c r="X142" s="11"/>
      <c r="Y142" s="2">
        <f t="shared" ca="1" si="52"/>
        <v>-2.6978188556672729E-5</v>
      </c>
      <c r="Z142" s="11">
        <f t="shared" ca="1" si="53"/>
        <v>6.9526876167852366E-5</v>
      </c>
      <c r="AA142" s="2">
        <f t="shared" ca="1" si="54"/>
        <v>3.2358542824634462E-6</v>
      </c>
      <c r="AB142" s="2">
        <f t="shared" ca="1" si="55"/>
        <v>-3.3876963350271129E-5</v>
      </c>
      <c r="AC142" s="2">
        <f t="shared" ca="1" si="56"/>
        <v>-8.2196894163564125E-5</v>
      </c>
      <c r="AD142" s="2">
        <f t="shared" ca="1" si="57"/>
        <v>-1.2989427720703996E-5</v>
      </c>
      <c r="AE142" s="2">
        <f t="shared" ca="1" si="58"/>
        <v>6.9526876167852366E-5</v>
      </c>
      <c r="AF142" s="2">
        <f t="shared" ca="1" si="59"/>
        <v>-1.2483114139435767E-4</v>
      </c>
      <c r="AG142" s="2">
        <f t="shared" ca="1" si="60"/>
        <v>-2.3271942456937179E-4</v>
      </c>
      <c r="AI142" s="2">
        <f t="shared" ca="1" si="61"/>
        <v>-2.6978188556672729E-5</v>
      </c>
      <c r="AJ142" s="11">
        <f t="shared" ca="1" si="62"/>
        <v>6.9526876167852366E-5</v>
      </c>
      <c r="AK142" s="2">
        <f t="shared" ca="1" si="63"/>
        <v>-7.8792995281409589E-5</v>
      </c>
      <c r="AL142" s="2">
        <f t="shared" ca="1" si="64"/>
        <v>-7.2269891319677267E-5</v>
      </c>
      <c r="AM142" s="2">
        <f t="shared" ca="1" si="65"/>
        <v>-8.2196894163564125E-5</v>
      </c>
      <c r="AN142" s="2">
        <f t="shared" ca="1" si="66"/>
        <v>-1.2989427720703996E-5</v>
      </c>
      <c r="AO142" s="2">
        <f t="shared" ca="1" si="67"/>
        <v>6.9526876167852366E-5</v>
      </c>
      <c r="AP142" s="2">
        <f t="shared" ca="1" si="68"/>
        <v>-1.2483114139435767E-4</v>
      </c>
      <c r="AQ142" s="2">
        <f t="shared" ca="1" si="69"/>
        <v>-2.3271942456937179E-4</v>
      </c>
      <c r="AS142" s="2" t="e">
        <f t="shared" ca="1" si="70"/>
        <v>#N/A</v>
      </c>
      <c r="AT142" s="2" t="e">
        <f t="shared" ca="1" si="71"/>
        <v>#N/A</v>
      </c>
      <c r="AU142" s="2" t="e">
        <f t="shared" ca="1" si="72"/>
        <v>#N/A</v>
      </c>
      <c r="AV142" s="2" t="e">
        <f t="shared" ca="1" si="73"/>
        <v>#N/A</v>
      </c>
      <c r="AW142" s="2" t="e">
        <f t="shared" ca="1" si="74"/>
        <v>#N/A</v>
      </c>
      <c r="AX142" s="2" t="e">
        <f t="shared" ca="1" si="75"/>
        <v>#N/A</v>
      </c>
      <c r="AY142" s="9" t="e">
        <f t="shared" ca="1" si="76"/>
        <v>#N/A</v>
      </c>
      <c r="AZ142" s="9" t="e">
        <f t="shared" ca="1" si="77"/>
        <v>#N/A</v>
      </c>
      <c r="BB142" s="2" t="e">
        <f t="shared" ca="1" si="78"/>
        <v>#N/A</v>
      </c>
      <c r="BC142" s="2" t="e">
        <f t="shared" ca="1" si="79"/>
        <v>#N/A</v>
      </c>
      <c r="BD142" s="2" t="e">
        <f t="shared" ca="1" si="80"/>
        <v>#N/A</v>
      </c>
      <c r="BE142" s="2" t="e">
        <f t="shared" ca="1" si="81"/>
        <v>#N/A</v>
      </c>
      <c r="BF142" s="2" t="e">
        <f t="shared" ca="1" si="82"/>
        <v>#N/A</v>
      </c>
      <c r="BG142" s="2" t="e">
        <f t="shared" ca="1" si="83"/>
        <v>#N/A</v>
      </c>
      <c r="BH142" s="2" t="e">
        <f t="shared" ca="1" si="84"/>
        <v>#N/A</v>
      </c>
      <c r="BI142" s="2" t="e">
        <f t="shared" ca="1" si="85"/>
        <v>#N/A</v>
      </c>
    </row>
    <row r="143" spans="1:61" ht="15" x14ac:dyDescent="0.25">
      <c r="A143" s="66">
        <v>77</v>
      </c>
      <c r="B143" s="66">
        <v>1498730160.036</v>
      </c>
      <c r="C143" s="67">
        <v>-6.25976686358727E-5</v>
      </c>
      <c r="D143" s="67">
        <v>-7.4575213670544701E-5</v>
      </c>
      <c r="E143" s="67">
        <v>8.0074971385387197E-4</v>
      </c>
      <c r="F143" s="67">
        <v>3.7042722382393502E-5</v>
      </c>
      <c r="G143" s="67">
        <v>-6.7999472555496399E-5</v>
      </c>
      <c r="H143" s="67">
        <v>1.1397978346205501E-3</v>
      </c>
      <c r="I143" s="67">
        <v>-7.4575213670544701E-5</v>
      </c>
      <c r="J143" s="67">
        <v>5.8265333726468898E-4</v>
      </c>
      <c r="K143" s="67">
        <v>6.9335822116928002E-3</v>
      </c>
      <c r="L143" s="67"/>
      <c r="M143" s="67"/>
      <c r="O143" s="11">
        <f t="shared" ca="1" si="43"/>
        <v>-7.5401599345832735E-5</v>
      </c>
      <c r="P143" s="11">
        <f t="shared" ca="1" si="44"/>
        <v>-7.534031390084944E-5</v>
      </c>
      <c r="Q143" s="11">
        <f t="shared" ca="1" si="45"/>
        <v>-3.5741898414411925E-5</v>
      </c>
      <c r="R143" s="11">
        <f t="shared" ca="1" si="46"/>
        <v>2.5396234736046378E-5</v>
      </c>
      <c r="S143" s="11">
        <f t="shared" ca="1" si="47"/>
        <v>-7.8927124602466527E-5</v>
      </c>
      <c r="T143" s="11">
        <f t="shared" ca="1" si="48"/>
        <v>1.2427960382479456E-6</v>
      </c>
      <c r="U143" s="11">
        <f t="shared" ca="1" si="49"/>
        <v>-7.534031390084944E-5</v>
      </c>
      <c r="V143" s="11">
        <f t="shared" ca="1" si="50"/>
        <v>-6.7542668429085382E-5</v>
      </c>
      <c r="W143" s="11">
        <f t="shared" ca="1" si="51"/>
        <v>-1.8926605181218779E-4</v>
      </c>
      <c r="X143" s="11"/>
      <c r="Y143" s="2">
        <f t="shared" ca="1" si="52"/>
        <v>-7.5401599345832735E-5</v>
      </c>
      <c r="Z143" s="11">
        <f t="shared" ca="1" si="53"/>
        <v>-7.534031390084944E-5</v>
      </c>
      <c r="AA143" s="2">
        <f t="shared" ca="1" si="54"/>
        <v>-3.5741898414411925E-5</v>
      </c>
      <c r="AB143" s="2">
        <f t="shared" ca="1" si="55"/>
        <v>2.5396234736046378E-5</v>
      </c>
      <c r="AC143" s="2">
        <f t="shared" ca="1" si="56"/>
        <v>-7.8927124602466527E-5</v>
      </c>
      <c r="AD143" s="2">
        <f t="shared" ca="1" si="57"/>
        <v>1.2427960382479456E-6</v>
      </c>
      <c r="AE143" s="2">
        <f t="shared" ca="1" si="58"/>
        <v>-7.534031390084944E-5</v>
      </c>
      <c r="AF143" s="2">
        <f t="shared" ca="1" si="59"/>
        <v>-6.7542668429085382E-5</v>
      </c>
      <c r="AG143" s="2">
        <f t="shared" ca="1" si="60"/>
        <v>-1.8926605181218779E-4</v>
      </c>
      <c r="AI143" s="2">
        <f t="shared" ca="1" si="61"/>
        <v>-7.5401599345832735E-5</v>
      </c>
      <c r="AJ143" s="11">
        <f t="shared" ca="1" si="62"/>
        <v>-7.534031390084944E-5</v>
      </c>
      <c r="AK143" s="2">
        <f t="shared" ca="1" si="63"/>
        <v>-3.5741898414411925E-5</v>
      </c>
      <c r="AL143" s="2">
        <f t="shared" ca="1" si="64"/>
        <v>2.5396234736046378E-5</v>
      </c>
      <c r="AM143" s="2">
        <f t="shared" ca="1" si="65"/>
        <v>-7.8927124602466527E-5</v>
      </c>
      <c r="AN143" s="2">
        <f t="shared" ca="1" si="66"/>
        <v>1.2427960382479456E-6</v>
      </c>
      <c r="AO143" s="2">
        <f t="shared" ca="1" si="67"/>
        <v>-7.534031390084944E-5</v>
      </c>
      <c r="AP143" s="2">
        <f t="shared" ca="1" si="68"/>
        <v>-6.7542668429085382E-5</v>
      </c>
      <c r="AQ143" s="2">
        <f t="shared" ca="1" si="69"/>
        <v>-1.8926605181218779E-4</v>
      </c>
      <c r="AS143" s="2" t="e">
        <f t="shared" ca="1" si="70"/>
        <v>#N/A</v>
      </c>
      <c r="AT143" s="2" t="e">
        <f t="shared" ca="1" si="71"/>
        <v>#N/A</v>
      </c>
      <c r="AU143" s="2" t="e">
        <f t="shared" ca="1" si="72"/>
        <v>#N/A</v>
      </c>
      <c r="AV143" s="2" t="e">
        <f t="shared" ca="1" si="73"/>
        <v>#N/A</v>
      </c>
      <c r="AW143" s="2" t="e">
        <f t="shared" ca="1" si="74"/>
        <v>#N/A</v>
      </c>
      <c r="AX143" s="2" t="e">
        <f t="shared" ca="1" si="75"/>
        <v>#N/A</v>
      </c>
      <c r="AY143" s="9" t="e">
        <f t="shared" ca="1" si="76"/>
        <v>#N/A</v>
      </c>
      <c r="AZ143" s="9" t="e">
        <f t="shared" ca="1" si="77"/>
        <v>#N/A</v>
      </c>
      <c r="BB143" s="2" t="e">
        <f t="shared" ca="1" si="78"/>
        <v>#N/A</v>
      </c>
      <c r="BC143" s="2" t="e">
        <f t="shared" ca="1" si="79"/>
        <v>#N/A</v>
      </c>
      <c r="BD143" s="2" t="e">
        <f t="shared" ca="1" si="80"/>
        <v>#N/A</v>
      </c>
      <c r="BE143" s="2" t="e">
        <f t="shared" ca="1" si="81"/>
        <v>#N/A</v>
      </c>
      <c r="BF143" s="2" t="e">
        <f t="shared" ca="1" si="82"/>
        <v>#N/A</v>
      </c>
      <c r="BG143" s="2" t="e">
        <f t="shared" ca="1" si="83"/>
        <v>#N/A</v>
      </c>
      <c r="BH143" s="2" t="e">
        <f t="shared" ca="1" si="84"/>
        <v>#N/A</v>
      </c>
      <c r="BI143" s="2" t="e">
        <f t="shared" ca="1" si="85"/>
        <v>#N/A</v>
      </c>
    </row>
    <row r="144" spans="1:61" ht="15" x14ac:dyDescent="0.25">
      <c r="A144" s="66">
        <v>78</v>
      </c>
      <c r="B144" s="66">
        <v>1498730160.563</v>
      </c>
      <c r="C144" s="67">
        <v>1.2046233825178899E-5</v>
      </c>
      <c r="D144" s="67">
        <v>-1.47690356482856E-5</v>
      </c>
      <c r="E144" s="67">
        <v>7.6722756199310395E-4</v>
      </c>
      <c r="F144" s="67">
        <v>-7.6212219826041195E-5</v>
      </c>
      <c r="G144" s="67">
        <v>5.0161143836575398E-5</v>
      </c>
      <c r="H144" s="67">
        <v>1.16936346772639E-3</v>
      </c>
      <c r="I144" s="67">
        <v>-1.47690356482856E-5</v>
      </c>
      <c r="J144" s="67">
        <v>6.3703761915094798E-4</v>
      </c>
      <c r="K144" s="67">
        <v>6.9672477612597698E-3</v>
      </c>
      <c r="L144" s="67"/>
      <c r="M144" s="67"/>
      <c r="O144" s="11">
        <f t="shared" ca="1" si="43"/>
        <v>-7.5769688478112837E-7</v>
      </c>
      <c r="P144" s="11">
        <f t="shared" ca="1" si="44"/>
        <v>-1.5534135878590342E-5</v>
      </c>
      <c r="Q144" s="11">
        <f t="shared" ca="1" si="45"/>
        <v>-6.926405027517994E-5</v>
      </c>
      <c r="R144" s="11">
        <f t="shared" ca="1" si="46"/>
        <v>-8.7858707472388315E-5</v>
      </c>
      <c r="S144" s="11">
        <f t="shared" ca="1" si="47"/>
        <v>3.9233491789605277E-5</v>
      </c>
      <c r="T144" s="11">
        <f t="shared" ca="1" si="48"/>
        <v>3.0808429144087894E-5</v>
      </c>
      <c r="U144" s="11">
        <f t="shared" ca="1" si="49"/>
        <v>-1.5534135878590342E-5</v>
      </c>
      <c r="V144" s="11">
        <f t="shared" ca="1" si="50"/>
        <v>-1.3158386542826378E-5</v>
      </c>
      <c r="W144" s="11">
        <f t="shared" ca="1" si="51"/>
        <v>-1.5560050224521817E-4</v>
      </c>
      <c r="X144" s="11"/>
      <c r="Y144" s="2">
        <f t="shared" ca="1" si="52"/>
        <v>-7.5769688478112837E-7</v>
      </c>
      <c r="Z144" s="11">
        <f t="shared" ca="1" si="53"/>
        <v>-1.5534135878590342E-5</v>
      </c>
      <c r="AA144" s="2">
        <f t="shared" ca="1" si="54"/>
        <v>-6.926405027517994E-5</v>
      </c>
      <c r="AB144" s="2">
        <f t="shared" ca="1" si="55"/>
        <v>-8.7858707472388315E-5</v>
      </c>
      <c r="AC144" s="2">
        <f t="shared" ca="1" si="56"/>
        <v>3.9233491789605277E-5</v>
      </c>
      <c r="AD144" s="2">
        <f t="shared" ca="1" si="57"/>
        <v>3.0808429144087894E-5</v>
      </c>
      <c r="AE144" s="2">
        <f t="shared" ca="1" si="58"/>
        <v>-1.5534135878590342E-5</v>
      </c>
      <c r="AF144" s="2">
        <f t="shared" ca="1" si="59"/>
        <v>-1.3158386542826378E-5</v>
      </c>
      <c r="AG144" s="2">
        <f t="shared" ca="1" si="60"/>
        <v>-1.5560050224521817E-4</v>
      </c>
      <c r="AI144" s="2">
        <f t="shared" ca="1" si="61"/>
        <v>-7.5769688478112837E-7</v>
      </c>
      <c r="AJ144" s="11">
        <f t="shared" ca="1" si="62"/>
        <v>-1.5534135878590342E-5</v>
      </c>
      <c r="AK144" s="2">
        <f t="shared" ca="1" si="63"/>
        <v>-6.926405027517994E-5</v>
      </c>
      <c r="AL144" s="2">
        <f t="shared" ca="1" si="64"/>
        <v>-8.7858707472388315E-5</v>
      </c>
      <c r="AM144" s="2">
        <f t="shared" ca="1" si="65"/>
        <v>3.9233491789605277E-5</v>
      </c>
      <c r="AN144" s="2">
        <f t="shared" ca="1" si="66"/>
        <v>3.0808429144087894E-5</v>
      </c>
      <c r="AO144" s="2">
        <f t="shared" ca="1" si="67"/>
        <v>-1.5534135878590342E-5</v>
      </c>
      <c r="AP144" s="2">
        <f t="shared" ca="1" si="68"/>
        <v>-1.3158386542826378E-5</v>
      </c>
      <c r="AQ144" s="2">
        <f t="shared" ca="1" si="69"/>
        <v>-1.5560050224521817E-4</v>
      </c>
      <c r="AS144" s="2" t="e">
        <f t="shared" ca="1" si="70"/>
        <v>#N/A</v>
      </c>
      <c r="AT144" s="2" t="e">
        <f t="shared" ca="1" si="71"/>
        <v>#N/A</v>
      </c>
      <c r="AU144" s="2" t="e">
        <f t="shared" ca="1" si="72"/>
        <v>#N/A</v>
      </c>
      <c r="AV144" s="2" t="e">
        <f t="shared" ca="1" si="73"/>
        <v>#N/A</v>
      </c>
      <c r="AW144" s="2" t="e">
        <f t="shared" ca="1" si="74"/>
        <v>#N/A</v>
      </c>
      <c r="AX144" s="2" t="e">
        <f t="shared" ca="1" si="75"/>
        <v>#N/A</v>
      </c>
      <c r="AY144" s="9" t="e">
        <f t="shared" ca="1" si="76"/>
        <v>#N/A</v>
      </c>
      <c r="AZ144" s="9" t="e">
        <f t="shared" ca="1" si="77"/>
        <v>#N/A</v>
      </c>
      <c r="BB144" s="2" t="e">
        <f t="shared" ca="1" si="78"/>
        <v>#N/A</v>
      </c>
      <c r="BC144" s="2" t="e">
        <f t="shared" ca="1" si="79"/>
        <v>#N/A</v>
      </c>
      <c r="BD144" s="2" t="e">
        <f t="shared" ca="1" si="80"/>
        <v>#N/A</v>
      </c>
      <c r="BE144" s="2" t="e">
        <f t="shared" ca="1" si="81"/>
        <v>#N/A</v>
      </c>
      <c r="BF144" s="2" t="e">
        <f t="shared" ca="1" si="82"/>
        <v>#N/A</v>
      </c>
      <c r="BG144" s="2" t="e">
        <f t="shared" ca="1" si="83"/>
        <v>#N/A</v>
      </c>
      <c r="BH144" s="2" t="e">
        <f t="shared" ca="1" si="84"/>
        <v>#N/A</v>
      </c>
      <c r="BI144" s="2" t="e">
        <f t="shared" ca="1" si="85"/>
        <v>#N/A</v>
      </c>
    </row>
    <row r="145" spans="1:61" ht="15" x14ac:dyDescent="0.25">
      <c r="A145" s="66">
        <v>79</v>
      </c>
      <c r="B145" s="66">
        <v>1498730161.0899999</v>
      </c>
      <c r="C145" s="67">
        <v>6.4253059836107202E-5</v>
      </c>
      <c r="D145" s="67">
        <v>-4.6577285526349097E-5</v>
      </c>
      <c r="E145" s="67">
        <v>7.97158001265188E-4</v>
      </c>
      <c r="F145" s="67">
        <v>-8.4301367078125307E-5</v>
      </c>
      <c r="G145" s="67">
        <v>-7.4938782740394805E-5</v>
      </c>
      <c r="H145" s="67">
        <v>1.1097562315298E-3</v>
      </c>
      <c r="I145" s="67">
        <v>-4.6577285526349097E-5</v>
      </c>
      <c r="J145" s="67">
        <v>7.0472525462146097E-4</v>
      </c>
      <c r="K145" s="67">
        <v>6.8519300413477802E-3</v>
      </c>
      <c r="L145" s="67"/>
      <c r="M145" s="67"/>
      <c r="O145" s="11">
        <f t="shared" ca="1" si="43"/>
        <v>5.1449129126147175E-5</v>
      </c>
      <c r="P145" s="11">
        <f t="shared" ca="1" si="44"/>
        <v>-4.7342385756653835E-5</v>
      </c>
      <c r="Q145" s="11">
        <f t="shared" ca="1" si="45"/>
        <v>-3.9333611003095894E-5</v>
      </c>
      <c r="R145" s="11">
        <f t="shared" ca="1" si="46"/>
        <v>-9.5947854724472427E-5</v>
      </c>
      <c r="S145" s="11">
        <f t="shared" ca="1" si="47"/>
        <v>-8.5866434787364932E-5</v>
      </c>
      <c r="T145" s="11">
        <f t="shared" ca="1" si="48"/>
        <v>-2.8798807052502103E-5</v>
      </c>
      <c r="U145" s="11">
        <f t="shared" ca="1" si="49"/>
        <v>-4.7342385756653835E-5</v>
      </c>
      <c r="V145" s="11">
        <f t="shared" ca="1" si="50"/>
        <v>5.4529248927686616E-5</v>
      </c>
      <c r="W145" s="11">
        <f t="shared" ca="1" si="51"/>
        <v>-2.7091822215720776E-4</v>
      </c>
      <c r="X145" s="11"/>
      <c r="Y145" s="2">
        <f t="shared" ca="1" si="52"/>
        <v>5.1449129126147175E-5</v>
      </c>
      <c r="Z145" s="11">
        <f t="shared" ca="1" si="53"/>
        <v>-4.7342385756653835E-5</v>
      </c>
      <c r="AA145" s="2">
        <f t="shared" ca="1" si="54"/>
        <v>-3.9333611003095894E-5</v>
      </c>
      <c r="AB145" s="2">
        <f t="shared" ca="1" si="55"/>
        <v>-9.5947854724472427E-5</v>
      </c>
      <c r="AC145" s="2">
        <f t="shared" ca="1" si="56"/>
        <v>-8.5866434787364932E-5</v>
      </c>
      <c r="AD145" s="2">
        <f t="shared" ca="1" si="57"/>
        <v>-2.8798807052502103E-5</v>
      </c>
      <c r="AE145" s="2">
        <f t="shared" ca="1" si="58"/>
        <v>-4.7342385756653835E-5</v>
      </c>
      <c r="AF145" s="2">
        <f t="shared" ca="1" si="59"/>
        <v>5.4529248927686616E-5</v>
      </c>
      <c r="AG145" s="2">
        <f t="shared" ca="1" si="60"/>
        <v>-2.7091822215720776E-4</v>
      </c>
      <c r="AI145" s="2">
        <f t="shared" ca="1" si="61"/>
        <v>5.1449129126147175E-5</v>
      </c>
      <c r="AJ145" s="11">
        <f t="shared" ca="1" si="62"/>
        <v>-4.7342385756653835E-5</v>
      </c>
      <c r="AK145" s="2">
        <f t="shared" ca="1" si="63"/>
        <v>-3.9333611003095894E-5</v>
      </c>
      <c r="AL145" s="2">
        <f t="shared" ca="1" si="64"/>
        <v>-9.5947854724472427E-5</v>
      </c>
      <c r="AM145" s="2">
        <f t="shared" ca="1" si="65"/>
        <v>-8.5866434787364932E-5</v>
      </c>
      <c r="AN145" s="2">
        <f t="shared" ca="1" si="66"/>
        <v>-2.8798807052502103E-5</v>
      </c>
      <c r="AO145" s="2">
        <f t="shared" ca="1" si="67"/>
        <v>-4.7342385756653835E-5</v>
      </c>
      <c r="AP145" s="2">
        <f t="shared" ca="1" si="68"/>
        <v>5.4529248927686616E-5</v>
      </c>
      <c r="AQ145" s="2">
        <f t="shared" ca="1" si="69"/>
        <v>-2.7091822215720776E-4</v>
      </c>
      <c r="AS145" s="2" t="e">
        <f t="shared" ca="1" si="70"/>
        <v>#N/A</v>
      </c>
      <c r="AT145" s="2" t="e">
        <f t="shared" ca="1" si="71"/>
        <v>#N/A</v>
      </c>
      <c r="AU145" s="2" t="e">
        <f t="shared" ca="1" si="72"/>
        <v>#N/A</v>
      </c>
      <c r="AV145" s="2" t="e">
        <f t="shared" ca="1" si="73"/>
        <v>#N/A</v>
      </c>
      <c r="AW145" s="2" t="e">
        <f t="shared" ca="1" si="74"/>
        <v>#N/A</v>
      </c>
      <c r="AX145" s="2" t="e">
        <f t="shared" ca="1" si="75"/>
        <v>#N/A</v>
      </c>
      <c r="AY145" s="9" t="e">
        <f t="shared" ca="1" si="76"/>
        <v>#N/A</v>
      </c>
      <c r="AZ145" s="9" t="e">
        <f t="shared" ca="1" si="77"/>
        <v>#N/A</v>
      </c>
      <c r="BB145" s="2" t="e">
        <f t="shared" ca="1" si="78"/>
        <v>#N/A</v>
      </c>
      <c r="BC145" s="2" t="e">
        <f t="shared" ca="1" si="79"/>
        <v>#N/A</v>
      </c>
      <c r="BD145" s="2" t="e">
        <f t="shared" ca="1" si="80"/>
        <v>#N/A</v>
      </c>
      <c r="BE145" s="2" t="e">
        <f t="shared" ca="1" si="81"/>
        <v>#N/A</v>
      </c>
      <c r="BF145" s="2" t="e">
        <f t="shared" ca="1" si="82"/>
        <v>#N/A</v>
      </c>
      <c r="BG145" s="2" t="e">
        <f t="shared" ca="1" si="83"/>
        <v>#N/A</v>
      </c>
      <c r="BH145" s="2" t="e">
        <f t="shared" ca="1" si="84"/>
        <v>#N/A</v>
      </c>
      <c r="BI145" s="2" t="e">
        <f t="shared" ca="1" si="85"/>
        <v>#N/A</v>
      </c>
    </row>
    <row r="146" spans="1:61" ht="15" x14ac:dyDescent="0.25">
      <c r="A146" s="66">
        <v>80</v>
      </c>
      <c r="B146" s="66">
        <v>1498730161.6170001</v>
      </c>
      <c r="C146" s="67">
        <v>-2.9528278124972599E-5</v>
      </c>
      <c r="D146" s="67">
        <v>9.7966538574002802E-6</v>
      </c>
      <c r="E146" s="67">
        <v>8.7833383763720398E-4</v>
      </c>
      <c r="F146" s="67">
        <v>1.1057013842062301E-4</v>
      </c>
      <c r="G146" s="67">
        <v>-4.3225690018217301E-5</v>
      </c>
      <c r="H146" s="67">
        <v>1.1276380294473101E-3</v>
      </c>
      <c r="I146" s="67">
        <v>9.7966538574002802E-6</v>
      </c>
      <c r="J146" s="67">
        <v>5.8764041869940799E-4</v>
      </c>
      <c r="K146" s="67">
        <v>6.8832053795561303E-3</v>
      </c>
      <c r="L146" s="67"/>
      <c r="M146" s="67"/>
      <c r="O146" s="11">
        <f t="shared" ca="1" si="43"/>
        <v>-4.2332208834932624E-5</v>
      </c>
      <c r="P146" s="11">
        <f t="shared" ca="1" si="44"/>
        <v>9.0315536270955399E-6</v>
      </c>
      <c r="Q146" s="11">
        <f t="shared" ca="1" si="45"/>
        <v>4.1842225368920083E-5</v>
      </c>
      <c r="R146" s="11">
        <f t="shared" ca="1" si="46"/>
        <v>9.8923650774275886E-5</v>
      </c>
      <c r="S146" s="11">
        <f t="shared" ca="1" si="47"/>
        <v>-5.4153342065187422E-5</v>
      </c>
      <c r="T146" s="11">
        <f t="shared" ca="1" si="48"/>
        <v>-1.091700913499207E-5</v>
      </c>
      <c r="U146" s="11">
        <f t="shared" ca="1" si="49"/>
        <v>9.0315536270955399E-6</v>
      </c>
      <c r="V146" s="11">
        <f t="shared" ca="1" si="50"/>
        <v>-6.2555586994366363E-5</v>
      </c>
      <c r="W146" s="11">
        <f t="shared" ca="1" si="51"/>
        <v>-2.3964288394885767E-4</v>
      </c>
      <c r="X146" s="11"/>
      <c r="Y146" s="2">
        <f t="shared" ca="1" si="52"/>
        <v>-4.2332208834932624E-5</v>
      </c>
      <c r="Z146" s="11">
        <f t="shared" ca="1" si="53"/>
        <v>9.0315536270955399E-6</v>
      </c>
      <c r="AA146" s="2">
        <f t="shared" ca="1" si="54"/>
        <v>4.1773127225291061E-5</v>
      </c>
      <c r="AB146" s="2">
        <f t="shared" ca="1" si="55"/>
        <v>9.7251161615982473E-5</v>
      </c>
      <c r="AC146" s="2">
        <f t="shared" ca="1" si="56"/>
        <v>-5.4153342065187422E-5</v>
      </c>
      <c r="AD146" s="2">
        <f t="shared" ca="1" si="57"/>
        <v>-2.3079852826055463E-5</v>
      </c>
      <c r="AE146" s="2">
        <f t="shared" ca="1" si="58"/>
        <v>9.0315536270955399E-6</v>
      </c>
      <c r="AF146" s="2">
        <f t="shared" ca="1" si="59"/>
        <v>-8.0517178307024543E-5</v>
      </c>
      <c r="AG146" s="2">
        <f t="shared" ca="1" si="60"/>
        <v>-2.4693127986167554E-4</v>
      </c>
      <c r="AI146" s="2">
        <f t="shared" ca="1" si="61"/>
        <v>-4.2332208834932624E-5</v>
      </c>
      <c r="AJ146" s="11">
        <f t="shared" ca="1" si="62"/>
        <v>9.0315536270955399E-6</v>
      </c>
      <c r="AK146" s="2">
        <f t="shared" ca="1" si="63"/>
        <v>3.1117565022028677E-5</v>
      </c>
      <c r="AL146" s="2">
        <f t="shared" ca="1" si="64"/>
        <v>9.2263913418324546E-5</v>
      </c>
      <c r="AM146" s="2">
        <f t="shared" ca="1" si="65"/>
        <v>-5.4153342065187422E-5</v>
      </c>
      <c r="AN146" s="2">
        <f t="shared" ca="1" si="66"/>
        <v>-2.3079852826055463E-5</v>
      </c>
      <c r="AO146" s="2">
        <f t="shared" ca="1" si="67"/>
        <v>9.0315536270955399E-6</v>
      </c>
      <c r="AP146" s="2">
        <f t="shared" ca="1" si="68"/>
        <v>-8.0517178307024543E-5</v>
      </c>
      <c r="AQ146" s="2">
        <f t="shared" ca="1" si="69"/>
        <v>-2.4693127986167554E-4</v>
      </c>
      <c r="AS146" s="2" t="e">
        <f t="shared" ca="1" si="70"/>
        <v>#N/A</v>
      </c>
      <c r="AT146" s="2" t="e">
        <f t="shared" ca="1" si="71"/>
        <v>#N/A</v>
      </c>
      <c r="AU146" s="2" t="e">
        <f t="shared" ca="1" si="72"/>
        <v>#N/A</v>
      </c>
      <c r="AV146" s="2" t="e">
        <f t="shared" ca="1" si="73"/>
        <v>#N/A</v>
      </c>
      <c r="AW146" s="2" t="e">
        <f t="shared" ca="1" si="74"/>
        <v>#N/A</v>
      </c>
      <c r="AX146" s="2" t="e">
        <f t="shared" ca="1" si="75"/>
        <v>#N/A</v>
      </c>
      <c r="AY146" s="9" t="e">
        <f t="shared" ca="1" si="76"/>
        <v>#N/A</v>
      </c>
      <c r="AZ146" s="9" t="e">
        <f t="shared" ca="1" si="77"/>
        <v>#N/A</v>
      </c>
      <c r="BB146" s="2" t="e">
        <f t="shared" ca="1" si="78"/>
        <v>#N/A</v>
      </c>
      <c r="BC146" s="2" t="e">
        <f t="shared" ca="1" si="79"/>
        <v>#N/A</v>
      </c>
      <c r="BD146" s="2" t="e">
        <f t="shared" ca="1" si="80"/>
        <v>#N/A</v>
      </c>
      <c r="BE146" s="2" t="e">
        <f t="shared" ca="1" si="81"/>
        <v>#N/A</v>
      </c>
      <c r="BF146" s="2" t="e">
        <f t="shared" ca="1" si="82"/>
        <v>#N/A</v>
      </c>
      <c r="BG146" s="2" t="e">
        <f t="shared" ca="1" si="83"/>
        <v>#N/A</v>
      </c>
      <c r="BH146" s="2" t="e">
        <f t="shared" ca="1" si="84"/>
        <v>#N/A</v>
      </c>
      <c r="BI146" s="2" t="e">
        <f t="shared" ca="1" si="85"/>
        <v>#N/A</v>
      </c>
    </row>
    <row r="147" spans="1:61" ht="15" x14ac:dyDescent="0.25">
      <c r="A147" s="66">
        <v>81</v>
      </c>
      <c r="B147" s="66">
        <v>1498730162.1440001</v>
      </c>
      <c r="C147" s="67">
        <v>-5.3621800197996E-5</v>
      </c>
      <c r="D147" s="67">
        <v>-2.9859744715053801E-5</v>
      </c>
      <c r="E147" s="67">
        <v>7.8877738845527397E-4</v>
      </c>
      <c r="F147" s="67">
        <v>3.0856196421467603E-5</v>
      </c>
      <c r="G147" s="67">
        <v>-6.0518585749884603E-5</v>
      </c>
      <c r="H147" s="67">
        <v>1.0553975287433701E-3</v>
      </c>
      <c r="I147" s="67">
        <v>-2.9859744715053801E-5</v>
      </c>
      <c r="J147" s="67">
        <v>6.3917505321664796E-4</v>
      </c>
      <c r="K147" s="67">
        <v>6.9369248398406403E-3</v>
      </c>
      <c r="L147" s="67"/>
      <c r="M147" s="67"/>
      <c r="O147" s="11">
        <f t="shared" ca="1" si="43"/>
        <v>-6.6425730907956028E-5</v>
      </c>
      <c r="P147" s="11">
        <f t="shared" ca="1" si="44"/>
        <v>-3.0624844945358543E-5</v>
      </c>
      <c r="Q147" s="11">
        <f t="shared" ca="1" si="45"/>
        <v>-4.7714223813009925E-5</v>
      </c>
      <c r="R147" s="11">
        <f t="shared" ca="1" si="46"/>
        <v>1.9209708775120479E-5</v>
      </c>
      <c r="S147" s="11">
        <f t="shared" ca="1" si="47"/>
        <v>-7.1446237796854724E-5</v>
      </c>
      <c r="T147" s="11">
        <f t="shared" ca="1" si="48"/>
        <v>-8.3157509838932076E-5</v>
      </c>
      <c r="U147" s="11">
        <f t="shared" ca="1" si="49"/>
        <v>-3.0624844945358543E-5</v>
      </c>
      <c r="V147" s="11">
        <f t="shared" ca="1" si="50"/>
        <v>-1.1020952477126399E-5</v>
      </c>
      <c r="W147" s="11">
        <f t="shared" ca="1" si="51"/>
        <v>-1.8592342366434769E-4</v>
      </c>
      <c r="X147" s="11"/>
      <c r="Y147" s="2">
        <f t="shared" ca="1" si="52"/>
        <v>-6.6425730907956028E-5</v>
      </c>
      <c r="Z147" s="11">
        <f t="shared" ca="1" si="53"/>
        <v>-3.0624844945358543E-5</v>
      </c>
      <c r="AA147" s="2">
        <f t="shared" ca="1" si="54"/>
        <v>-4.7714223813009925E-5</v>
      </c>
      <c r="AB147" s="2">
        <f t="shared" ca="1" si="55"/>
        <v>1.9209708775120479E-5</v>
      </c>
      <c r="AC147" s="2">
        <f t="shared" ca="1" si="56"/>
        <v>-7.1446237796854724E-5</v>
      </c>
      <c r="AD147" s="2">
        <f t="shared" ca="1" si="57"/>
        <v>-8.3157509838932076E-5</v>
      </c>
      <c r="AE147" s="2">
        <f t="shared" ca="1" si="58"/>
        <v>-3.0624844945358543E-5</v>
      </c>
      <c r="AF147" s="2">
        <f t="shared" ca="1" si="59"/>
        <v>-1.1020952477126399E-5</v>
      </c>
      <c r="AG147" s="2">
        <f t="shared" ca="1" si="60"/>
        <v>-1.8592342366434769E-4</v>
      </c>
      <c r="AI147" s="2">
        <f t="shared" ca="1" si="61"/>
        <v>-6.6425730907956028E-5</v>
      </c>
      <c r="AJ147" s="11">
        <f t="shared" ca="1" si="62"/>
        <v>-3.0624844945358543E-5</v>
      </c>
      <c r="AK147" s="2">
        <f t="shared" ca="1" si="63"/>
        <v>-4.7714223813009925E-5</v>
      </c>
      <c r="AL147" s="2">
        <f t="shared" ca="1" si="64"/>
        <v>1.9209708775120479E-5</v>
      </c>
      <c r="AM147" s="2">
        <f t="shared" ca="1" si="65"/>
        <v>-7.1446237796854724E-5</v>
      </c>
      <c r="AN147" s="2">
        <f t="shared" ca="1" si="66"/>
        <v>-8.3157509838932076E-5</v>
      </c>
      <c r="AO147" s="2">
        <f t="shared" ca="1" si="67"/>
        <v>-3.0624844945358543E-5</v>
      </c>
      <c r="AP147" s="2">
        <f t="shared" ca="1" si="68"/>
        <v>-1.1020952477126399E-5</v>
      </c>
      <c r="AQ147" s="2">
        <f t="shared" ca="1" si="69"/>
        <v>-1.8592342366434769E-4</v>
      </c>
      <c r="AS147" s="2" t="e">
        <f t="shared" ca="1" si="70"/>
        <v>#N/A</v>
      </c>
      <c r="AT147" s="2" t="e">
        <f t="shared" ca="1" si="71"/>
        <v>#N/A</v>
      </c>
      <c r="AU147" s="2" t="e">
        <f t="shared" ca="1" si="72"/>
        <v>#N/A</v>
      </c>
      <c r="AV147" s="2" t="e">
        <f t="shared" ca="1" si="73"/>
        <v>#N/A</v>
      </c>
      <c r="AW147" s="2" t="e">
        <f t="shared" ca="1" si="74"/>
        <v>#N/A</v>
      </c>
      <c r="AX147" s="2" t="e">
        <f t="shared" ca="1" si="75"/>
        <v>#N/A</v>
      </c>
      <c r="AY147" s="9" t="e">
        <f t="shared" ca="1" si="76"/>
        <v>#N/A</v>
      </c>
      <c r="AZ147" s="9" t="e">
        <f t="shared" ca="1" si="77"/>
        <v>#N/A</v>
      </c>
      <c r="BB147" s="2" t="e">
        <f t="shared" ca="1" si="78"/>
        <v>#N/A</v>
      </c>
      <c r="BC147" s="2" t="e">
        <f t="shared" ca="1" si="79"/>
        <v>#N/A</v>
      </c>
      <c r="BD147" s="2" t="e">
        <f t="shared" ca="1" si="80"/>
        <v>#N/A</v>
      </c>
      <c r="BE147" s="2" t="e">
        <f t="shared" ca="1" si="81"/>
        <v>#N/A</v>
      </c>
      <c r="BF147" s="2" t="e">
        <f t="shared" ca="1" si="82"/>
        <v>#N/A</v>
      </c>
      <c r="BG147" s="2" t="e">
        <f t="shared" ca="1" si="83"/>
        <v>#N/A</v>
      </c>
      <c r="BH147" s="2" t="e">
        <f t="shared" ca="1" si="84"/>
        <v>#N/A</v>
      </c>
      <c r="BI147" s="2" t="e">
        <f t="shared" ca="1" si="85"/>
        <v>#N/A</v>
      </c>
    </row>
    <row r="148" spans="1:61" ht="15" x14ac:dyDescent="0.25">
      <c r="A148" s="66">
        <v>82</v>
      </c>
      <c r="B148" s="66">
        <v>1498730162.671</v>
      </c>
      <c r="C148" s="67">
        <v>5.6682126144261503E-6</v>
      </c>
      <c r="D148" s="67">
        <v>-3.3756033657750903E-5</v>
      </c>
      <c r="E148" s="67">
        <v>8.7569971056564297E-4</v>
      </c>
      <c r="F148" s="67">
        <v>-2.6931422828318799E-6</v>
      </c>
      <c r="G148" s="67">
        <v>-2.4870736513892599E-5</v>
      </c>
      <c r="H148" s="67">
        <v>1.13812883300184E-3</v>
      </c>
      <c r="I148" s="67">
        <v>-3.3756033657750903E-5</v>
      </c>
      <c r="J148" s="67">
        <v>6.4178747884841502E-4</v>
      </c>
      <c r="K148" s="67">
        <v>6.9300008367546703E-3</v>
      </c>
      <c r="L148" s="67"/>
      <c r="M148" s="67"/>
      <c r="O148" s="11">
        <f t="shared" ca="1" si="43"/>
        <v>-7.1357180955338775E-6</v>
      </c>
      <c r="P148" s="11">
        <f t="shared" ca="1" si="44"/>
        <v>-3.4521133888055641E-5</v>
      </c>
      <c r="Q148" s="11">
        <f t="shared" ca="1" si="45"/>
        <v>3.9208098297359071E-5</v>
      </c>
      <c r="R148" s="11">
        <f t="shared" ca="1" si="46"/>
        <v>-1.4339629929179004E-5</v>
      </c>
      <c r="S148" s="11">
        <f t="shared" ca="1" si="47"/>
        <v>-3.5798388560862724E-5</v>
      </c>
      <c r="T148" s="11">
        <f t="shared" ca="1" si="48"/>
        <v>-4.2620558046214431E-7</v>
      </c>
      <c r="U148" s="11">
        <f t="shared" ca="1" si="49"/>
        <v>-3.4521133888055641E-5</v>
      </c>
      <c r="V148" s="11">
        <f t="shared" ca="1" si="50"/>
        <v>-8.4085268453593359E-6</v>
      </c>
      <c r="W148" s="11">
        <f t="shared" ca="1" si="51"/>
        <v>-1.9284742675031771E-4</v>
      </c>
      <c r="X148" s="11"/>
      <c r="Y148" s="2">
        <f t="shared" ca="1" si="52"/>
        <v>-7.1357180955338775E-6</v>
      </c>
      <c r="Z148" s="11">
        <f t="shared" ca="1" si="53"/>
        <v>-3.4521133888055641E-5</v>
      </c>
      <c r="AA148" s="2">
        <f t="shared" ca="1" si="54"/>
        <v>3.9208098297359071E-5</v>
      </c>
      <c r="AB148" s="2">
        <f t="shared" ca="1" si="55"/>
        <v>-1.4339629929179004E-5</v>
      </c>
      <c r="AC148" s="2">
        <f t="shared" ca="1" si="56"/>
        <v>-3.5798388560862724E-5</v>
      </c>
      <c r="AD148" s="2">
        <f t="shared" ca="1" si="57"/>
        <v>-4.2620558046214431E-7</v>
      </c>
      <c r="AE148" s="2">
        <f t="shared" ca="1" si="58"/>
        <v>-3.4521133888055641E-5</v>
      </c>
      <c r="AF148" s="2">
        <f t="shared" ca="1" si="59"/>
        <v>-8.4085268453593359E-6</v>
      </c>
      <c r="AG148" s="2">
        <f t="shared" ca="1" si="60"/>
        <v>-1.9284742675031771E-4</v>
      </c>
      <c r="AI148" s="2">
        <f t="shared" ca="1" si="61"/>
        <v>-7.1357180955338775E-6</v>
      </c>
      <c r="AJ148" s="11">
        <f t="shared" ca="1" si="62"/>
        <v>-3.4521133888055641E-5</v>
      </c>
      <c r="AK148" s="2">
        <f t="shared" ca="1" si="63"/>
        <v>3.9208098297359071E-5</v>
      </c>
      <c r="AL148" s="2">
        <f t="shared" ca="1" si="64"/>
        <v>-1.4339629929179004E-5</v>
      </c>
      <c r="AM148" s="2">
        <f t="shared" ca="1" si="65"/>
        <v>-3.5798388560862724E-5</v>
      </c>
      <c r="AN148" s="2">
        <f t="shared" ca="1" si="66"/>
        <v>-4.2620558046214431E-7</v>
      </c>
      <c r="AO148" s="2">
        <f t="shared" ca="1" si="67"/>
        <v>-3.4521133888055641E-5</v>
      </c>
      <c r="AP148" s="2">
        <f t="shared" ca="1" si="68"/>
        <v>-8.4085268453593359E-6</v>
      </c>
      <c r="AQ148" s="2">
        <f t="shared" ca="1" si="69"/>
        <v>-1.9284742675031771E-4</v>
      </c>
      <c r="AS148" s="2" t="e">
        <f t="shared" ca="1" si="70"/>
        <v>#N/A</v>
      </c>
      <c r="AT148" s="2" t="e">
        <f t="shared" ca="1" si="71"/>
        <v>#N/A</v>
      </c>
      <c r="AU148" s="2" t="e">
        <f t="shared" ca="1" si="72"/>
        <v>#N/A</v>
      </c>
      <c r="AV148" s="2" t="e">
        <f t="shared" ca="1" si="73"/>
        <v>#N/A</v>
      </c>
      <c r="AW148" s="2" t="e">
        <f t="shared" ca="1" si="74"/>
        <v>#N/A</v>
      </c>
      <c r="AX148" s="2" t="e">
        <f t="shared" ca="1" si="75"/>
        <v>#N/A</v>
      </c>
      <c r="AY148" s="9" t="e">
        <f t="shared" ca="1" si="76"/>
        <v>#N/A</v>
      </c>
      <c r="AZ148" s="9" t="e">
        <f t="shared" ca="1" si="77"/>
        <v>#N/A</v>
      </c>
      <c r="BB148" s="2" t="e">
        <f t="shared" ca="1" si="78"/>
        <v>#N/A</v>
      </c>
      <c r="BC148" s="2" t="e">
        <f t="shared" ca="1" si="79"/>
        <v>#N/A</v>
      </c>
      <c r="BD148" s="2" t="e">
        <f t="shared" ca="1" si="80"/>
        <v>#N/A</v>
      </c>
      <c r="BE148" s="2" t="e">
        <f t="shared" ca="1" si="81"/>
        <v>#N/A</v>
      </c>
      <c r="BF148" s="2" t="e">
        <f t="shared" ca="1" si="82"/>
        <v>#N/A</v>
      </c>
      <c r="BG148" s="2" t="e">
        <f t="shared" ca="1" si="83"/>
        <v>#N/A</v>
      </c>
      <c r="BH148" s="2" t="e">
        <f t="shared" ca="1" si="84"/>
        <v>#N/A</v>
      </c>
      <c r="BI148" s="2" t="e">
        <f t="shared" ca="1" si="85"/>
        <v>#N/A</v>
      </c>
    </row>
    <row r="149" spans="1:61" ht="15" x14ac:dyDescent="0.25">
      <c r="A149" s="66">
        <v>83</v>
      </c>
      <c r="B149" s="66">
        <v>1498730163.1989999</v>
      </c>
      <c r="C149" s="67">
        <v>-2.3386698526808901E-5</v>
      </c>
      <c r="D149" s="67">
        <v>8.4973544201547898E-6</v>
      </c>
      <c r="E149" s="67">
        <v>8.0601758219383298E-4</v>
      </c>
      <c r="F149" s="67">
        <v>-1.8634631609613801E-5</v>
      </c>
      <c r="G149" s="67">
        <v>4.0569974955693901E-6</v>
      </c>
      <c r="H149" s="67">
        <v>1.0840070040910601E-3</v>
      </c>
      <c r="I149" s="67">
        <v>8.4973544201547898E-6</v>
      </c>
      <c r="J149" s="67">
        <v>5.3682085135537902E-4</v>
      </c>
      <c r="K149" s="67">
        <v>6.9600847837299699E-3</v>
      </c>
      <c r="L149" s="67"/>
      <c r="M149" s="67"/>
      <c r="O149" s="11">
        <f t="shared" ca="1" si="43"/>
        <v>-3.6190629236768929E-5</v>
      </c>
      <c r="P149" s="11">
        <f t="shared" ca="1" si="44"/>
        <v>7.7322541898500495E-6</v>
      </c>
      <c r="Q149" s="11">
        <f t="shared" ca="1" si="45"/>
        <v>-3.0474030074450912E-5</v>
      </c>
      <c r="R149" s="11">
        <f t="shared" ca="1" si="46"/>
        <v>-3.0281119255960925E-5</v>
      </c>
      <c r="S149" s="11">
        <f t="shared" ca="1" si="47"/>
        <v>-6.8706545514007323E-6</v>
      </c>
      <c r="T149" s="11">
        <f t="shared" ca="1" si="48"/>
        <v>-5.4548034491242077E-5</v>
      </c>
      <c r="U149" s="11">
        <f t="shared" ca="1" si="49"/>
        <v>7.7322541898500495E-6</v>
      </c>
      <c r="V149" s="11">
        <f t="shared" ca="1" si="50"/>
        <v>-1.1337515433839534E-4</v>
      </c>
      <c r="W149" s="11">
        <f t="shared" ca="1" si="51"/>
        <v>-1.6276347977501812E-4</v>
      </c>
      <c r="X149" s="11"/>
      <c r="Y149" s="2">
        <f t="shared" ca="1" si="52"/>
        <v>-3.6190629236768929E-5</v>
      </c>
      <c r="Z149" s="11">
        <f t="shared" ca="1" si="53"/>
        <v>7.7322541898500495E-6</v>
      </c>
      <c r="AA149" s="2">
        <f t="shared" ca="1" si="54"/>
        <v>-3.0533187605109142E-5</v>
      </c>
      <c r="AB149" s="2">
        <f t="shared" ca="1" si="55"/>
        <v>-3.1713000395756791E-5</v>
      </c>
      <c r="AC149" s="2">
        <f t="shared" ca="1" si="56"/>
        <v>-6.8706545514007323E-6</v>
      </c>
      <c r="AD149" s="2">
        <f t="shared" ca="1" si="57"/>
        <v>-6.4961104376424228E-5</v>
      </c>
      <c r="AE149" s="2">
        <f t="shared" ca="1" si="58"/>
        <v>7.7322541898500495E-6</v>
      </c>
      <c r="AF149" s="2">
        <f t="shared" ca="1" si="59"/>
        <v>-1.2875275108620307E-4</v>
      </c>
      <c r="AG149" s="2">
        <f t="shared" ca="1" si="60"/>
        <v>-1.6900335080508093E-4</v>
      </c>
      <c r="AI149" s="2">
        <f t="shared" ca="1" si="61"/>
        <v>-3.6190629236768929E-5</v>
      </c>
      <c r="AJ149" s="11">
        <f t="shared" ca="1" si="62"/>
        <v>7.7322541898500495E-6</v>
      </c>
      <c r="AK149" s="2">
        <f t="shared" ca="1" si="63"/>
        <v>-3.9655816877242436E-5</v>
      </c>
      <c r="AL149" s="2">
        <f t="shared" ca="1" si="64"/>
        <v>-3.5982771950505785E-5</v>
      </c>
      <c r="AM149" s="2">
        <f t="shared" ca="1" si="65"/>
        <v>-6.8706545514007323E-6</v>
      </c>
      <c r="AN149" s="2">
        <f t="shared" ca="1" si="66"/>
        <v>-6.4961104376424228E-5</v>
      </c>
      <c r="AO149" s="2">
        <f t="shared" ca="1" si="67"/>
        <v>7.7322541898500495E-6</v>
      </c>
      <c r="AP149" s="2">
        <f t="shared" ca="1" si="68"/>
        <v>-1.2875275108620307E-4</v>
      </c>
      <c r="AQ149" s="2">
        <f t="shared" ca="1" si="69"/>
        <v>-1.6900335080508093E-4</v>
      </c>
      <c r="AS149" s="2" t="e">
        <f t="shared" ca="1" si="70"/>
        <v>#N/A</v>
      </c>
      <c r="AT149" s="2" t="e">
        <f t="shared" ca="1" si="71"/>
        <v>#N/A</v>
      </c>
      <c r="AU149" s="2" t="e">
        <f t="shared" ca="1" si="72"/>
        <v>#N/A</v>
      </c>
      <c r="AV149" s="2" t="e">
        <f t="shared" ca="1" si="73"/>
        <v>#N/A</v>
      </c>
      <c r="AW149" s="2" t="e">
        <f t="shared" ca="1" si="74"/>
        <v>#N/A</v>
      </c>
      <c r="AX149" s="2" t="e">
        <f t="shared" ca="1" si="75"/>
        <v>#N/A</v>
      </c>
      <c r="AY149" s="9" t="e">
        <f t="shared" ca="1" si="76"/>
        <v>#N/A</v>
      </c>
      <c r="AZ149" s="9" t="e">
        <f t="shared" ca="1" si="77"/>
        <v>#N/A</v>
      </c>
      <c r="BB149" s="2" t="e">
        <f t="shared" ca="1" si="78"/>
        <v>#N/A</v>
      </c>
      <c r="BC149" s="2" t="e">
        <f t="shared" ca="1" si="79"/>
        <v>#N/A</v>
      </c>
      <c r="BD149" s="2" t="e">
        <f t="shared" ca="1" si="80"/>
        <v>#N/A</v>
      </c>
      <c r="BE149" s="2" t="e">
        <f t="shared" ca="1" si="81"/>
        <v>#N/A</v>
      </c>
      <c r="BF149" s="2" t="e">
        <f t="shared" ca="1" si="82"/>
        <v>#N/A</v>
      </c>
      <c r="BG149" s="2" t="e">
        <f t="shared" ca="1" si="83"/>
        <v>#N/A</v>
      </c>
      <c r="BH149" s="2" t="e">
        <f t="shared" ca="1" si="84"/>
        <v>#N/A</v>
      </c>
      <c r="BI149" s="2" t="e">
        <f t="shared" ca="1" si="85"/>
        <v>#N/A</v>
      </c>
    </row>
    <row r="150" spans="1:61" ht="15" x14ac:dyDescent="0.25">
      <c r="A150" s="66">
        <v>84</v>
      </c>
      <c r="B150" s="66">
        <v>1498730163.7260001</v>
      </c>
      <c r="C150" s="67">
        <v>4.6771735259560101E-5</v>
      </c>
      <c r="D150" s="67">
        <v>2.0073530927891701E-5</v>
      </c>
      <c r="E150" s="67">
        <v>8.7138933569786098E-4</v>
      </c>
      <c r="F150" s="67">
        <v>1.11284023363438E-4</v>
      </c>
      <c r="G150" s="67">
        <v>2.6494175525849098E-5</v>
      </c>
      <c r="H150" s="67">
        <v>1.0804307749236899E-3</v>
      </c>
      <c r="I150" s="67">
        <v>2.0073530927891701E-5</v>
      </c>
      <c r="J150" s="67">
        <v>5.9595227648542295E-4</v>
      </c>
      <c r="K150" s="67">
        <v>6.9125716612930699E-3</v>
      </c>
      <c r="L150" s="67"/>
      <c r="M150" s="67"/>
      <c r="O150" s="11">
        <f t="shared" ca="1" si="43"/>
        <v>3.3967804549600073E-5</v>
      </c>
      <c r="P150" s="11">
        <f t="shared" ca="1" si="44"/>
        <v>1.9308430697586959E-5</v>
      </c>
      <c r="Q150" s="11">
        <f t="shared" ca="1" si="45"/>
        <v>3.4897723429577082E-5</v>
      </c>
      <c r="R150" s="11">
        <f t="shared" ca="1" si="46"/>
        <v>9.9637535717090882E-5</v>
      </c>
      <c r="S150" s="11">
        <f t="shared" ca="1" si="47"/>
        <v>1.5566523478878978E-5</v>
      </c>
      <c r="T150" s="11">
        <f t="shared" ca="1" si="48"/>
        <v>-5.8124263658612197E-5</v>
      </c>
      <c r="U150" s="11">
        <f t="shared" ca="1" si="49"/>
        <v>1.9308430697586959E-5</v>
      </c>
      <c r="V150" s="11">
        <f t="shared" ca="1" si="50"/>
        <v>-5.4243729208351406E-5</v>
      </c>
      <c r="W150" s="11">
        <f t="shared" ca="1" si="51"/>
        <v>-2.1027660221191805E-4</v>
      </c>
      <c r="X150" s="11"/>
      <c r="Y150" s="2">
        <f t="shared" ca="1" si="52"/>
        <v>3.3967804549600073E-5</v>
      </c>
      <c r="Z150" s="11">
        <f t="shared" ca="1" si="53"/>
        <v>1.9308430697586959E-5</v>
      </c>
      <c r="AA150" s="2">
        <f t="shared" ca="1" si="54"/>
        <v>3.4749999486091847E-5</v>
      </c>
      <c r="AB150" s="2">
        <f t="shared" ca="1" si="55"/>
        <v>9.606194481227784E-5</v>
      </c>
      <c r="AC150" s="2">
        <f t="shared" ca="1" si="56"/>
        <v>1.5566523478878978E-5</v>
      </c>
      <c r="AD150" s="2">
        <f t="shared" ca="1" si="57"/>
        <v>-8.4127035074365209E-5</v>
      </c>
      <c r="AE150" s="2">
        <f t="shared" ca="1" si="58"/>
        <v>1.9308430697586959E-5</v>
      </c>
      <c r="AF150" s="2">
        <f t="shared" ca="1" si="59"/>
        <v>-9.2643561108632242E-5</v>
      </c>
      <c r="AG150" s="2">
        <f t="shared" ca="1" si="60"/>
        <v>-2.258583606988548E-4</v>
      </c>
      <c r="AI150" s="2">
        <f t="shared" ca="1" si="61"/>
        <v>3.3967804549600073E-5</v>
      </c>
      <c r="AJ150" s="11">
        <f t="shared" ca="1" si="62"/>
        <v>1.9308430697586959E-5</v>
      </c>
      <c r="AK150" s="2">
        <f t="shared" ca="1" si="63"/>
        <v>1.1969623834191583E-5</v>
      </c>
      <c r="AL150" s="2">
        <f t="shared" ca="1" si="64"/>
        <v>8.539977746299184E-5</v>
      </c>
      <c r="AM150" s="2">
        <f t="shared" ca="1" si="65"/>
        <v>1.5566523478878978E-5</v>
      </c>
      <c r="AN150" s="2">
        <f t="shared" ca="1" si="66"/>
        <v>-8.4127035074365209E-5</v>
      </c>
      <c r="AO150" s="2">
        <f t="shared" ca="1" si="67"/>
        <v>1.9308430697586959E-5</v>
      </c>
      <c r="AP150" s="2">
        <f t="shared" ca="1" si="68"/>
        <v>-9.2643561108632242E-5</v>
      </c>
      <c r="AQ150" s="2">
        <f t="shared" ca="1" si="69"/>
        <v>-2.258583606988548E-4</v>
      </c>
      <c r="AS150" s="2" t="e">
        <f t="shared" ca="1" si="70"/>
        <v>#N/A</v>
      </c>
      <c r="AT150" s="2" t="e">
        <f t="shared" ca="1" si="71"/>
        <v>#N/A</v>
      </c>
      <c r="AU150" s="2" t="e">
        <f t="shared" ca="1" si="72"/>
        <v>#N/A</v>
      </c>
      <c r="AV150" s="2" t="e">
        <f t="shared" ca="1" si="73"/>
        <v>#N/A</v>
      </c>
      <c r="AW150" s="2" t="e">
        <f t="shared" ca="1" si="74"/>
        <v>#N/A</v>
      </c>
      <c r="AX150" s="2" t="e">
        <f t="shared" ca="1" si="75"/>
        <v>#N/A</v>
      </c>
      <c r="AY150" s="9" t="e">
        <f t="shared" ca="1" si="76"/>
        <v>#N/A</v>
      </c>
      <c r="AZ150" s="9" t="e">
        <f t="shared" ca="1" si="77"/>
        <v>#N/A</v>
      </c>
      <c r="BB150" s="2" t="e">
        <f t="shared" ca="1" si="78"/>
        <v>#N/A</v>
      </c>
      <c r="BC150" s="2" t="e">
        <f t="shared" ca="1" si="79"/>
        <v>#N/A</v>
      </c>
      <c r="BD150" s="2" t="e">
        <f t="shared" ca="1" si="80"/>
        <v>#N/A</v>
      </c>
      <c r="BE150" s="2" t="e">
        <f t="shared" ca="1" si="81"/>
        <v>#N/A</v>
      </c>
      <c r="BF150" s="2" t="e">
        <f t="shared" ca="1" si="82"/>
        <v>#N/A</v>
      </c>
      <c r="BG150" s="2" t="e">
        <f t="shared" ca="1" si="83"/>
        <v>#N/A</v>
      </c>
      <c r="BH150" s="2" t="e">
        <f t="shared" ca="1" si="84"/>
        <v>#N/A</v>
      </c>
      <c r="BI150" s="2" t="e">
        <f t="shared" ca="1" si="85"/>
        <v>#N/A</v>
      </c>
    </row>
    <row r="151" spans="1:61" ht="15" x14ac:dyDescent="0.25">
      <c r="A151" s="66">
        <v>85</v>
      </c>
      <c r="B151" s="66">
        <v>1498730164.2520001</v>
      </c>
      <c r="C151" s="67">
        <v>5.1260154073391998E-5</v>
      </c>
      <c r="D151" s="67">
        <v>2.6949001770892598E-5</v>
      </c>
      <c r="E151" s="67">
        <v>8.75939176378096E-4</v>
      </c>
      <c r="F151" s="67">
        <v>-4.4092900281730801E-5</v>
      </c>
      <c r="G151" s="67">
        <v>1.33429090387841E-4</v>
      </c>
      <c r="H151" s="67">
        <v>1.1767550125403299E-3</v>
      </c>
      <c r="I151" s="67">
        <v>2.6949001770892598E-5</v>
      </c>
      <c r="J151" s="67">
        <v>7.22063528051325E-4</v>
      </c>
      <c r="K151" s="67">
        <v>7.02407586257378E-3</v>
      </c>
      <c r="L151" s="67"/>
      <c r="M151" s="67"/>
      <c r="O151" s="11">
        <f t="shared" ca="1" si="43"/>
        <v>3.845622336343197E-5</v>
      </c>
      <c r="P151" s="11">
        <f t="shared" ca="1" si="44"/>
        <v>2.6183901540587856E-5</v>
      </c>
      <c r="Q151" s="11">
        <f t="shared" ca="1" si="45"/>
        <v>3.9447564109812102E-5</v>
      </c>
      <c r="R151" s="11">
        <f t="shared" ca="1" si="46"/>
        <v>-5.5739387928077928E-5</v>
      </c>
      <c r="S151" s="11">
        <f t="shared" ca="1" si="47"/>
        <v>1.2250143834087088E-4</v>
      </c>
      <c r="T151" s="11">
        <f t="shared" ca="1" si="48"/>
        <v>3.8199973958027772E-5</v>
      </c>
      <c r="U151" s="11">
        <f t="shared" ca="1" si="49"/>
        <v>2.6183901540587856E-5</v>
      </c>
      <c r="V151" s="11">
        <f t="shared" ca="1" si="50"/>
        <v>7.1867522357550642E-5</v>
      </c>
      <c r="W151" s="11">
        <f t="shared" ca="1" si="51"/>
        <v>-9.8772400931207947E-5</v>
      </c>
      <c r="X151" s="11"/>
      <c r="Y151" s="2">
        <f t="shared" ca="1" si="52"/>
        <v>3.845622336343197E-5</v>
      </c>
      <c r="Z151" s="11">
        <f t="shared" ca="1" si="53"/>
        <v>2.6183901540587856E-5</v>
      </c>
      <c r="AA151" s="2">
        <f t="shared" ca="1" si="54"/>
        <v>3.9247237669409664E-5</v>
      </c>
      <c r="AB151" s="2">
        <f t="shared" ca="1" si="55"/>
        <v>-6.0588198360545976E-5</v>
      </c>
      <c r="AC151" s="2">
        <f t="shared" ca="1" si="56"/>
        <v>1.2250143834087088E-4</v>
      </c>
      <c r="AD151" s="2">
        <f t="shared" ca="1" si="57"/>
        <v>2.9379675735535619E-6</v>
      </c>
      <c r="AE151" s="2">
        <f t="shared" ca="1" si="58"/>
        <v>2.6183901540587856E-5</v>
      </c>
      <c r="AF151" s="2">
        <f t="shared" ca="1" si="59"/>
        <v>1.9794030037031111E-5</v>
      </c>
      <c r="AG151" s="2">
        <f t="shared" ca="1" si="60"/>
        <v>-1.1990261272527981E-4</v>
      </c>
      <c r="AI151" s="2">
        <f t="shared" ca="1" si="61"/>
        <v>3.845622336343197E-5</v>
      </c>
      <c r="AJ151" s="11">
        <f t="shared" ca="1" si="62"/>
        <v>2.6183901540587856E-5</v>
      </c>
      <c r="AK151" s="2">
        <f t="shared" ca="1" si="63"/>
        <v>8.355078567038621E-6</v>
      </c>
      <c r="AL151" s="2">
        <f t="shared" ca="1" si="64"/>
        <v>-7.5047019196662138E-5</v>
      </c>
      <c r="AM151" s="2">
        <f t="shared" ca="1" si="65"/>
        <v>1.2250143834087088E-4</v>
      </c>
      <c r="AN151" s="2">
        <f t="shared" ca="1" si="66"/>
        <v>2.9379675735535619E-6</v>
      </c>
      <c r="AO151" s="2">
        <f t="shared" ca="1" si="67"/>
        <v>2.6183901540587856E-5</v>
      </c>
      <c r="AP151" s="2">
        <f t="shared" ca="1" si="68"/>
        <v>1.9794030037031111E-5</v>
      </c>
      <c r="AQ151" s="2">
        <f t="shared" ca="1" si="69"/>
        <v>-1.1990261272527981E-4</v>
      </c>
      <c r="AS151" s="2" t="e">
        <f t="shared" ca="1" si="70"/>
        <v>#N/A</v>
      </c>
      <c r="AT151" s="2" t="e">
        <f t="shared" ca="1" si="71"/>
        <v>#N/A</v>
      </c>
      <c r="AU151" s="2" t="e">
        <f t="shared" ca="1" si="72"/>
        <v>#N/A</v>
      </c>
      <c r="AV151" s="2" t="e">
        <f t="shared" ca="1" si="73"/>
        <v>#N/A</v>
      </c>
      <c r="AW151" s="2" t="e">
        <f t="shared" ca="1" si="74"/>
        <v>#N/A</v>
      </c>
      <c r="AX151" s="2" t="e">
        <f t="shared" ca="1" si="75"/>
        <v>#N/A</v>
      </c>
      <c r="AY151" s="9" t="e">
        <f t="shared" ca="1" si="76"/>
        <v>#N/A</v>
      </c>
      <c r="AZ151" s="9" t="e">
        <f t="shared" ca="1" si="77"/>
        <v>#N/A</v>
      </c>
      <c r="BB151" s="2" t="e">
        <f t="shared" ca="1" si="78"/>
        <v>#N/A</v>
      </c>
      <c r="BC151" s="2" t="e">
        <f t="shared" ca="1" si="79"/>
        <v>#N/A</v>
      </c>
      <c r="BD151" s="2" t="e">
        <f t="shared" ca="1" si="80"/>
        <v>#N/A</v>
      </c>
      <c r="BE151" s="2" t="e">
        <f t="shared" ca="1" si="81"/>
        <v>#N/A</v>
      </c>
      <c r="BF151" s="2" t="e">
        <f t="shared" ca="1" si="82"/>
        <v>#N/A</v>
      </c>
      <c r="BG151" s="2" t="e">
        <f t="shared" ca="1" si="83"/>
        <v>#N/A</v>
      </c>
      <c r="BH151" s="2" t="e">
        <f t="shared" ca="1" si="84"/>
        <v>#N/A</v>
      </c>
      <c r="BI151" s="2" t="e">
        <f t="shared" ca="1" si="85"/>
        <v>#N/A</v>
      </c>
    </row>
    <row r="152" spans="1:61" ht="15" x14ac:dyDescent="0.25">
      <c r="A152" s="66">
        <v>86</v>
      </c>
      <c r="B152" s="66">
        <v>1498730164.779</v>
      </c>
      <c r="C152" s="67">
        <v>-1.02279482330948E-4</v>
      </c>
      <c r="D152" s="67">
        <v>1.7616433575558501E-5</v>
      </c>
      <c r="E152" s="67">
        <v>8.3331516020977204E-4</v>
      </c>
      <c r="F152" s="67">
        <v>7.8921752077667394E-5</v>
      </c>
      <c r="G152" s="67">
        <v>1.12263812623827E-4</v>
      </c>
      <c r="H152" s="67">
        <v>1.0120080527137099E-3</v>
      </c>
      <c r="I152" s="67">
        <v>1.7616433575558501E-5</v>
      </c>
      <c r="J152" s="67">
        <v>4.9526471779723596E-4</v>
      </c>
      <c r="K152" s="67">
        <v>6.8877415783028702E-3</v>
      </c>
      <c r="L152" s="67"/>
      <c r="M152" s="67"/>
      <c r="O152" s="11">
        <f t="shared" ca="1" si="43"/>
        <v>-1.1508341304090802E-4</v>
      </c>
      <c r="P152" s="11">
        <f t="shared" ca="1" si="44"/>
        <v>1.6851333345253759E-5</v>
      </c>
      <c r="Q152" s="11">
        <f t="shared" ca="1" si="45"/>
        <v>-3.1764520585118514E-6</v>
      </c>
      <c r="R152" s="11">
        <f t="shared" ca="1" si="46"/>
        <v>6.7275264431320274E-5</v>
      </c>
      <c r="S152" s="11">
        <f t="shared" ca="1" si="47"/>
        <v>1.0133616057685687E-4</v>
      </c>
      <c r="T152" s="11">
        <f t="shared" ca="1" si="48"/>
        <v>-1.2654698586859222E-4</v>
      </c>
      <c r="U152" s="11">
        <f t="shared" ca="1" si="49"/>
        <v>1.6851333345253759E-5</v>
      </c>
      <c r="V152" s="11">
        <f t="shared" ca="1" si="50"/>
        <v>-1.5493128789653839E-4</v>
      </c>
      <c r="W152" s="11">
        <f t="shared" ca="1" si="51"/>
        <v>-2.3510668520211782E-4</v>
      </c>
      <c r="X152" s="11"/>
      <c r="Y152" s="2">
        <f t="shared" ca="1" si="52"/>
        <v>-1.1508341304090802E-4</v>
      </c>
      <c r="Z152" s="11">
        <f t="shared" ca="1" si="53"/>
        <v>1.6851333345253759E-5</v>
      </c>
      <c r="AA152" s="2">
        <f t="shared" ca="1" si="54"/>
        <v>-3.3053773685866984E-6</v>
      </c>
      <c r="AB152" s="2">
        <f t="shared" ca="1" si="55"/>
        <v>6.4154685903372276E-5</v>
      </c>
      <c r="AC152" s="2">
        <f t="shared" ca="1" si="56"/>
        <v>1.0133616057685687E-4</v>
      </c>
      <c r="AD152" s="2">
        <f t="shared" ca="1" si="57"/>
        <v>-1.4924077056244884E-4</v>
      </c>
      <c r="AE152" s="2">
        <f t="shared" ca="1" si="58"/>
        <v>1.6851333345253759E-5</v>
      </c>
      <c r="AF152" s="2">
        <f t="shared" ca="1" si="59"/>
        <v>-1.8844454321428983E-4</v>
      </c>
      <c r="AG152" s="2">
        <f t="shared" ca="1" si="60"/>
        <v>-2.4870558458866518E-4</v>
      </c>
      <c r="AI152" s="2">
        <f t="shared" ca="1" si="61"/>
        <v>-1.1508341304090802E-4</v>
      </c>
      <c r="AJ152" s="11">
        <f t="shared" ca="1" si="62"/>
        <v>1.6851333345253759E-5</v>
      </c>
      <c r="AK152" s="2">
        <f t="shared" ca="1" si="63"/>
        <v>-2.318683277284431E-5</v>
      </c>
      <c r="AL152" s="2">
        <f t="shared" ca="1" si="64"/>
        <v>5.4849334318887823E-5</v>
      </c>
      <c r="AM152" s="2">
        <f t="shared" ca="1" si="65"/>
        <v>1.0133616057685687E-4</v>
      </c>
      <c r="AN152" s="2">
        <f t="shared" ca="1" si="66"/>
        <v>-1.4924077056244884E-4</v>
      </c>
      <c r="AO152" s="2">
        <f t="shared" ca="1" si="67"/>
        <v>1.6851333345253759E-5</v>
      </c>
      <c r="AP152" s="2">
        <f t="shared" ca="1" si="68"/>
        <v>-1.8844454321428983E-4</v>
      </c>
      <c r="AQ152" s="2">
        <f t="shared" ca="1" si="69"/>
        <v>-2.4870558458866518E-4</v>
      </c>
      <c r="AS152" s="2" t="e">
        <f t="shared" ca="1" si="70"/>
        <v>#N/A</v>
      </c>
      <c r="AT152" s="2" t="e">
        <f t="shared" ca="1" si="71"/>
        <v>#N/A</v>
      </c>
      <c r="AU152" s="2" t="e">
        <f t="shared" ca="1" si="72"/>
        <v>#N/A</v>
      </c>
      <c r="AV152" s="2" t="e">
        <f t="shared" ca="1" si="73"/>
        <v>#N/A</v>
      </c>
      <c r="AW152" s="2" t="e">
        <f t="shared" ca="1" si="74"/>
        <v>#N/A</v>
      </c>
      <c r="AX152" s="2" t="e">
        <f t="shared" ca="1" si="75"/>
        <v>#N/A</v>
      </c>
      <c r="AY152" s="9" t="e">
        <f t="shared" ca="1" si="76"/>
        <v>#N/A</v>
      </c>
      <c r="AZ152" s="9" t="e">
        <f t="shared" ca="1" si="77"/>
        <v>#N/A</v>
      </c>
      <c r="BB152" s="2" t="e">
        <f t="shared" ca="1" si="78"/>
        <v>#N/A</v>
      </c>
      <c r="BC152" s="2" t="e">
        <f t="shared" ca="1" si="79"/>
        <v>#N/A</v>
      </c>
      <c r="BD152" s="2" t="e">
        <f t="shared" ca="1" si="80"/>
        <v>#N/A</v>
      </c>
      <c r="BE152" s="2" t="e">
        <f t="shared" ca="1" si="81"/>
        <v>#N/A</v>
      </c>
      <c r="BF152" s="2" t="e">
        <f t="shared" ca="1" si="82"/>
        <v>#N/A</v>
      </c>
      <c r="BG152" s="2" t="e">
        <f t="shared" ca="1" si="83"/>
        <v>#N/A</v>
      </c>
      <c r="BH152" s="2" t="e">
        <f t="shared" ca="1" si="84"/>
        <v>#N/A</v>
      </c>
      <c r="BI152" s="2" t="e">
        <f t="shared" ca="1" si="85"/>
        <v>#N/A</v>
      </c>
    </row>
    <row r="153" spans="1:61" ht="15" x14ac:dyDescent="0.25">
      <c r="A153" s="66">
        <v>87</v>
      </c>
      <c r="B153" s="66">
        <v>1498730165.306</v>
      </c>
      <c r="C153" s="67">
        <v>3.0235630619960701E-5</v>
      </c>
      <c r="D153" s="67">
        <v>-1.46745638829664E-5</v>
      </c>
      <c r="E153" s="67">
        <v>7.9332685531285398E-4</v>
      </c>
      <c r="F153" s="67">
        <v>8.72778265525644E-6</v>
      </c>
      <c r="G153" s="67">
        <v>7.7226140516332601E-5</v>
      </c>
      <c r="H153" s="67">
        <v>1.0599273078183201E-3</v>
      </c>
      <c r="I153" s="67">
        <v>-1.46745638829664E-5</v>
      </c>
      <c r="J153" s="67">
        <v>6.4938730139769995E-4</v>
      </c>
      <c r="K153" s="67">
        <v>7.01213691864717E-3</v>
      </c>
      <c r="L153" s="67"/>
      <c r="M153" s="67"/>
      <c r="O153" s="11">
        <f t="shared" ca="1" si="43"/>
        <v>1.7431699910000674E-5</v>
      </c>
      <c r="P153" s="11">
        <f t="shared" ca="1" si="44"/>
        <v>-1.543966411327114E-5</v>
      </c>
      <c r="Q153" s="11">
        <f t="shared" ca="1" si="45"/>
        <v>-4.3164756955429919E-5</v>
      </c>
      <c r="R153" s="11">
        <f t="shared" ca="1" si="46"/>
        <v>-2.9187049910906839E-6</v>
      </c>
      <c r="S153" s="11">
        <f t="shared" ca="1" si="47"/>
        <v>6.6298488469362474E-5</v>
      </c>
      <c r="T153" s="11">
        <f t="shared" ca="1" si="48"/>
        <v>-7.8627730763982046E-5</v>
      </c>
      <c r="U153" s="11">
        <f t="shared" ca="1" si="49"/>
        <v>-1.543966411327114E-5</v>
      </c>
      <c r="V153" s="11">
        <f t="shared" ca="1" si="50"/>
        <v>-8.0870429607440581E-7</v>
      </c>
      <c r="W153" s="11">
        <f t="shared" ca="1" si="51"/>
        <v>-1.1071134485781797E-4</v>
      </c>
      <c r="X153" s="11"/>
      <c r="Y153" s="2">
        <f t="shared" ca="1" si="52"/>
        <v>1.7431699910000674E-5</v>
      </c>
      <c r="Z153" s="11">
        <f t="shared" ca="1" si="53"/>
        <v>-1.543966411327114E-5</v>
      </c>
      <c r="AA153" s="2">
        <f t="shared" ca="1" si="54"/>
        <v>-4.3164756955429919E-5</v>
      </c>
      <c r="AB153" s="2">
        <f t="shared" ca="1" si="55"/>
        <v>-2.9187049910906839E-6</v>
      </c>
      <c r="AC153" s="2">
        <f t="shared" ca="1" si="56"/>
        <v>6.6298488469362474E-5</v>
      </c>
      <c r="AD153" s="2">
        <f t="shared" ca="1" si="57"/>
        <v>-7.8627730763982046E-5</v>
      </c>
      <c r="AE153" s="2">
        <f t="shared" ca="1" si="58"/>
        <v>-1.543966411327114E-5</v>
      </c>
      <c r="AF153" s="2">
        <f t="shared" ca="1" si="59"/>
        <v>-8.0870429607440581E-7</v>
      </c>
      <c r="AG153" s="2">
        <f t="shared" ca="1" si="60"/>
        <v>-1.1071134485781797E-4</v>
      </c>
      <c r="AI153" s="2">
        <f t="shared" ca="1" si="61"/>
        <v>1.7431699910000674E-5</v>
      </c>
      <c r="AJ153" s="11">
        <f t="shared" ca="1" si="62"/>
        <v>-1.543966411327114E-5</v>
      </c>
      <c r="AK153" s="2">
        <f t="shared" ca="1" si="63"/>
        <v>-4.3164756955429919E-5</v>
      </c>
      <c r="AL153" s="2">
        <f t="shared" ca="1" si="64"/>
        <v>-2.9187049910906839E-6</v>
      </c>
      <c r="AM153" s="2">
        <f t="shared" ca="1" si="65"/>
        <v>6.6298488469362474E-5</v>
      </c>
      <c r="AN153" s="2">
        <f t="shared" ca="1" si="66"/>
        <v>-7.8627730763982046E-5</v>
      </c>
      <c r="AO153" s="2">
        <f t="shared" ca="1" si="67"/>
        <v>-1.543966411327114E-5</v>
      </c>
      <c r="AP153" s="2">
        <f t="shared" ca="1" si="68"/>
        <v>-8.0870429607440581E-7</v>
      </c>
      <c r="AQ153" s="2">
        <f t="shared" ca="1" si="69"/>
        <v>-1.1071134485781797E-4</v>
      </c>
      <c r="AS153" s="2" t="e">
        <f t="shared" ca="1" si="70"/>
        <v>#N/A</v>
      </c>
      <c r="AT153" s="2" t="e">
        <f t="shared" ca="1" si="71"/>
        <v>#N/A</v>
      </c>
      <c r="AU153" s="2" t="e">
        <f t="shared" ca="1" si="72"/>
        <v>#N/A</v>
      </c>
      <c r="AV153" s="2" t="e">
        <f t="shared" ca="1" si="73"/>
        <v>#N/A</v>
      </c>
      <c r="AW153" s="2" t="e">
        <f t="shared" ca="1" si="74"/>
        <v>#N/A</v>
      </c>
      <c r="AX153" s="2" t="e">
        <f t="shared" ca="1" si="75"/>
        <v>#N/A</v>
      </c>
      <c r="AY153" s="9" t="e">
        <f t="shared" ca="1" si="76"/>
        <v>#N/A</v>
      </c>
      <c r="AZ153" s="9" t="e">
        <f t="shared" ca="1" si="77"/>
        <v>#N/A</v>
      </c>
      <c r="BB153" s="2" t="e">
        <f t="shared" ca="1" si="78"/>
        <v>#N/A</v>
      </c>
      <c r="BC153" s="2" t="e">
        <f t="shared" ca="1" si="79"/>
        <v>#N/A</v>
      </c>
      <c r="BD153" s="2" t="e">
        <f t="shared" ca="1" si="80"/>
        <v>#N/A</v>
      </c>
      <c r="BE153" s="2" t="e">
        <f t="shared" ca="1" si="81"/>
        <v>#N/A</v>
      </c>
      <c r="BF153" s="2" t="e">
        <f t="shared" ca="1" si="82"/>
        <v>#N/A</v>
      </c>
      <c r="BG153" s="2" t="e">
        <f t="shared" ca="1" si="83"/>
        <v>#N/A</v>
      </c>
      <c r="BH153" s="2" t="e">
        <f t="shared" ca="1" si="84"/>
        <v>#N/A</v>
      </c>
      <c r="BI153" s="2" t="e">
        <f t="shared" ca="1" si="85"/>
        <v>#N/A</v>
      </c>
    </row>
    <row r="154" spans="1:61" ht="15" x14ac:dyDescent="0.25">
      <c r="A154" s="66">
        <v>88</v>
      </c>
      <c r="B154" s="66">
        <v>1498730165.8329999</v>
      </c>
      <c r="C154" s="67">
        <v>4.7952896136762599E-5</v>
      </c>
      <c r="D154" s="67">
        <v>-3.3118469579565299E-5</v>
      </c>
      <c r="E154" s="67">
        <v>6.8869432559927801E-4</v>
      </c>
      <c r="F154" s="67">
        <v>7.7969936444919694E-5</v>
      </c>
      <c r="G154" s="67">
        <v>-9.4377634936284398E-5</v>
      </c>
      <c r="H154" s="67">
        <v>1.11595521860871E-3</v>
      </c>
      <c r="I154" s="67">
        <v>-3.3118469579565299E-5</v>
      </c>
      <c r="J154" s="67">
        <v>6.2183822007004204E-4</v>
      </c>
      <c r="K154" s="67">
        <v>6.8602859522561696E-3</v>
      </c>
      <c r="L154" s="67"/>
      <c r="M154" s="67"/>
      <c r="O154" s="11">
        <f t="shared" ca="1" si="43"/>
        <v>3.5148965426802571E-5</v>
      </c>
      <c r="P154" s="11">
        <f t="shared" ca="1" si="44"/>
        <v>-3.3883569809870038E-5</v>
      </c>
      <c r="Q154" s="11">
        <f t="shared" ca="1" si="45"/>
        <v>-1.4779728666900588E-4</v>
      </c>
      <c r="R154" s="11">
        <f t="shared" ca="1" si="46"/>
        <v>6.6323448798572573E-5</v>
      </c>
      <c r="S154" s="11">
        <f t="shared" ca="1" si="47"/>
        <v>-1.0530528698325453E-4</v>
      </c>
      <c r="T154" s="11">
        <f t="shared" ca="1" si="48"/>
        <v>-2.2599819973592164E-5</v>
      </c>
      <c r="U154" s="11">
        <f t="shared" ca="1" si="49"/>
        <v>-3.3883569809870038E-5</v>
      </c>
      <c r="V154" s="11">
        <f t="shared" ca="1" si="50"/>
        <v>-2.8357785623732315E-5</v>
      </c>
      <c r="W154" s="11">
        <f t="shared" ca="1" si="51"/>
        <v>-2.6256231124881842E-4</v>
      </c>
      <c r="X154" s="11"/>
      <c r="Y154" s="2">
        <f t="shared" ca="1" si="52"/>
        <v>3.5148965426802571E-5</v>
      </c>
      <c r="Z154" s="11">
        <f t="shared" ca="1" si="53"/>
        <v>-3.3883569809870038E-5</v>
      </c>
      <c r="AA154" s="2">
        <f t="shared" ca="1" si="54"/>
        <v>-1.4779728666900588E-4</v>
      </c>
      <c r="AB154" s="2">
        <f t="shared" ca="1" si="55"/>
        <v>6.6323448798572573E-5</v>
      </c>
      <c r="AC154" s="2">
        <f t="shared" ca="1" si="56"/>
        <v>-1.0530528698325453E-4</v>
      </c>
      <c r="AD154" s="2">
        <f t="shared" ca="1" si="57"/>
        <v>-2.2599819973592164E-5</v>
      </c>
      <c r="AE154" s="2">
        <f t="shared" ca="1" si="58"/>
        <v>-3.3883569809870038E-5</v>
      </c>
      <c r="AF154" s="2">
        <f t="shared" ca="1" si="59"/>
        <v>-2.8357785623732315E-5</v>
      </c>
      <c r="AG154" s="2">
        <f t="shared" ca="1" si="60"/>
        <v>-2.6256231124881842E-4</v>
      </c>
      <c r="AI154" s="2">
        <f t="shared" ca="1" si="61"/>
        <v>3.5148965426802571E-5</v>
      </c>
      <c r="AJ154" s="11">
        <f t="shared" ca="1" si="62"/>
        <v>-3.3883569809870038E-5</v>
      </c>
      <c r="AK154" s="2">
        <f t="shared" ca="1" si="63"/>
        <v>-1.4779728666900588E-4</v>
      </c>
      <c r="AL154" s="2">
        <f t="shared" ca="1" si="64"/>
        <v>6.6323448798572573E-5</v>
      </c>
      <c r="AM154" s="2">
        <f t="shared" ca="1" si="65"/>
        <v>-1.0530528698325453E-4</v>
      </c>
      <c r="AN154" s="2">
        <f t="shared" ca="1" si="66"/>
        <v>-2.2599819973592164E-5</v>
      </c>
      <c r="AO154" s="2">
        <f t="shared" ca="1" si="67"/>
        <v>-3.3883569809870038E-5</v>
      </c>
      <c r="AP154" s="2">
        <f t="shared" ca="1" si="68"/>
        <v>-2.8357785623732315E-5</v>
      </c>
      <c r="AQ154" s="2">
        <f t="shared" ca="1" si="69"/>
        <v>-2.6256231124881842E-4</v>
      </c>
      <c r="AS154" s="2" t="e">
        <f t="shared" ca="1" si="70"/>
        <v>#N/A</v>
      </c>
      <c r="AT154" s="2" t="e">
        <f t="shared" ca="1" si="71"/>
        <v>#N/A</v>
      </c>
      <c r="AU154" s="2" t="e">
        <f t="shared" ca="1" si="72"/>
        <v>#N/A</v>
      </c>
      <c r="AV154" s="2" t="e">
        <f t="shared" ca="1" si="73"/>
        <v>#N/A</v>
      </c>
      <c r="AW154" s="2" t="e">
        <f t="shared" ca="1" si="74"/>
        <v>#N/A</v>
      </c>
      <c r="AX154" s="2" t="e">
        <f t="shared" ca="1" si="75"/>
        <v>#N/A</v>
      </c>
      <c r="AY154" s="9" t="e">
        <f t="shared" ca="1" si="76"/>
        <v>#N/A</v>
      </c>
      <c r="AZ154" s="9" t="e">
        <f t="shared" ca="1" si="77"/>
        <v>#N/A</v>
      </c>
      <c r="BB154" s="2" t="e">
        <f t="shared" ca="1" si="78"/>
        <v>#N/A</v>
      </c>
      <c r="BC154" s="2" t="e">
        <f t="shared" ca="1" si="79"/>
        <v>#N/A</v>
      </c>
      <c r="BD154" s="2" t="e">
        <f t="shared" ca="1" si="80"/>
        <v>#N/A</v>
      </c>
      <c r="BE154" s="2" t="e">
        <f t="shared" ca="1" si="81"/>
        <v>#N/A</v>
      </c>
      <c r="BF154" s="2" t="e">
        <f t="shared" ca="1" si="82"/>
        <v>#N/A</v>
      </c>
      <c r="BG154" s="2" t="e">
        <f t="shared" ca="1" si="83"/>
        <v>#N/A</v>
      </c>
      <c r="BH154" s="2" t="e">
        <f t="shared" ca="1" si="84"/>
        <v>#N/A</v>
      </c>
      <c r="BI154" s="2" t="e">
        <f t="shared" ca="1" si="85"/>
        <v>#N/A</v>
      </c>
    </row>
    <row r="155" spans="1:61" ht="15" x14ac:dyDescent="0.25">
      <c r="A155" s="66">
        <v>89</v>
      </c>
      <c r="B155" s="66">
        <v>1498730166.3599999</v>
      </c>
      <c r="C155" s="67">
        <v>3.2361685777444797E-5</v>
      </c>
      <c r="D155" s="67">
        <v>1.7309300686255801E-5</v>
      </c>
      <c r="E155" s="67">
        <v>7.87819608582172E-4</v>
      </c>
      <c r="F155" s="67">
        <v>1.6339900254369599E-4</v>
      </c>
      <c r="G155" s="67">
        <v>1.07409164584728E-4</v>
      </c>
      <c r="H155" s="67">
        <v>1.14599700786964E-3</v>
      </c>
      <c r="I155" s="67">
        <v>1.7309300686255801E-5</v>
      </c>
      <c r="J155" s="67">
        <v>6.6696211275740704E-4</v>
      </c>
      <c r="K155" s="67">
        <v>6.9247481766460898E-3</v>
      </c>
      <c r="L155" s="67"/>
      <c r="M155" s="67"/>
      <c r="O155" s="11">
        <f t="shared" ca="1" si="43"/>
        <v>1.955775506748477E-5</v>
      </c>
      <c r="P155" s="11">
        <f t="shared" ca="1" si="44"/>
        <v>1.6544200455951059E-5</v>
      </c>
      <c r="Q155" s="11">
        <f t="shared" ca="1" si="45"/>
        <v>-4.8672003686111892E-5</v>
      </c>
      <c r="R155" s="11">
        <f t="shared" ca="1" si="46"/>
        <v>1.5175251489734886E-4</v>
      </c>
      <c r="S155" s="11">
        <f t="shared" ca="1" si="47"/>
        <v>9.6481512537757868E-5</v>
      </c>
      <c r="T155" s="11">
        <f t="shared" ca="1" si="48"/>
        <v>7.4419692873378511E-6</v>
      </c>
      <c r="U155" s="11">
        <f t="shared" ca="1" si="49"/>
        <v>1.6544200455951059E-5</v>
      </c>
      <c r="V155" s="11">
        <f t="shared" ca="1" si="50"/>
        <v>1.676610706363268E-5</v>
      </c>
      <c r="W155" s="11">
        <f t="shared" ca="1" si="51"/>
        <v>-1.9810008685889821E-4</v>
      </c>
      <c r="X155" s="11"/>
      <c r="Y155" s="2">
        <f t="shared" ca="1" si="52"/>
        <v>1.955775506748477E-5</v>
      </c>
      <c r="Z155" s="11">
        <f t="shared" ca="1" si="53"/>
        <v>1.6544200455951059E-5</v>
      </c>
      <c r="AA155" s="2">
        <f t="shared" ca="1" si="54"/>
        <v>-4.8798579199753645E-5</v>
      </c>
      <c r="AB155" s="2">
        <f t="shared" ca="1" si="55"/>
        <v>1.4868881212397458E-4</v>
      </c>
      <c r="AC155" s="2">
        <f t="shared" ca="1" si="56"/>
        <v>9.6481512537757868E-5</v>
      </c>
      <c r="AD155" s="2">
        <f t="shared" ca="1" si="57"/>
        <v>-1.4838197829830045E-5</v>
      </c>
      <c r="AE155" s="2">
        <f t="shared" ca="1" si="58"/>
        <v>1.6544200455951059E-5</v>
      </c>
      <c r="AF155" s="2">
        <f t="shared" ca="1" si="59"/>
        <v>-1.6136334692675622E-5</v>
      </c>
      <c r="AG155" s="2">
        <f t="shared" ca="1" si="60"/>
        <v>-2.1145113231161409E-4</v>
      </c>
      <c r="AI155" s="2">
        <f t="shared" ca="1" si="61"/>
        <v>1.955775506748477E-5</v>
      </c>
      <c r="AJ155" s="11">
        <f t="shared" ca="1" si="62"/>
        <v>1.6544200455951059E-5</v>
      </c>
      <c r="AK155" s="2">
        <f t="shared" ca="1" si="63"/>
        <v>-6.8317674622356015E-5</v>
      </c>
      <c r="AL155" s="2">
        <f t="shared" ca="1" si="64"/>
        <v>1.3955306014680697E-4</v>
      </c>
      <c r="AM155" s="2">
        <f t="shared" ca="1" si="65"/>
        <v>9.6481512537757868E-5</v>
      </c>
      <c r="AN155" s="2">
        <f t="shared" ca="1" si="66"/>
        <v>-1.4838197829830045E-5</v>
      </c>
      <c r="AO155" s="2">
        <f t="shared" ca="1" si="67"/>
        <v>1.6544200455951059E-5</v>
      </c>
      <c r="AP155" s="2">
        <f t="shared" ca="1" si="68"/>
        <v>-1.6136334692675622E-5</v>
      </c>
      <c r="AQ155" s="2">
        <f t="shared" ca="1" si="69"/>
        <v>-2.1145113231161409E-4</v>
      </c>
      <c r="AS155" s="2" t="e">
        <f t="shared" ca="1" si="70"/>
        <v>#N/A</v>
      </c>
      <c r="AT155" s="2" t="e">
        <f t="shared" ca="1" si="71"/>
        <v>#N/A</v>
      </c>
      <c r="AU155" s="2" t="e">
        <f t="shared" ca="1" si="72"/>
        <v>#N/A</v>
      </c>
      <c r="AV155" s="2" t="e">
        <f t="shared" ca="1" si="73"/>
        <v>#N/A</v>
      </c>
      <c r="AW155" s="2" t="e">
        <f t="shared" ca="1" si="74"/>
        <v>#N/A</v>
      </c>
      <c r="AX155" s="2" t="e">
        <f t="shared" ca="1" si="75"/>
        <v>#N/A</v>
      </c>
      <c r="AY155" s="9" t="e">
        <f t="shared" ca="1" si="76"/>
        <v>#N/A</v>
      </c>
      <c r="AZ155" s="9" t="e">
        <f t="shared" ca="1" si="77"/>
        <v>#N/A</v>
      </c>
      <c r="BB155" s="2" t="e">
        <f t="shared" ca="1" si="78"/>
        <v>#N/A</v>
      </c>
      <c r="BC155" s="2" t="e">
        <f t="shared" ca="1" si="79"/>
        <v>#N/A</v>
      </c>
      <c r="BD155" s="2" t="e">
        <f t="shared" ca="1" si="80"/>
        <v>#N/A</v>
      </c>
      <c r="BE155" s="2" t="e">
        <f t="shared" ca="1" si="81"/>
        <v>#N/A</v>
      </c>
      <c r="BF155" s="2" t="e">
        <f t="shared" ca="1" si="82"/>
        <v>#N/A</v>
      </c>
      <c r="BG155" s="2" t="e">
        <f t="shared" ca="1" si="83"/>
        <v>#N/A</v>
      </c>
      <c r="BH155" s="2" t="e">
        <f t="shared" ca="1" si="84"/>
        <v>#N/A</v>
      </c>
      <c r="BI155" s="2" t="e">
        <f t="shared" ca="1" si="85"/>
        <v>#N/A</v>
      </c>
    </row>
    <row r="156" spans="1:61" ht="15" x14ac:dyDescent="0.25">
      <c r="A156" s="66">
        <v>90</v>
      </c>
      <c r="B156" s="66">
        <v>1498730166.8859999</v>
      </c>
      <c r="C156" s="67">
        <v>1.21896366287558E-4</v>
      </c>
      <c r="D156" s="67">
        <v>8.2986497628638703E-5</v>
      </c>
      <c r="E156" s="67">
        <v>8.6348702976571899E-4</v>
      </c>
      <c r="F156" s="67">
        <v>1.0128968060156701E-4</v>
      </c>
      <c r="G156" s="67">
        <v>2.1690872020723999E-4</v>
      </c>
      <c r="H156" s="67">
        <v>1.2575886960294899E-3</v>
      </c>
      <c r="I156" s="67">
        <v>8.2986497628638703E-5</v>
      </c>
      <c r="J156" s="67">
        <v>7.3417674716207398E-4</v>
      </c>
      <c r="K156" s="67">
        <v>6.9942287692302497E-3</v>
      </c>
      <c r="L156" s="67"/>
      <c r="M156" s="67"/>
      <c r="O156" s="11">
        <f t="shared" ca="1" si="43"/>
        <v>1.0909243557759798E-4</v>
      </c>
      <c r="P156" s="11">
        <f t="shared" ca="1" si="44"/>
        <v>8.2221397398333964E-5</v>
      </c>
      <c r="Q156" s="11">
        <f t="shared" ca="1" si="45"/>
        <v>2.6995417497435096E-5</v>
      </c>
      <c r="R156" s="11">
        <f t="shared" ca="1" si="46"/>
        <v>8.9643192955219886E-5</v>
      </c>
      <c r="S156" s="11">
        <f t="shared" ca="1" si="47"/>
        <v>2.0598106816026987E-4</v>
      </c>
      <c r="T156" s="11">
        <f t="shared" ca="1" si="48"/>
        <v>1.1903365744718778E-4</v>
      </c>
      <c r="U156" s="11">
        <f t="shared" ca="1" si="49"/>
        <v>8.2221397398333964E-5</v>
      </c>
      <c r="V156" s="11">
        <f t="shared" ca="1" si="50"/>
        <v>8.398074146829962E-5</v>
      </c>
      <c r="W156" s="11">
        <f t="shared" ca="1" si="51"/>
        <v>-1.2861949427473828E-4</v>
      </c>
      <c r="X156" s="11"/>
      <c r="Y156" s="2">
        <f t="shared" ca="1" si="52"/>
        <v>1.0909243557759798E-4</v>
      </c>
      <c r="Z156" s="11">
        <f t="shared" ca="1" si="53"/>
        <v>8.2221397398333964E-5</v>
      </c>
      <c r="AA156" s="2">
        <f t="shared" ca="1" si="54"/>
        <v>2.6366362280427413E-5</v>
      </c>
      <c r="AB156" s="2">
        <f t="shared" ca="1" si="55"/>
        <v>7.4417197361738432E-5</v>
      </c>
      <c r="AC156" s="2">
        <f t="shared" ca="1" si="56"/>
        <v>2.0598106816026987E-4</v>
      </c>
      <c r="AD156" s="2">
        <f t="shared" ca="1" si="57"/>
        <v>8.3056425443578586E-6</v>
      </c>
      <c r="AE156" s="2">
        <f t="shared" ca="1" si="58"/>
        <v>8.2221397398333964E-5</v>
      </c>
      <c r="AF156" s="2">
        <f t="shared" ca="1" si="59"/>
        <v>-7.9537873180004722E-5</v>
      </c>
      <c r="AG156" s="2">
        <f t="shared" ca="1" si="60"/>
        <v>-1.9497154415310566E-4</v>
      </c>
      <c r="AI156" s="2">
        <f t="shared" ca="1" si="61"/>
        <v>1.0909243557759798E-4</v>
      </c>
      <c r="AJ156" s="11">
        <f t="shared" ca="1" si="62"/>
        <v>8.2221397398333964E-5</v>
      </c>
      <c r="AK156" s="2">
        <f t="shared" ca="1" si="63"/>
        <v>-7.0639673512647277E-5</v>
      </c>
      <c r="AL156" s="2">
        <f t="shared" ca="1" si="64"/>
        <v>2.9014320634799443E-5</v>
      </c>
      <c r="AM156" s="2">
        <f t="shared" ca="1" si="65"/>
        <v>2.0598106816026987E-4</v>
      </c>
      <c r="AN156" s="2">
        <f t="shared" ca="1" si="66"/>
        <v>8.3056425443578586E-6</v>
      </c>
      <c r="AO156" s="2">
        <f t="shared" ca="1" si="67"/>
        <v>8.2221397398333964E-5</v>
      </c>
      <c r="AP156" s="2">
        <f t="shared" ca="1" si="68"/>
        <v>-7.9537873180004722E-5</v>
      </c>
      <c r="AQ156" s="2">
        <f t="shared" ca="1" si="69"/>
        <v>-1.9497154415310566E-4</v>
      </c>
      <c r="AS156" s="2" t="e">
        <f t="shared" ca="1" si="70"/>
        <v>#N/A</v>
      </c>
      <c r="AT156" s="2" t="e">
        <f t="shared" ca="1" si="71"/>
        <v>#N/A</v>
      </c>
      <c r="AU156" s="2" t="e">
        <f t="shared" ca="1" si="72"/>
        <v>#N/A</v>
      </c>
      <c r="AV156" s="2" t="e">
        <f t="shared" ca="1" si="73"/>
        <v>#N/A</v>
      </c>
      <c r="AW156" s="2" t="e">
        <f t="shared" ca="1" si="74"/>
        <v>#N/A</v>
      </c>
      <c r="AX156" s="2" t="e">
        <f t="shared" ca="1" si="75"/>
        <v>#N/A</v>
      </c>
      <c r="AY156" s="9" t="e">
        <f t="shared" ca="1" si="76"/>
        <v>#N/A</v>
      </c>
      <c r="AZ156" s="9" t="e">
        <f t="shared" ca="1" si="77"/>
        <v>#N/A</v>
      </c>
      <c r="BB156" s="2" t="e">
        <f t="shared" ca="1" si="78"/>
        <v>#N/A</v>
      </c>
      <c r="BC156" s="2" t="e">
        <f t="shared" ca="1" si="79"/>
        <v>#N/A</v>
      </c>
      <c r="BD156" s="2" t="e">
        <f t="shared" ca="1" si="80"/>
        <v>#N/A</v>
      </c>
      <c r="BE156" s="2" t="e">
        <f t="shared" ca="1" si="81"/>
        <v>#N/A</v>
      </c>
      <c r="BF156" s="2" t="e">
        <f t="shared" ca="1" si="82"/>
        <v>#N/A</v>
      </c>
      <c r="BG156" s="2" t="e">
        <f t="shared" ca="1" si="83"/>
        <v>#N/A</v>
      </c>
      <c r="BH156" s="2" t="e">
        <f t="shared" ca="1" si="84"/>
        <v>#N/A</v>
      </c>
      <c r="BI156" s="2" t="e">
        <f t="shared" ca="1" si="85"/>
        <v>#N/A</v>
      </c>
    </row>
    <row r="157" spans="1:61" ht="15" x14ac:dyDescent="0.25">
      <c r="A157" s="66">
        <v>91</v>
      </c>
      <c r="B157" s="66">
        <v>1498730167.4130001</v>
      </c>
      <c r="C157" s="67">
        <v>9.9452877559919896E-5</v>
      </c>
      <c r="D157" s="67">
        <v>3.7794785389280403E-5</v>
      </c>
      <c r="E157" s="67">
        <v>8.2900496704035496E-4</v>
      </c>
      <c r="F157" s="67">
        <v>-3.1958666257483897E-5</v>
      </c>
      <c r="G157" s="67">
        <v>2.2483587035698201E-4</v>
      </c>
      <c r="H157" s="67">
        <v>1.1641178884108001E-3</v>
      </c>
      <c r="I157" s="67">
        <v>3.7794785389280403E-5</v>
      </c>
      <c r="J157" s="67">
        <v>6.2397562157486799E-4</v>
      </c>
      <c r="K157" s="67">
        <v>6.8547949172445503E-3</v>
      </c>
      <c r="L157" s="67"/>
      <c r="M157" s="67"/>
      <c r="O157" s="11">
        <f t="shared" ca="1" si="43"/>
        <v>8.6648946849959862E-5</v>
      </c>
      <c r="P157" s="11">
        <f t="shared" ca="1" si="44"/>
        <v>3.7029685158975665E-5</v>
      </c>
      <c r="Q157" s="11">
        <f t="shared" ca="1" si="45"/>
        <v>-7.4866452279289362E-6</v>
      </c>
      <c r="R157" s="11">
        <f t="shared" ca="1" si="46"/>
        <v>-4.3605153903831018E-5</v>
      </c>
      <c r="S157" s="11">
        <f t="shared" ca="1" si="47"/>
        <v>2.139082183100119E-4</v>
      </c>
      <c r="T157" s="11">
        <f t="shared" ca="1" si="48"/>
        <v>2.5562849828497962E-5</v>
      </c>
      <c r="U157" s="11">
        <f t="shared" ca="1" si="49"/>
        <v>3.7029685158975665E-5</v>
      </c>
      <c r="V157" s="11">
        <f t="shared" ca="1" si="50"/>
        <v>-2.6220384118906363E-5</v>
      </c>
      <c r="W157" s="11">
        <f t="shared" ca="1" si="51"/>
        <v>-2.6805334626043772E-4</v>
      </c>
      <c r="X157" s="11"/>
      <c r="Y157" s="2">
        <f t="shared" ca="1" si="52"/>
        <v>8.6648946849959862E-5</v>
      </c>
      <c r="Z157" s="11">
        <f t="shared" ca="1" si="53"/>
        <v>3.7029685158975665E-5</v>
      </c>
      <c r="AA157" s="2">
        <f t="shared" ca="1" si="54"/>
        <v>-7.7699500289961791E-6</v>
      </c>
      <c r="AB157" s="2">
        <f t="shared" ca="1" si="55"/>
        <v>-5.046241783875404E-5</v>
      </c>
      <c r="AC157" s="2">
        <f t="shared" ca="1" si="56"/>
        <v>2.139082183100119E-4</v>
      </c>
      <c r="AD157" s="2">
        <f t="shared" ca="1" si="57"/>
        <v>-2.4305233904815471E-5</v>
      </c>
      <c r="AE157" s="2">
        <f t="shared" ca="1" si="58"/>
        <v>3.7029685158975665E-5</v>
      </c>
      <c r="AF157" s="2">
        <f t="shared" ca="1" si="59"/>
        <v>-9.9863535532692332E-5</v>
      </c>
      <c r="AG157" s="2">
        <f t="shared" ca="1" si="60"/>
        <v>-2.9793602393794435E-4</v>
      </c>
      <c r="AI157" s="2">
        <f t="shared" ca="1" si="61"/>
        <v>8.6648946849959862E-5</v>
      </c>
      <c r="AJ157" s="11">
        <f t="shared" ca="1" si="62"/>
        <v>3.7029685158975665E-5</v>
      </c>
      <c r="AK157" s="2">
        <f t="shared" ca="1" si="63"/>
        <v>-5.1458127043738405E-5</v>
      </c>
      <c r="AL157" s="2">
        <f t="shared" ca="1" si="64"/>
        <v>-7.0910309551968839E-5</v>
      </c>
      <c r="AM157" s="2">
        <f t="shared" ca="1" si="65"/>
        <v>2.139082183100119E-4</v>
      </c>
      <c r="AN157" s="2">
        <f t="shared" ca="1" si="66"/>
        <v>-2.4305233904815471E-5</v>
      </c>
      <c r="AO157" s="2">
        <f t="shared" ca="1" si="67"/>
        <v>3.7029685158975665E-5</v>
      </c>
      <c r="AP157" s="2">
        <f t="shared" ca="1" si="68"/>
        <v>-9.9863535532692332E-5</v>
      </c>
      <c r="AQ157" s="2">
        <f t="shared" ca="1" si="69"/>
        <v>-2.9793602393794435E-4</v>
      </c>
      <c r="AS157" s="2" t="e">
        <f t="shared" ca="1" si="70"/>
        <v>#N/A</v>
      </c>
      <c r="AT157" s="2" t="e">
        <f t="shared" ca="1" si="71"/>
        <v>#N/A</v>
      </c>
      <c r="AU157" s="2" t="e">
        <f t="shared" ca="1" si="72"/>
        <v>#N/A</v>
      </c>
      <c r="AV157" s="2" t="e">
        <f t="shared" ca="1" si="73"/>
        <v>#N/A</v>
      </c>
      <c r="AW157" s="2" t="e">
        <f t="shared" ca="1" si="74"/>
        <v>#N/A</v>
      </c>
      <c r="AX157" s="2" t="e">
        <f t="shared" ca="1" si="75"/>
        <v>#N/A</v>
      </c>
      <c r="AY157" s="9" t="e">
        <f t="shared" ca="1" si="76"/>
        <v>#N/A</v>
      </c>
      <c r="AZ157" s="9" t="e">
        <f t="shared" ca="1" si="77"/>
        <v>#N/A</v>
      </c>
      <c r="BB157" s="2" t="e">
        <f t="shared" ca="1" si="78"/>
        <v>#N/A</v>
      </c>
      <c r="BC157" s="2" t="e">
        <f t="shared" ca="1" si="79"/>
        <v>#N/A</v>
      </c>
      <c r="BD157" s="2" t="e">
        <f t="shared" ca="1" si="80"/>
        <v>#N/A</v>
      </c>
      <c r="BE157" s="2" t="e">
        <f t="shared" ca="1" si="81"/>
        <v>#N/A</v>
      </c>
      <c r="BF157" s="2" t="e">
        <f t="shared" ca="1" si="82"/>
        <v>#N/A</v>
      </c>
      <c r="BG157" s="2" t="e">
        <f t="shared" ca="1" si="83"/>
        <v>#N/A</v>
      </c>
      <c r="BH157" s="2" t="e">
        <f t="shared" ca="1" si="84"/>
        <v>#N/A</v>
      </c>
      <c r="BI157" s="2" t="e">
        <f t="shared" ca="1" si="85"/>
        <v>#N/A</v>
      </c>
    </row>
    <row r="158" spans="1:61" ht="15" x14ac:dyDescent="0.25">
      <c r="A158" s="66">
        <v>92</v>
      </c>
      <c r="B158" s="66">
        <v>1498730167.9400001</v>
      </c>
      <c r="C158" s="67">
        <v>3.0944315166230801E-5</v>
      </c>
      <c r="D158" s="67">
        <v>2.24361819381341E-5</v>
      </c>
      <c r="E158" s="67">
        <v>7.6531204421621899E-4</v>
      </c>
      <c r="F158" s="67">
        <v>3.0380311396348801E-5</v>
      </c>
      <c r="G158" s="67">
        <v>1.0978312141952601E-5</v>
      </c>
      <c r="H158" s="67">
        <v>1.0701789888376101E-3</v>
      </c>
      <c r="I158" s="67">
        <v>2.24361819381341E-5</v>
      </c>
      <c r="J158" s="67">
        <v>6.8049967851608998E-4</v>
      </c>
      <c r="K158" s="67">
        <v>6.9039765629956701E-3</v>
      </c>
      <c r="L158" s="67"/>
      <c r="M158" s="67"/>
      <c r="O158" s="11">
        <f t="shared" ca="1" si="43"/>
        <v>1.8140384456270773E-5</v>
      </c>
      <c r="P158" s="11">
        <f t="shared" ca="1" si="44"/>
        <v>2.1671081707829358E-5</v>
      </c>
      <c r="Q158" s="11">
        <f t="shared" ca="1" si="45"/>
        <v>-7.1179568052064904E-5</v>
      </c>
      <c r="R158" s="11">
        <f t="shared" ca="1" si="46"/>
        <v>1.8733823750001677E-5</v>
      </c>
      <c r="S158" s="11">
        <f t="shared" ca="1" si="47"/>
        <v>5.0660094982478255E-8</v>
      </c>
      <c r="T158" s="11">
        <f t="shared" ca="1" si="48"/>
        <v>-6.8376049744692073E-5</v>
      </c>
      <c r="U158" s="11">
        <f t="shared" ca="1" si="49"/>
        <v>2.1671081707829358E-5</v>
      </c>
      <c r="V158" s="11">
        <f t="shared" ca="1" si="50"/>
        <v>3.0303672822315627E-5</v>
      </c>
      <c r="W158" s="11">
        <f t="shared" ca="1" si="51"/>
        <v>-2.1887170050931791E-4</v>
      </c>
      <c r="X158" s="11"/>
      <c r="Y158" s="2">
        <f t="shared" ca="1" si="52"/>
        <v>1.8140384456270773E-5</v>
      </c>
      <c r="Z158" s="11">
        <f t="shared" ca="1" si="53"/>
        <v>2.1671081707829358E-5</v>
      </c>
      <c r="AA158" s="2">
        <f t="shared" ca="1" si="54"/>
        <v>-7.13453680437686E-5</v>
      </c>
      <c r="AB158" s="2">
        <f t="shared" ca="1" si="55"/>
        <v>1.4720710314446369E-5</v>
      </c>
      <c r="AC158" s="2">
        <f t="shared" ca="1" si="56"/>
        <v>5.0660094982478255E-8</v>
      </c>
      <c r="AD158" s="2">
        <f t="shared" ca="1" si="57"/>
        <v>-9.7560616466171765E-5</v>
      </c>
      <c r="AE158" s="2">
        <f t="shared" ca="1" si="58"/>
        <v>2.1671081707829358E-5</v>
      </c>
      <c r="AF158" s="2">
        <f t="shared" ca="1" si="59"/>
        <v>-1.2794904566570614E-5</v>
      </c>
      <c r="AG158" s="2">
        <f t="shared" ca="1" si="60"/>
        <v>-2.3636010060825864E-4</v>
      </c>
      <c r="AI158" s="2">
        <f t="shared" ca="1" si="61"/>
        <v>1.8140384456270773E-5</v>
      </c>
      <c r="AJ158" s="11">
        <f t="shared" ca="1" si="62"/>
        <v>2.1671081707829358E-5</v>
      </c>
      <c r="AK158" s="2">
        <f t="shared" ca="1" si="63"/>
        <v>-9.6913234734719996E-5</v>
      </c>
      <c r="AL158" s="2">
        <f t="shared" ca="1" si="64"/>
        <v>2.7538807244163658E-6</v>
      </c>
      <c r="AM158" s="2">
        <f t="shared" ca="1" si="65"/>
        <v>5.0660094982478255E-8</v>
      </c>
      <c r="AN158" s="2">
        <f t="shared" ca="1" si="66"/>
        <v>-9.7560616466171765E-5</v>
      </c>
      <c r="AO158" s="2">
        <f t="shared" ca="1" si="67"/>
        <v>2.1671081707829358E-5</v>
      </c>
      <c r="AP158" s="2">
        <f t="shared" ca="1" si="68"/>
        <v>-1.2794904566570614E-5</v>
      </c>
      <c r="AQ158" s="2">
        <f t="shared" ca="1" si="69"/>
        <v>-2.3636010060825864E-4</v>
      </c>
      <c r="AS158" s="2" t="e">
        <f t="shared" ca="1" si="70"/>
        <v>#N/A</v>
      </c>
      <c r="AT158" s="2" t="e">
        <f t="shared" ca="1" si="71"/>
        <v>#N/A</v>
      </c>
      <c r="AU158" s="2" t="e">
        <f t="shared" ca="1" si="72"/>
        <v>#N/A</v>
      </c>
      <c r="AV158" s="2" t="e">
        <f t="shared" ca="1" si="73"/>
        <v>#N/A</v>
      </c>
      <c r="AW158" s="2" t="e">
        <f t="shared" ca="1" si="74"/>
        <v>#N/A</v>
      </c>
      <c r="AX158" s="2" t="e">
        <f t="shared" ca="1" si="75"/>
        <v>#N/A</v>
      </c>
      <c r="AY158" s="9" t="e">
        <f t="shared" ca="1" si="76"/>
        <v>#N/A</v>
      </c>
      <c r="AZ158" s="9" t="e">
        <f t="shared" ca="1" si="77"/>
        <v>#N/A</v>
      </c>
      <c r="BB158" s="2" t="e">
        <f t="shared" ca="1" si="78"/>
        <v>#N/A</v>
      </c>
      <c r="BC158" s="2" t="e">
        <f t="shared" ca="1" si="79"/>
        <v>#N/A</v>
      </c>
      <c r="BD158" s="2" t="e">
        <f t="shared" ca="1" si="80"/>
        <v>#N/A</v>
      </c>
      <c r="BE158" s="2" t="e">
        <f t="shared" ca="1" si="81"/>
        <v>#N/A</v>
      </c>
      <c r="BF158" s="2" t="e">
        <f t="shared" ca="1" si="82"/>
        <v>#N/A</v>
      </c>
      <c r="BG158" s="2" t="e">
        <f t="shared" ca="1" si="83"/>
        <v>#N/A</v>
      </c>
      <c r="BH158" s="2" t="e">
        <f t="shared" ca="1" si="84"/>
        <v>#N/A</v>
      </c>
      <c r="BI158" s="2" t="e">
        <f t="shared" ca="1" si="85"/>
        <v>#N/A</v>
      </c>
    </row>
    <row r="159" spans="1:61" ht="15" x14ac:dyDescent="0.25">
      <c r="A159" s="66">
        <v>93</v>
      </c>
      <c r="B159" s="66">
        <v>1498730168.467</v>
      </c>
      <c r="C159" s="67">
        <v>4.4871020747653903E-6</v>
      </c>
      <c r="D159" s="67">
        <v>-2.6317531004841801E-5</v>
      </c>
      <c r="E159" s="67">
        <v>8.1128547813429498E-4</v>
      </c>
      <c r="F159" s="67">
        <v>2.27661818379189E-5</v>
      </c>
      <c r="G159" s="67">
        <v>-6.9222708363864198E-5</v>
      </c>
      <c r="H159" s="67">
        <v>9.9388992747273096E-4</v>
      </c>
      <c r="I159" s="67">
        <v>-2.6317531004841801E-5</v>
      </c>
      <c r="J159" s="67">
        <v>7.0543778047000498E-4</v>
      </c>
      <c r="K159" s="67">
        <v>6.9252256900645404E-3</v>
      </c>
      <c r="L159" s="67"/>
      <c r="M159" s="67"/>
      <c r="O159" s="11">
        <f t="shared" ca="1" si="43"/>
        <v>-8.3168286351946367E-6</v>
      </c>
      <c r="P159" s="11">
        <f t="shared" ca="1" si="44"/>
        <v>-2.7082631235146543E-5</v>
      </c>
      <c r="Q159" s="11">
        <f t="shared" ca="1" si="45"/>
        <v>-2.5206134133988912E-5</v>
      </c>
      <c r="R159" s="11">
        <f t="shared" ca="1" si="46"/>
        <v>1.1119694191571776E-5</v>
      </c>
      <c r="S159" s="11">
        <f t="shared" ca="1" si="47"/>
        <v>-8.0150360410834325E-5</v>
      </c>
      <c r="T159" s="11">
        <f t="shared" ca="1" si="48"/>
        <v>-1.4466511110957118E-4</v>
      </c>
      <c r="U159" s="11">
        <f t="shared" ca="1" si="49"/>
        <v>-2.7082631235146543E-5</v>
      </c>
      <c r="V159" s="11">
        <f t="shared" ca="1" si="50"/>
        <v>5.5241774776230621E-5</v>
      </c>
      <c r="W159" s="11">
        <f t="shared" ca="1" si="51"/>
        <v>-1.9762257344044763E-4</v>
      </c>
      <c r="X159" s="11"/>
      <c r="Y159" s="2">
        <f t="shared" ca="1" si="52"/>
        <v>-8.3168286351946367E-6</v>
      </c>
      <c r="Z159" s="11">
        <f t="shared" ca="1" si="53"/>
        <v>-2.7082631235146543E-5</v>
      </c>
      <c r="AA159" s="2">
        <f t="shared" ca="1" si="54"/>
        <v>-2.5206134133988912E-5</v>
      </c>
      <c r="AB159" s="2">
        <f t="shared" ca="1" si="55"/>
        <v>1.1119694191571776E-5</v>
      </c>
      <c r="AC159" s="2">
        <f t="shared" ca="1" si="56"/>
        <v>-8.0150360410834325E-5</v>
      </c>
      <c r="AD159" s="2">
        <f t="shared" ca="1" si="57"/>
        <v>-1.4466511110957118E-4</v>
      </c>
      <c r="AE159" s="2">
        <f t="shared" ca="1" si="58"/>
        <v>-2.7082631235146543E-5</v>
      </c>
      <c r="AF159" s="2">
        <f t="shared" ca="1" si="59"/>
        <v>5.5241774776230621E-5</v>
      </c>
      <c r="AG159" s="2">
        <f t="shared" ca="1" si="60"/>
        <v>-1.9762257344044763E-4</v>
      </c>
      <c r="AI159" s="2">
        <f t="shared" ca="1" si="61"/>
        <v>-8.3168286351946367E-6</v>
      </c>
      <c r="AJ159" s="11">
        <f t="shared" ca="1" si="62"/>
        <v>-2.7082631235146543E-5</v>
      </c>
      <c r="AK159" s="2">
        <f t="shared" ca="1" si="63"/>
        <v>-2.5206134133988912E-5</v>
      </c>
      <c r="AL159" s="2">
        <f t="shared" ca="1" si="64"/>
        <v>1.1119694191571776E-5</v>
      </c>
      <c r="AM159" s="2">
        <f t="shared" ca="1" si="65"/>
        <v>-8.0150360410834325E-5</v>
      </c>
      <c r="AN159" s="2">
        <f t="shared" ca="1" si="66"/>
        <v>-1.4466511110957118E-4</v>
      </c>
      <c r="AO159" s="2">
        <f t="shared" ca="1" si="67"/>
        <v>-2.7082631235146543E-5</v>
      </c>
      <c r="AP159" s="2">
        <f t="shared" ca="1" si="68"/>
        <v>5.5241774776230621E-5</v>
      </c>
      <c r="AQ159" s="2">
        <f t="shared" ca="1" si="69"/>
        <v>-1.9762257344044763E-4</v>
      </c>
      <c r="AS159" s="2" t="e">
        <f t="shared" ca="1" si="70"/>
        <v>#N/A</v>
      </c>
      <c r="AT159" s="2" t="e">
        <f t="shared" ca="1" si="71"/>
        <v>#N/A</v>
      </c>
      <c r="AU159" s="2" t="e">
        <f t="shared" ca="1" si="72"/>
        <v>#N/A</v>
      </c>
      <c r="AV159" s="2" t="e">
        <f t="shared" ca="1" si="73"/>
        <v>#N/A</v>
      </c>
      <c r="AW159" s="2" t="e">
        <f t="shared" ca="1" si="74"/>
        <v>#N/A</v>
      </c>
      <c r="AX159" s="2" t="e">
        <f t="shared" ca="1" si="75"/>
        <v>#N/A</v>
      </c>
      <c r="AY159" s="9" t="e">
        <f t="shared" ca="1" si="76"/>
        <v>#N/A</v>
      </c>
      <c r="AZ159" s="9" t="e">
        <f t="shared" ca="1" si="77"/>
        <v>#N/A</v>
      </c>
      <c r="BB159" s="2" t="e">
        <f t="shared" ca="1" si="78"/>
        <v>#N/A</v>
      </c>
      <c r="BC159" s="2" t="e">
        <f t="shared" ca="1" si="79"/>
        <v>#N/A</v>
      </c>
      <c r="BD159" s="2" t="e">
        <f t="shared" ca="1" si="80"/>
        <v>#N/A</v>
      </c>
      <c r="BE159" s="2" t="e">
        <f t="shared" ca="1" si="81"/>
        <v>#N/A</v>
      </c>
      <c r="BF159" s="2" t="e">
        <f t="shared" ca="1" si="82"/>
        <v>#N/A</v>
      </c>
      <c r="BG159" s="2" t="e">
        <f t="shared" ca="1" si="83"/>
        <v>#N/A</v>
      </c>
      <c r="BH159" s="2" t="e">
        <f t="shared" ca="1" si="84"/>
        <v>#N/A</v>
      </c>
      <c r="BI159" s="2" t="e">
        <f t="shared" ca="1" si="85"/>
        <v>#N/A</v>
      </c>
    </row>
    <row r="160" spans="1:61" ht="15" x14ac:dyDescent="0.25">
      <c r="A160" s="66">
        <v>94</v>
      </c>
      <c r="B160" s="66">
        <v>1498730168.994</v>
      </c>
      <c r="C160" s="67">
        <v>-1.02279482330948E-4</v>
      </c>
      <c r="D160" s="67">
        <v>-4.6034245864625297E-5</v>
      </c>
      <c r="E160" s="67">
        <v>8.2756824008996905E-4</v>
      </c>
      <c r="F160" s="67">
        <v>1.1532938101149301E-4</v>
      </c>
      <c r="G160" s="67">
        <v>-6.7999472555496399E-5</v>
      </c>
      <c r="H160" s="67">
        <v>1.1703172123754501E-3</v>
      </c>
      <c r="I160" s="67">
        <v>-4.6034245864625297E-5</v>
      </c>
      <c r="J160" s="67">
        <v>5.9428989938870101E-4</v>
      </c>
      <c r="K160" s="67">
        <v>6.8268627263499198E-3</v>
      </c>
      <c r="L160" s="67"/>
      <c r="M160" s="67"/>
      <c r="O160" s="11">
        <f t="shared" ca="1" si="43"/>
        <v>-1.1508341304090802E-4</v>
      </c>
      <c r="P160" s="11">
        <f t="shared" ca="1" si="44"/>
        <v>-4.6799346094930035E-5</v>
      </c>
      <c r="Q160" s="11">
        <f t="shared" ca="1" si="45"/>
        <v>-8.9233721783148418E-6</v>
      </c>
      <c r="R160" s="11">
        <f t="shared" ca="1" si="46"/>
        <v>1.0368289336514589E-4</v>
      </c>
      <c r="S160" s="11">
        <f t="shared" ca="1" si="47"/>
        <v>-7.8927124602466527E-5</v>
      </c>
      <c r="T160" s="11">
        <f t="shared" ca="1" si="48"/>
        <v>3.1762173793147908E-5</v>
      </c>
      <c r="U160" s="11">
        <f t="shared" ca="1" si="49"/>
        <v>-4.6799346094930035E-5</v>
      </c>
      <c r="V160" s="11">
        <f t="shared" ca="1" si="50"/>
        <v>-5.5906106305073349E-5</v>
      </c>
      <c r="W160" s="11">
        <f t="shared" ca="1" si="51"/>
        <v>-2.9598553715506817E-4</v>
      </c>
      <c r="X160" s="11"/>
      <c r="Y160" s="2">
        <f t="shared" ca="1" si="52"/>
        <v>-1.1508341304090802E-4</v>
      </c>
      <c r="Z160" s="11">
        <f t="shared" ca="1" si="53"/>
        <v>-4.6799346094930035E-5</v>
      </c>
      <c r="AA160" s="2">
        <f t="shared" ca="1" si="54"/>
        <v>-8.9233721783148418E-6</v>
      </c>
      <c r="AB160" s="2">
        <f t="shared" ca="1" si="55"/>
        <v>1.0368289336514589E-4</v>
      </c>
      <c r="AC160" s="2">
        <f t="shared" ca="1" si="56"/>
        <v>-7.8927124602466527E-5</v>
      </c>
      <c r="AD160" s="2">
        <f t="shared" ca="1" si="57"/>
        <v>3.1762173793147908E-5</v>
      </c>
      <c r="AE160" s="2">
        <f t="shared" ca="1" si="58"/>
        <v>-4.6799346094930035E-5</v>
      </c>
      <c r="AF160" s="2">
        <f t="shared" ca="1" si="59"/>
        <v>-5.5906106305073349E-5</v>
      </c>
      <c r="AG160" s="2">
        <f t="shared" ca="1" si="60"/>
        <v>-2.9598553715506817E-4</v>
      </c>
      <c r="AI160" s="2">
        <f t="shared" ca="1" si="61"/>
        <v>-1.1508341304090802E-4</v>
      </c>
      <c r="AJ160" s="11">
        <f t="shared" ca="1" si="62"/>
        <v>-4.6799346094930035E-5</v>
      </c>
      <c r="AK160" s="2">
        <f t="shared" ca="1" si="63"/>
        <v>-8.9233721783148418E-6</v>
      </c>
      <c r="AL160" s="2">
        <f t="shared" ca="1" si="64"/>
        <v>1.0368289336514589E-4</v>
      </c>
      <c r="AM160" s="2">
        <f t="shared" ca="1" si="65"/>
        <v>-7.8927124602466527E-5</v>
      </c>
      <c r="AN160" s="2">
        <f t="shared" ca="1" si="66"/>
        <v>3.1762173793147908E-5</v>
      </c>
      <c r="AO160" s="2">
        <f t="shared" ca="1" si="67"/>
        <v>-4.6799346094930035E-5</v>
      </c>
      <c r="AP160" s="2">
        <f t="shared" ca="1" si="68"/>
        <v>-5.5906106305073349E-5</v>
      </c>
      <c r="AQ160" s="2">
        <f t="shared" ca="1" si="69"/>
        <v>-2.9598553715506817E-4</v>
      </c>
      <c r="AS160" s="2" t="e">
        <f t="shared" ca="1" si="70"/>
        <v>#N/A</v>
      </c>
      <c r="AT160" s="2" t="e">
        <f t="shared" ca="1" si="71"/>
        <v>#N/A</v>
      </c>
      <c r="AU160" s="2" t="e">
        <f t="shared" ca="1" si="72"/>
        <v>#N/A</v>
      </c>
      <c r="AV160" s="2" t="e">
        <f t="shared" ca="1" si="73"/>
        <v>#N/A</v>
      </c>
      <c r="AW160" s="2" t="e">
        <f t="shared" ca="1" si="74"/>
        <v>#N/A</v>
      </c>
      <c r="AX160" s="2" t="e">
        <f t="shared" ca="1" si="75"/>
        <v>#N/A</v>
      </c>
      <c r="AY160" s="9" t="e">
        <f t="shared" ca="1" si="76"/>
        <v>#N/A</v>
      </c>
      <c r="AZ160" s="9" t="e">
        <f t="shared" ca="1" si="77"/>
        <v>#N/A</v>
      </c>
      <c r="BB160" s="2" t="e">
        <f t="shared" ca="1" si="78"/>
        <v>#N/A</v>
      </c>
      <c r="BC160" s="2" t="e">
        <f t="shared" ca="1" si="79"/>
        <v>#N/A</v>
      </c>
      <c r="BD160" s="2" t="e">
        <f t="shared" ca="1" si="80"/>
        <v>#N/A</v>
      </c>
      <c r="BE160" s="2" t="e">
        <f t="shared" ca="1" si="81"/>
        <v>#N/A</v>
      </c>
      <c r="BF160" s="2" t="e">
        <f t="shared" ca="1" si="82"/>
        <v>#N/A</v>
      </c>
      <c r="BG160" s="2" t="e">
        <f t="shared" ca="1" si="83"/>
        <v>#N/A</v>
      </c>
      <c r="BH160" s="2" t="e">
        <f t="shared" ca="1" si="84"/>
        <v>#N/A</v>
      </c>
      <c r="BI160" s="2" t="e">
        <f t="shared" ca="1" si="85"/>
        <v>#N/A</v>
      </c>
    </row>
    <row r="161" spans="1:61" ht="15" x14ac:dyDescent="0.25">
      <c r="A161" s="66">
        <v>95</v>
      </c>
      <c r="B161" s="66">
        <v>1498730169.5209999</v>
      </c>
      <c r="C161" s="67">
        <v>3.44877454907294E-5</v>
      </c>
      <c r="D161" s="67">
        <v>-3.8218867428757701E-5</v>
      </c>
      <c r="E161" s="67">
        <v>8.1679285340168504E-4</v>
      </c>
      <c r="F161" s="67">
        <v>4.9415889279337702E-5</v>
      </c>
      <c r="G161" s="67">
        <v>-1.5150084738302599E-4</v>
      </c>
      <c r="H161" s="67">
        <v>1.14456642601774E-3</v>
      </c>
      <c r="I161" s="67">
        <v>-3.8218867428757701E-5</v>
      </c>
      <c r="J161" s="67">
        <v>5.7410411279984897E-4</v>
      </c>
      <c r="K161" s="67">
        <v>6.8046607706048999E-3</v>
      </c>
      <c r="L161" s="67"/>
      <c r="M161" s="67"/>
      <c r="O161" s="11">
        <f t="shared" ca="1" si="43"/>
        <v>2.1683814780769372E-5</v>
      </c>
      <c r="P161" s="11">
        <f t="shared" ca="1" si="44"/>
        <v>-3.8983967659062439E-5</v>
      </c>
      <c r="Q161" s="11">
        <f t="shared" ca="1" si="45"/>
        <v>-1.969875886659886E-5</v>
      </c>
      <c r="R161" s="11">
        <f t="shared" ca="1" si="46"/>
        <v>3.7769401632990575E-5</v>
      </c>
      <c r="S161" s="11">
        <f t="shared" ca="1" si="47"/>
        <v>-1.6242849942999611E-4</v>
      </c>
      <c r="T161" s="11">
        <f t="shared" ca="1" si="48"/>
        <v>6.0113874354378923E-6</v>
      </c>
      <c r="U161" s="11">
        <f t="shared" ca="1" si="49"/>
        <v>-3.8983967659062439E-5</v>
      </c>
      <c r="V161" s="11">
        <f t="shared" ca="1" si="50"/>
        <v>-7.6091892893925383E-5</v>
      </c>
      <c r="W161" s="11">
        <f t="shared" ca="1" si="51"/>
        <v>-3.1818749290008809E-4</v>
      </c>
      <c r="X161" s="11"/>
      <c r="Y161" s="2">
        <f t="shared" ca="1" si="52"/>
        <v>2.1683814780769372E-5</v>
      </c>
      <c r="Z161" s="11">
        <f t="shared" ca="1" si="53"/>
        <v>-3.8983967659062439E-5</v>
      </c>
      <c r="AA161" s="2">
        <f t="shared" ca="1" si="54"/>
        <v>-1.969875886659886E-5</v>
      </c>
      <c r="AB161" s="2">
        <f t="shared" ca="1" si="55"/>
        <v>3.7769401632990575E-5</v>
      </c>
      <c r="AC161" s="2">
        <f t="shared" ca="1" si="56"/>
        <v>-1.6242849942999611E-4</v>
      </c>
      <c r="AD161" s="2">
        <f t="shared" ca="1" si="57"/>
        <v>6.0113874354378923E-6</v>
      </c>
      <c r="AE161" s="2">
        <f t="shared" ca="1" si="58"/>
        <v>-3.8983967659062439E-5</v>
      </c>
      <c r="AF161" s="2">
        <f t="shared" ca="1" si="59"/>
        <v>-7.6091892893925383E-5</v>
      </c>
      <c r="AG161" s="2">
        <f t="shared" ca="1" si="60"/>
        <v>-3.1818749290008809E-4</v>
      </c>
      <c r="AI161" s="2">
        <f t="shared" ca="1" si="61"/>
        <v>2.1683814780769372E-5</v>
      </c>
      <c r="AJ161" s="11">
        <f t="shared" ca="1" si="62"/>
        <v>-3.8983967659062439E-5</v>
      </c>
      <c r="AK161" s="2">
        <f t="shared" ca="1" si="63"/>
        <v>-1.969875886659886E-5</v>
      </c>
      <c r="AL161" s="2">
        <f t="shared" ca="1" si="64"/>
        <v>3.7769401632990575E-5</v>
      </c>
      <c r="AM161" s="2">
        <f t="shared" ca="1" si="65"/>
        <v>-1.6242849942999611E-4</v>
      </c>
      <c r="AN161" s="2">
        <f t="shared" ca="1" si="66"/>
        <v>6.0113874354378923E-6</v>
      </c>
      <c r="AO161" s="2">
        <f t="shared" ca="1" si="67"/>
        <v>-3.8983967659062439E-5</v>
      </c>
      <c r="AP161" s="2">
        <f t="shared" ca="1" si="68"/>
        <v>-7.6091892893925383E-5</v>
      </c>
      <c r="AQ161" s="2">
        <f t="shared" ca="1" si="69"/>
        <v>-3.1818749290008809E-4</v>
      </c>
      <c r="AS161" s="2" t="e">
        <f t="shared" ca="1" si="70"/>
        <v>#N/A</v>
      </c>
      <c r="AT161" s="2" t="e">
        <f t="shared" ca="1" si="71"/>
        <v>#N/A</v>
      </c>
      <c r="AU161" s="2" t="e">
        <f t="shared" ca="1" si="72"/>
        <v>#N/A</v>
      </c>
      <c r="AV161" s="2" t="e">
        <f t="shared" ca="1" si="73"/>
        <v>#N/A</v>
      </c>
      <c r="AW161" s="2" t="e">
        <f t="shared" ca="1" si="74"/>
        <v>#N/A</v>
      </c>
      <c r="AX161" s="2" t="e">
        <f t="shared" ca="1" si="75"/>
        <v>#N/A</v>
      </c>
      <c r="AY161" s="9" t="e">
        <f t="shared" ca="1" si="76"/>
        <v>#N/A</v>
      </c>
      <c r="AZ161" s="9" t="e">
        <f t="shared" ca="1" si="77"/>
        <v>#N/A</v>
      </c>
      <c r="BB161" s="2" t="e">
        <f t="shared" ca="1" si="78"/>
        <v>#N/A</v>
      </c>
      <c r="BC161" s="2" t="e">
        <f t="shared" ca="1" si="79"/>
        <v>#N/A</v>
      </c>
      <c r="BD161" s="2" t="e">
        <f t="shared" ca="1" si="80"/>
        <v>#N/A</v>
      </c>
      <c r="BE161" s="2" t="e">
        <f t="shared" ca="1" si="81"/>
        <v>#N/A</v>
      </c>
      <c r="BF161" s="2" t="e">
        <f t="shared" ca="1" si="82"/>
        <v>#N/A</v>
      </c>
      <c r="BG161" s="2" t="e">
        <f t="shared" ca="1" si="83"/>
        <v>#N/A</v>
      </c>
      <c r="BH161" s="2" t="e">
        <f t="shared" ca="1" si="84"/>
        <v>#N/A</v>
      </c>
      <c r="BI161" s="2" t="e">
        <f t="shared" ca="1" si="85"/>
        <v>#N/A</v>
      </c>
    </row>
    <row r="162" spans="1:61" ht="15" x14ac:dyDescent="0.25">
      <c r="A162" s="66">
        <v>96</v>
      </c>
      <c r="B162" s="66">
        <v>1498730170.0480001</v>
      </c>
      <c r="C162" s="67">
        <v>8.97532960571026E-6</v>
      </c>
      <c r="D162" s="67">
        <v>-9.6201932324315995E-6</v>
      </c>
      <c r="E162" s="67">
        <v>8.2158189989521297E-4</v>
      </c>
      <c r="F162" s="67">
        <v>3.6804778367467501E-5</v>
      </c>
      <c r="G162" s="67">
        <v>1.9221122453811799E-4</v>
      </c>
      <c r="H162" s="67">
        <v>1.08615274772856E-3</v>
      </c>
      <c r="I162" s="67">
        <v>-9.6201932324315995E-6</v>
      </c>
      <c r="J162" s="67">
        <v>7.0021260273018496E-4</v>
      </c>
      <c r="K162" s="67">
        <v>6.9428938463860102E-3</v>
      </c>
      <c r="L162" s="67"/>
      <c r="M162" s="67"/>
      <c r="O162" s="11">
        <f t="shared" ca="1" si="43"/>
        <v>-3.8286011042497678E-6</v>
      </c>
      <c r="P162" s="11">
        <f t="shared" ca="1" si="44"/>
        <v>-1.038529346273634E-5</v>
      </c>
      <c r="Q162" s="11">
        <f t="shared" ca="1" si="45"/>
        <v>-1.4909712373070922E-5</v>
      </c>
      <c r="R162" s="11">
        <f t="shared" ca="1" si="46"/>
        <v>2.5158290721120377E-5</v>
      </c>
      <c r="S162" s="11">
        <f t="shared" ca="1" si="47"/>
        <v>1.8128357249114788E-4</v>
      </c>
      <c r="T162" s="11">
        <f t="shared" ca="1" si="48"/>
        <v>-5.2402290853742137E-5</v>
      </c>
      <c r="U162" s="11">
        <f t="shared" ca="1" si="49"/>
        <v>-1.038529346273634E-5</v>
      </c>
      <c r="V162" s="11">
        <f t="shared" ca="1" si="50"/>
        <v>5.0016597036410602E-5</v>
      </c>
      <c r="W162" s="11">
        <f t="shared" ca="1" si="51"/>
        <v>-1.7995441711897778E-4</v>
      </c>
      <c r="X162" s="11"/>
      <c r="Y162" s="2">
        <f t="shared" ca="1" si="52"/>
        <v>-3.8286011042497678E-6</v>
      </c>
      <c r="Z162" s="11">
        <f t="shared" ca="1" si="53"/>
        <v>-1.038529346273634E-5</v>
      </c>
      <c r="AA162" s="2">
        <f t="shared" ca="1" si="54"/>
        <v>-1.4909712373070922E-5</v>
      </c>
      <c r="AB162" s="2">
        <f t="shared" ca="1" si="55"/>
        <v>2.5158290721120377E-5</v>
      </c>
      <c r="AC162" s="2">
        <f t="shared" ca="1" si="56"/>
        <v>1.8128357249114788E-4</v>
      </c>
      <c r="AD162" s="2">
        <f t="shared" ca="1" si="57"/>
        <v>-5.2402290853742137E-5</v>
      </c>
      <c r="AE162" s="2">
        <f t="shared" ca="1" si="58"/>
        <v>-1.038529346273634E-5</v>
      </c>
      <c r="AF162" s="2">
        <f t="shared" ca="1" si="59"/>
        <v>5.0016597036410602E-5</v>
      </c>
      <c r="AG162" s="2">
        <f t="shared" ca="1" si="60"/>
        <v>-1.7995441711897778E-4</v>
      </c>
      <c r="AI162" s="2">
        <f t="shared" ca="1" si="61"/>
        <v>-3.8286011042497678E-6</v>
      </c>
      <c r="AJ162" s="11">
        <f t="shared" ca="1" si="62"/>
        <v>-1.038529346273634E-5</v>
      </c>
      <c r="AK162" s="2">
        <f t="shared" ca="1" si="63"/>
        <v>-1.4909712373070922E-5</v>
      </c>
      <c r="AL162" s="2">
        <f t="shared" ca="1" si="64"/>
        <v>2.5158290721120377E-5</v>
      </c>
      <c r="AM162" s="2">
        <f t="shared" ca="1" si="65"/>
        <v>1.8128357249114788E-4</v>
      </c>
      <c r="AN162" s="2">
        <f t="shared" ca="1" si="66"/>
        <v>-5.2402290853742137E-5</v>
      </c>
      <c r="AO162" s="2">
        <f t="shared" ca="1" si="67"/>
        <v>-1.038529346273634E-5</v>
      </c>
      <c r="AP162" s="2">
        <f t="shared" ca="1" si="68"/>
        <v>5.0016597036410602E-5</v>
      </c>
      <c r="AQ162" s="2">
        <f t="shared" ca="1" si="69"/>
        <v>-1.7995441711897778E-4</v>
      </c>
      <c r="AS162" s="2" t="e">
        <f t="shared" ca="1" si="70"/>
        <v>#N/A</v>
      </c>
      <c r="AT162" s="2" t="e">
        <f t="shared" ca="1" si="71"/>
        <v>#N/A</v>
      </c>
      <c r="AU162" s="2" t="e">
        <f t="shared" ca="1" si="72"/>
        <v>#N/A</v>
      </c>
      <c r="AV162" s="2" t="e">
        <f t="shared" ca="1" si="73"/>
        <v>#N/A</v>
      </c>
      <c r="AW162" s="2" t="e">
        <f t="shared" ca="1" si="74"/>
        <v>#N/A</v>
      </c>
      <c r="AX162" s="2" t="e">
        <f t="shared" ca="1" si="75"/>
        <v>#N/A</v>
      </c>
      <c r="AY162" s="9" t="e">
        <f t="shared" ca="1" si="76"/>
        <v>#N/A</v>
      </c>
      <c r="AZ162" s="9" t="e">
        <f t="shared" ca="1" si="77"/>
        <v>#N/A</v>
      </c>
      <c r="BB162" s="2" t="e">
        <f t="shared" ca="1" si="78"/>
        <v>#N/A</v>
      </c>
      <c r="BC162" s="2" t="e">
        <f t="shared" ca="1" si="79"/>
        <v>#N/A</v>
      </c>
      <c r="BD162" s="2" t="e">
        <f t="shared" ca="1" si="80"/>
        <v>#N/A</v>
      </c>
      <c r="BE162" s="2" t="e">
        <f t="shared" ca="1" si="81"/>
        <v>#N/A</v>
      </c>
      <c r="BF162" s="2" t="e">
        <f t="shared" ca="1" si="82"/>
        <v>#N/A</v>
      </c>
      <c r="BG162" s="2" t="e">
        <f t="shared" ca="1" si="83"/>
        <v>#N/A</v>
      </c>
      <c r="BH162" s="2" t="e">
        <f t="shared" ca="1" si="84"/>
        <v>#N/A</v>
      </c>
      <c r="BI162" s="2" t="e">
        <f t="shared" ca="1" si="85"/>
        <v>#N/A</v>
      </c>
    </row>
    <row r="163" spans="1:61" ht="15" x14ac:dyDescent="0.25">
      <c r="A163" s="66">
        <v>97</v>
      </c>
      <c r="B163" s="66">
        <v>1498730170.576</v>
      </c>
      <c r="C163" s="67">
        <v>-4.3228587925013002E-5</v>
      </c>
      <c r="D163" s="67">
        <v>-2.9765287324851402E-5</v>
      </c>
      <c r="E163" s="67">
        <v>8.0314419604130298E-4</v>
      </c>
      <c r="F163" s="67">
        <v>-4.2427425910269698E-5</v>
      </c>
      <c r="G163" s="67">
        <v>-5.0637301470768803E-5</v>
      </c>
      <c r="H163" s="67">
        <v>1.05825843945681E-3</v>
      </c>
      <c r="I163" s="67">
        <v>-2.9765287324851402E-5</v>
      </c>
      <c r="J163" s="67">
        <v>6.13526146633304E-4</v>
      </c>
      <c r="K163" s="67">
        <v>6.8022734928031396E-3</v>
      </c>
      <c r="L163" s="67"/>
      <c r="M163" s="67"/>
      <c r="O163" s="11">
        <f t="shared" ca="1" si="43"/>
        <v>-5.603251863497303E-5</v>
      </c>
      <c r="P163" s="11">
        <f t="shared" ca="1" si="44"/>
        <v>-3.053038755515614E-5</v>
      </c>
      <c r="Q163" s="11">
        <f t="shared" ca="1" si="45"/>
        <v>-3.3347416226980919E-5</v>
      </c>
      <c r="R163" s="11">
        <f t="shared" ca="1" si="46"/>
        <v>-5.4073913556616825E-5</v>
      </c>
      <c r="S163" s="11">
        <f t="shared" ca="1" si="47"/>
        <v>-6.1564953517738924E-5</v>
      </c>
      <c r="T163" s="11">
        <f t="shared" ca="1" si="48"/>
        <v>-8.0296599125492156E-5</v>
      </c>
      <c r="U163" s="11">
        <f t="shared" ca="1" si="49"/>
        <v>-3.053038755515614E-5</v>
      </c>
      <c r="V163" s="11">
        <f t="shared" ca="1" si="50"/>
        <v>-3.6669859060470354E-5</v>
      </c>
      <c r="W163" s="11">
        <f t="shared" ca="1" si="51"/>
        <v>-3.2057477070184838E-4</v>
      </c>
      <c r="X163" s="11"/>
      <c r="Y163" s="2">
        <f t="shared" ca="1" si="52"/>
        <v>-5.603251863497303E-5</v>
      </c>
      <c r="Z163" s="11">
        <f t="shared" ca="1" si="53"/>
        <v>-3.053038755515614E-5</v>
      </c>
      <c r="AA163" s="2">
        <f t="shared" ca="1" si="54"/>
        <v>-3.3347416226980919E-5</v>
      </c>
      <c r="AB163" s="2">
        <f t="shared" ca="1" si="55"/>
        <v>-5.4073913556616825E-5</v>
      </c>
      <c r="AC163" s="2">
        <f t="shared" ca="1" si="56"/>
        <v>-6.1564953517738924E-5</v>
      </c>
      <c r="AD163" s="2">
        <f t="shared" ca="1" si="57"/>
        <v>-8.0296599125492156E-5</v>
      </c>
      <c r="AE163" s="2">
        <f t="shared" ca="1" si="58"/>
        <v>-3.053038755515614E-5</v>
      </c>
      <c r="AF163" s="2">
        <f t="shared" ca="1" si="59"/>
        <v>-3.6669859060470354E-5</v>
      </c>
      <c r="AG163" s="2">
        <f t="shared" ca="1" si="60"/>
        <v>-3.2057477070184838E-4</v>
      </c>
      <c r="AI163" s="2">
        <f t="shared" ca="1" si="61"/>
        <v>-5.603251863497303E-5</v>
      </c>
      <c r="AJ163" s="11">
        <f t="shared" ca="1" si="62"/>
        <v>-3.053038755515614E-5</v>
      </c>
      <c r="AK163" s="2">
        <f t="shared" ca="1" si="63"/>
        <v>-3.3347416226980919E-5</v>
      </c>
      <c r="AL163" s="2">
        <f t="shared" ca="1" si="64"/>
        <v>-5.4073913556616825E-5</v>
      </c>
      <c r="AM163" s="2">
        <f t="shared" ca="1" si="65"/>
        <v>-6.1564953517738924E-5</v>
      </c>
      <c r="AN163" s="2">
        <f t="shared" ca="1" si="66"/>
        <v>-8.0296599125492156E-5</v>
      </c>
      <c r="AO163" s="2">
        <f t="shared" ca="1" si="67"/>
        <v>-3.053038755515614E-5</v>
      </c>
      <c r="AP163" s="2">
        <f t="shared" ca="1" si="68"/>
        <v>-3.6669859060470354E-5</v>
      </c>
      <c r="AQ163" s="2">
        <f t="shared" ca="1" si="69"/>
        <v>-3.2057477070184838E-4</v>
      </c>
      <c r="AS163" s="2" t="e">
        <f t="shared" ca="1" si="70"/>
        <v>#N/A</v>
      </c>
      <c r="AT163" s="2" t="e">
        <f t="shared" ca="1" si="71"/>
        <v>#N/A</v>
      </c>
      <c r="AU163" s="2" t="e">
        <f t="shared" ca="1" si="72"/>
        <v>#N/A</v>
      </c>
      <c r="AV163" s="2" t="e">
        <f t="shared" ca="1" si="73"/>
        <v>#N/A</v>
      </c>
      <c r="AW163" s="2" t="e">
        <f t="shared" ca="1" si="74"/>
        <v>#N/A</v>
      </c>
      <c r="AX163" s="2" t="e">
        <f t="shared" ca="1" si="75"/>
        <v>#N/A</v>
      </c>
      <c r="AY163" s="9" t="e">
        <f t="shared" ca="1" si="76"/>
        <v>#N/A</v>
      </c>
      <c r="AZ163" s="9" t="e">
        <f t="shared" ca="1" si="77"/>
        <v>#N/A</v>
      </c>
      <c r="BB163" s="2" t="e">
        <f t="shared" ca="1" si="78"/>
        <v>#N/A</v>
      </c>
      <c r="BC163" s="2" t="e">
        <f t="shared" ca="1" si="79"/>
        <v>#N/A</v>
      </c>
      <c r="BD163" s="2" t="e">
        <f t="shared" ca="1" si="80"/>
        <v>#N/A</v>
      </c>
      <c r="BE163" s="2" t="e">
        <f t="shared" ca="1" si="81"/>
        <v>#N/A</v>
      </c>
      <c r="BF163" s="2" t="e">
        <f t="shared" ca="1" si="82"/>
        <v>#N/A</v>
      </c>
      <c r="BG163" s="2" t="e">
        <f t="shared" ca="1" si="83"/>
        <v>#N/A</v>
      </c>
      <c r="BH163" s="2" t="e">
        <f t="shared" ca="1" si="84"/>
        <v>#N/A</v>
      </c>
      <c r="BI163" s="2" t="e">
        <f t="shared" ca="1" si="85"/>
        <v>#N/A</v>
      </c>
    </row>
    <row r="164" spans="1:61" ht="15" x14ac:dyDescent="0.25">
      <c r="A164" s="66">
        <v>98</v>
      </c>
      <c r="B164" s="66">
        <v>1498730171.1029999</v>
      </c>
      <c r="C164" s="67">
        <v>-2.4803989500646499E-5</v>
      </c>
      <c r="D164" s="67">
        <v>-2.7923350232006299E-5</v>
      </c>
      <c r="E164" s="67">
        <v>8.8312317726542205E-4</v>
      </c>
      <c r="F164" s="67">
        <v>-8.6680515564340599E-5</v>
      </c>
      <c r="G164" s="67">
        <v>-4.99314576536589E-5</v>
      </c>
      <c r="H164" s="67">
        <v>1.12263109380885E-3</v>
      </c>
      <c r="I164" s="67">
        <v>-2.7923350232006299E-5</v>
      </c>
      <c r="J164" s="67">
        <v>5.0666279930270102E-4</v>
      </c>
      <c r="K164" s="67">
        <v>6.8247141285053201E-3</v>
      </c>
      <c r="L164" s="67"/>
      <c r="M164" s="67"/>
      <c r="O164" s="11">
        <f t="shared" ca="1" si="43"/>
        <v>-3.7607920210606527E-5</v>
      </c>
      <c r="P164" s="11">
        <f t="shared" ca="1" si="44"/>
        <v>-2.8688450462311041E-5</v>
      </c>
      <c r="Q164" s="11">
        <f t="shared" ca="1" si="45"/>
        <v>4.6631564997138154E-5</v>
      </c>
      <c r="R164" s="11">
        <f t="shared" ca="1" si="46"/>
        <v>-9.832700321068772E-5</v>
      </c>
      <c r="S164" s="11">
        <f t="shared" ca="1" si="47"/>
        <v>-6.0859109700629021E-5</v>
      </c>
      <c r="T164" s="11">
        <f t="shared" ca="1" si="48"/>
        <v>-1.5923944773452115E-5</v>
      </c>
      <c r="U164" s="11">
        <f t="shared" ca="1" si="49"/>
        <v>-2.8688450462311041E-5</v>
      </c>
      <c r="V164" s="11">
        <f t="shared" ca="1" si="50"/>
        <v>-1.4353320639107334E-4</v>
      </c>
      <c r="W164" s="11">
        <f t="shared" ca="1" si="51"/>
        <v>-2.9813413499966794E-4</v>
      </c>
      <c r="X164" s="11"/>
      <c r="Y164" s="2">
        <f t="shared" ca="1" si="52"/>
        <v>-3.7607920210606527E-5</v>
      </c>
      <c r="Z164" s="11">
        <f t="shared" ca="1" si="53"/>
        <v>-2.8688450462311041E-5</v>
      </c>
      <c r="AA164" s="2">
        <f t="shared" ca="1" si="54"/>
        <v>4.6631564997138154E-5</v>
      </c>
      <c r="AB164" s="2">
        <f t="shared" ca="1" si="55"/>
        <v>-9.832700321068772E-5</v>
      </c>
      <c r="AC164" s="2">
        <f t="shared" ca="1" si="56"/>
        <v>-6.0859109700629021E-5</v>
      </c>
      <c r="AD164" s="2">
        <f t="shared" ca="1" si="57"/>
        <v>-1.5923944773452115E-5</v>
      </c>
      <c r="AE164" s="2">
        <f t="shared" ca="1" si="58"/>
        <v>-2.8688450462311041E-5</v>
      </c>
      <c r="AF164" s="2">
        <f t="shared" ca="1" si="59"/>
        <v>-1.4353320639107334E-4</v>
      </c>
      <c r="AG164" s="2">
        <f t="shared" ca="1" si="60"/>
        <v>-2.9813413499966794E-4</v>
      </c>
      <c r="AI164" s="2">
        <f t="shared" ca="1" si="61"/>
        <v>-3.7607920210606527E-5</v>
      </c>
      <c r="AJ164" s="11">
        <f t="shared" ca="1" si="62"/>
        <v>-2.8688450462311041E-5</v>
      </c>
      <c r="AK164" s="2">
        <f t="shared" ca="1" si="63"/>
        <v>4.6631564997138154E-5</v>
      </c>
      <c r="AL164" s="2">
        <f t="shared" ca="1" si="64"/>
        <v>-9.832700321068772E-5</v>
      </c>
      <c r="AM164" s="2">
        <f t="shared" ca="1" si="65"/>
        <v>-6.0859109700629021E-5</v>
      </c>
      <c r="AN164" s="2">
        <f t="shared" ca="1" si="66"/>
        <v>-1.5923944773452115E-5</v>
      </c>
      <c r="AO164" s="2">
        <f t="shared" ca="1" si="67"/>
        <v>-2.8688450462311041E-5</v>
      </c>
      <c r="AP164" s="2">
        <f t="shared" ca="1" si="68"/>
        <v>-1.4353320639107334E-4</v>
      </c>
      <c r="AQ164" s="2">
        <f t="shared" ca="1" si="69"/>
        <v>-2.9813413499966794E-4</v>
      </c>
      <c r="AS164" s="2" t="e">
        <f t="shared" ca="1" si="70"/>
        <v>#N/A</v>
      </c>
      <c r="AT164" s="2" t="e">
        <f t="shared" ca="1" si="71"/>
        <v>#N/A</v>
      </c>
      <c r="AU164" s="2" t="e">
        <f t="shared" ca="1" si="72"/>
        <v>#N/A</v>
      </c>
      <c r="AV164" s="2" t="e">
        <f t="shared" ca="1" si="73"/>
        <v>#N/A</v>
      </c>
      <c r="AW164" s="2" t="e">
        <f t="shared" ca="1" si="74"/>
        <v>#N/A</v>
      </c>
      <c r="AX164" s="2" t="e">
        <f t="shared" ca="1" si="75"/>
        <v>#N/A</v>
      </c>
      <c r="AY164" s="9" t="e">
        <f t="shared" ca="1" si="76"/>
        <v>#N/A</v>
      </c>
      <c r="AZ164" s="9" t="e">
        <f t="shared" ca="1" si="77"/>
        <v>#N/A</v>
      </c>
      <c r="BB164" s="2" t="e">
        <f t="shared" ca="1" si="78"/>
        <v>#N/A</v>
      </c>
      <c r="BC164" s="2" t="e">
        <f t="shared" ca="1" si="79"/>
        <v>#N/A</v>
      </c>
      <c r="BD164" s="2" t="e">
        <f t="shared" ca="1" si="80"/>
        <v>#N/A</v>
      </c>
      <c r="BE164" s="2" t="e">
        <f t="shared" ca="1" si="81"/>
        <v>#N/A</v>
      </c>
      <c r="BF164" s="2" t="e">
        <f t="shared" ca="1" si="82"/>
        <v>#N/A</v>
      </c>
      <c r="BG164" s="2" t="e">
        <f t="shared" ca="1" si="83"/>
        <v>#N/A</v>
      </c>
      <c r="BH164" s="2" t="e">
        <f t="shared" ca="1" si="84"/>
        <v>#N/A</v>
      </c>
      <c r="BI164" s="2" t="e">
        <f t="shared" ca="1" si="85"/>
        <v>#N/A</v>
      </c>
    </row>
    <row r="165" spans="1:61" ht="15" x14ac:dyDescent="0.25">
      <c r="A165" s="66">
        <v>99</v>
      </c>
      <c r="B165" s="66">
        <v>1498730171.6300001</v>
      </c>
      <c r="C165" s="67">
        <v>-2.7874779665242701E-5</v>
      </c>
      <c r="D165" s="67">
        <v>5.2872158262308699E-5</v>
      </c>
      <c r="E165" s="67">
        <v>8.24455338740439E-4</v>
      </c>
      <c r="F165" s="67">
        <v>-2.2172730181832599E-6</v>
      </c>
      <c r="G165" s="67">
        <v>-1.05138466620363E-5</v>
      </c>
      <c r="H165" s="67">
        <v>1.1977377599131499E-3</v>
      </c>
      <c r="I165" s="67">
        <v>5.2872158262308699E-5</v>
      </c>
      <c r="J165" s="67">
        <v>6.04501688163377E-4</v>
      </c>
      <c r="K165" s="67">
        <v>6.7760138120587197E-3</v>
      </c>
      <c r="L165" s="67"/>
      <c r="M165" s="67"/>
      <c r="O165" s="11">
        <f t="shared" ca="1" si="43"/>
        <v>-4.0678710375202732E-5</v>
      </c>
      <c r="P165" s="11">
        <f t="shared" ca="1" si="44"/>
        <v>5.2107058032003961E-5</v>
      </c>
      <c r="Q165" s="11">
        <f t="shared" ca="1" si="45"/>
        <v>-1.2036273527844896E-5</v>
      </c>
      <c r="R165" s="11">
        <f t="shared" ca="1" si="46"/>
        <v>-1.3863760664530383E-5</v>
      </c>
      <c r="S165" s="11">
        <f t="shared" ca="1" si="47"/>
        <v>-2.1441498709006424E-5</v>
      </c>
      <c r="T165" s="11">
        <f t="shared" ca="1" si="48"/>
        <v>5.9182721330847772E-5</v>
      </c>
      <c r="U165" s="11">
        <f t="shared" ca="1" si="49"/>
        <v>5.2107058032003961E-5</v>
      </c>
      <c r="V165" s="11">
        <f t="shared" ca="1" si="50"/>
        <v>-4.5694317530397361E-5</v>
      </c>
      <c r="W165" s="11">
        <f t="shared" ca="1" si="51"/>
        <v>-3.4683445144626825E-4</v>
      </c>
      <c r="X165" s="11"/>
      <c r="Y165" s="2">
        <f t="shared" ca="1" si="52"/>
        <v>-4.0678710375202732E-5</v>
      </c>
      <c r="Z165" s="11">
        <f t="shared" ca="1" si="53"/>
        <v>5.2107058032003961E-5</v>
      </c>
      <c r="AA165" s="2">
        <f t="shared" ca="1" si="54"/>
        <v>-1.2434931513906058E-5</v>
      </c>
      <c r="AB165" s="2">
        <f t="shared" ca="1" si="55"/>
        <v>-2.3513096008965321E-5</v>
      </c>
      <c r="AC165" s="2">
        <f t="shared" ca="1" si="56"/>
        <v>-2.1441498709006424E-5</v>
      </c>
      <c r="AD165" s="2">
        <f t="shared" ca="1" si="57"/>
        <v>-1.0990144624690805E-5</v>
      </c>
      <c r="AE165" s="2">
        <f t="shared" ca="1" si="58"/>
        <v>5.2107058032003961E-5</v>
      </c>
      <c r="AF165" s="2">
        <f t="shared" ca="1" si="59"/>
        <v>-1.4932274288436412E-4</v>
      </c>
      <c r="AG165" s="2">
        <f t="shared" ca="1" si="60"/>
        <v>-3.8888445573900197E-4</v>
      </c>
      <c r="AI165" s="2">
        <f t="shared" ca="1" si="61"/>
        <v>-4.0678710375202732E-5</v>
      </c>
      <c r="AJ165" s="11">
        <f t="shared" ca="1" si="62"/>
        <v>5.2107058032003961E-5</v>
      </c>
      <c r="AK165" s="2">
        <f t="shared" ca="1" si="63"/>
        <v>-7.3911618805367967E-5</v>
      </c>
      <c r="AL165" s="2">
        <f t="shared" ca="1" si="64"/>
        <v>-5.2286753563932514E-5</v>
      </c>
      <c r="AM165" s="2">
        <f t="shared" ca="1" si="65"/>
        <v>-2.1441498709006424E-5</v>
      </c>
      <c r="AN165" s="2">
        <f t="shared" ca="1" si="66"/>
        <v>-1.0990144624690805E-5</v>
      </c>
      <c r="AO165" s="2">
        <f t="shared" ca="1" si="67"/>
        <v>5.2107058032003961E-5</v>
      </c>
      <c r="AP165" s="2">
        <f t="shared" ca="1" si="68"/>
        <v>-1.4932274288436412E-4</v>
      </c>
      <c r="AQ165" s="2">
        <f t="shared" ca="1" si="69"/>
        <v>-3.8888445573900197E-4</v>
      </c>
      <c r="AS165" s="2" t="e">
        <f t="shared" ca="1" si="70"/>
        <v>#N/A</v>
      </c>
      <c r="AT165" s="2" t="e">
        <f t="shared" ca="1" si="71"/>
        <v>#N/A</v>
      </c>
      <c r="AU165" s="2" t="e">
        <f t="shared" ca="1" si="72"/>
        <v>#N/A</v>
      </c>
      <c r="AV165" s="2" t="e">
        <f t="shared" ca="1" si="73"/>
        <v>#N/A</v>
      </c>
      <c r="AW165" s="2" t="e">
        <f t="shared" ca="1" si="74"/>
        <v>#N/A</v>
      </c>
      <c r="AX165" s="2" t="e">
        <f t="shared" ca="1" si="75"/>
        <v>#N/A</v>
      </c>
      <c r="AY165" s="9" t="e">
        <f t="shared" ca="1" si="76"/>
        <v>#N/A</v>
      </c>
      <c r="AZ165" s="9" t="e">
        <f t="shared" ca="1" si="77"/>
        <v>#N/A</v>
      </c>
      <c r="BB165" s="2" t="e">
        <f t="shared" ca="1" si="78"/>
        <v>#N/A</v>
      </c>
      <c r="BC165" s="2" t="e">
        <f t="shared" ca="1" si="79"/>
        <v>#N/A</v>
      </c>
      <c r="BD165" s="2" t="e">
        <f t="shared" ca="1" si="80"/>
        <v>#N/A</v>
      </c>
      <c r="BE165" s="2" t="e">
        <f t="shared" ca="1" si="81"/>
        <v>#N/A</v>
      </c>
      <c r="BF165" s="2" t="e">
        <f t="shared" ca="1" si="82"/>
        <v>#N/A</v>
      </c>
      <c r="BG165" s="2" t="e">
        <f t="shared" ca="1" si="83"/>
        <v>#N/A</v>
      </c>
      <c r="BH165" s="2" t="e">
        <f t="shared" ca="1" si="84"/>
        <v>#N/A</v>
      </c>
      <c r="BI165" s="2" t="e">
        <f t="shared" ca="1" si="85"/>
        <v>#N/A</v>
      </c>
    </row>
    <row r="166" spans="1:61" ht="15" x14ac:dyDescent="0.25">
      <c r="A166" s="66">
        <v>100</v>
      </c>
      <c r="B166" s="66">
        <v>1498730172.1570001</v>
      </c>
      <c r="C166" s="67">
        <v>-1.3938040294217699E-5</v>
      </c>
      <c r="D166" s="67">
        <v>-1.8122725012681899E-5</v>
      </c>
      <c r="E166" s="67">
        <v>8.5199287746030199E-4</v>
      </c>
      <c r="F166" s="67">
        <v>-1.0782885087271801E-5</v>
      </c>
      <c r="G166" s="67">
        <v>-7.6138410703806395E-5</v>
      </c>
      <c r="H166" s="67">
        <v>1.0728015287656599E-3</v>
      </c>
      <c r="I166" s="67">
        <v>-1.8122725012681899E-5</v>
      </c>
      <c r="J166" s="67">
        <v>5.6531748621401802E-4</v>
      </c>
      <c r="K166" s="67">
        <v>6.7958278711254304E-3</v>
      </c>
      <c r="L166" s="67"/>
      <c r="M166" s="67"/>
      <c r="O166" s="11">
        <f t="shared" ca="1" si="43"/>
        <v>-2.6741971004177726E-5</v>
      </c>
      <c r="P166" s="11">
        <f t="shared" ca="1" si="44"/>
        <v>-1.8887825242986641E-5</v>
      </c>
      <c r="Q166" s="11">
        <f t="shared" ca="1" si="45"/>
        <v>1.5501265192018098E-5</v>
      </c>
      <c r="R166" s="11">
        <f t="shared" ca="1" si="46"/>
        <v>-2.2429372733618924E-5</v>
      </c>
      <c r="S166" s="11">
        <f t="shared" ca="1" si="47"/>
        <v>-8.7066062750776522E-5</v>
      </c>
      <c r="T166" s="11">
        <f t="shared" ca="1" si="48"/>
        <v>-6.5753509816642236E-5</v>
      </c>
      <c r="U166" s="11">
        <f t="shared" ca="1" si="49"/>
        <v>-1.8887825242986641E-5</v>
      </c>
      <c r="V166" s="11">
        <f t="shared" ca="1" si="50"/>
        <v>-8.487851947975634E-5</v>
      </c>
      <c r="W166" s="11">
        <f t="shared" ca="1" si="51"/>
        <v>-3.2702039237955758E-4</v>
      </c>
      <c r="X166" s="11"/>
      <c r="Y166" s="2">
        <f t="shared" ca="1" si="52"/>
        <v>-2.6741971004177726E-5</v>
      </c>
      <c r="Z166" s="11">
        <f t="shared" ca="1" si="53"/>
        <v>-1.8887825242986641E-5</v>
      </c>
      <c r="AA166" s="2">
        <f t="shared" ca="1" si="54"/>
        <v>1.5501265192018098E-5</v>
      </c>
      <c r="AB166" s="2">
        <f t="shared" ca="1" si="55"/>
        <v>-2.2429372733618924E-5</v>
      </c>
      <c r="AC166" s="2">
        <f t="shared" ca="1" si="56"/>
        <v>-8.7066062750776522E-5</v>
      </c>
      <c r="AD166" s="2">
        <f t="shared" ca="1" si="57"/>
        <v>-6.5753509816642236E-5</v>
      </c>
      <c r="AE166" s="2">
        <f t="shared" ca="1" si="58"/>
        <v>-1.8887825242986641E-5</v>
      </c>
      <c r="AF166" s="2">
        <f t="shared" ca="1" si="59"/>
        <v>-8.487851947975634E-5</v>
      </c>
      <c r="AG166" s="2">
        <f t="shared" ca="1" si="60"/>
        <v>-3.2702039237955758E-4</v>
      </c>
      <c r="AI166" s="2">
        <f t="shared" ca="1" si="61"/>
        <v>-2.6741971004177726E-5</v>
      </c>
      <c r="AJ166" s="11">
        <f t="shared" ca="1" si="62"/>
        <v>-1.8887825242986641E-5</v>
      </c>
      <c r="AK166" s="2">
        <f t="shared" ca="1" si="63"/>
        <v>1.5501265192018098E-5</v>
      </c>
      <c r="AL166" s="2">
        <f t="shared" ca="1" si="64"/>
        <v>-2.2429372733618924E-5</v>
      </c>
      <c r="AM166" s="2">
        <f t="shared" ca="1" si="65"/>
        <v>-8.7066062750776522E-5</v>
      </c>
      <c r="AN166" s="2">
        <f t="shared" ca="1" si="66"/>
        <v>-6.5753509816642236E-5</v>
      </c>
      <c r="AO166" s="2">
        <f t="shared" ca="1" si="67"/>
        <v>-1.8887825242986641E-5</v>
      </c>
      <c r="AP166" s="2">
        <f t="shared" ca="1" si="68"/>
        <v>-8.487851947975634E-5</v>
      </c>
      <c r="AQ166" s="2">
        <f t="shared" ca="1" si="69"/>
        <v>-3.2702039237955758E-4</v>
      </c>
      <c r="AS166" s="2" t="e">
        <f t="shared" ca="1" si="70"/>
        <v>#N/A</v>
      </c>
      <c r="AT166" s="2" t="e">
        <f t="shared" ca="1" si="71"/>
        <v>#N/A</v>
      </c>
      <c r="AU166" s="2" t="e">
        <f t="shared" ca="1" si="72"/>
        <v>#N/A</v>
      </c>
      <c r="AV166" s="2" t="e">
        <f t="shared" ca="1" si="73"/>
        <v>#N/A</v>
      </c>
      <c r="AW166" s="2" t="e">
        <f t="shared" ca="1" si="74"/>
        <v>#N/A</v>
      </c>
      <c r="AX166" s="2" t="e">
        <f t="shared" ca="1" si="75"/>
        <v>#N/A</v>
      </c>
      <c r="AY166" s="9" t="e">
        <f t="shared" ca="1" si="76"/>
        <v>#N/A</v>
      </c>
      <c r="AZ166" s="9" t="e">
        <f t="shared" ca="1" si="77"/>
        <v>#N/A</v>
      </c>
      <c r="BB166" s="2" t="e">
        <f t="shared" ca="1" si="78"/>
        <v>#N/A</v>
      </c>
      <c r="BC166" s="2" t="e">
        <f t="shared" ca="1" si="79"/>
        <v>#N/A</v>
      </c>
      <c r="BD166" s="2" t="e">
        <f t="shared" ca="1" si="80"/>
        <v>#N/A</v>
      </c>
      <c r="BE166" s="2" t="e">
        <f t="shared" ca="1" si="81"/>
        <v>#N/A</v>
      </c>
      <c r="BF166" s="2" t="e">
        <f t="shared" ca="1" si="82"/>
        <v>#N/A</v>
      </c>
      <c r="BG166" s="2" t="e">
        <f t="shared" ca="1" si="83"/>
        <v>#N/A</v>
      </c>
      <c r="BH166" s="2" t="e">
        <f t="shared" ca="1" si="84"/>
        <v>#N/A</v>
      </c>
      <c r="BI166" s="2" t="e">
        <f t="shared" ca="1" si="85"/>
        <v>#N/A</v>
      </c>
    </row>
    <row r="167" spans="1:61" ht="15" x14ac:dyDescent="0.25">
      <c r="A167" s="66">
        <v>101</v>
      </c>
      <c r="B167" s="66">
        <v>1498730172.684</v>
      </c>
      <c r="C167" s="67">
        <v>1.65244251589724E-6</v>
      </c>
      <c r="D167" s="67">
        <v>9.7976161224528003E-5</v>
      </c>
      <c r="E167" s="67">
        <v>8.5989509305504301E-4</v>
      </c>
      <c r="F167" s="67">
        <v>-6.1937094237425806E-5</v>
      </c>
      <c r="G167" s="67">
        <v>5.5908008573830597E-5</v>
      </c>
      <c r="H167" s="67">
        <v>1.06541075203833E-3</v>
      </c>
      <c r="I167" s="67">
        <v>9.7976161224528003E-5</v>
      </c>
      <c r="J167" s="67">
        <v>7.1945089222825098E-4</v>
      </c>
      <c r="K167" s="67">
        <v>6.90875160851105E-3</v>
      </c>
      <c r="L167" s="67"/>
      <c r="M167" s="67"/>
      <c r="O167" s="11">
        <f t="shared" ca="1" si="43"/>
        <v>-1.1151488194062787E-5</v>
      </c>
      <c r="P167" s="11">
        <f t="shared" ca="1" si="44"/>
        <v>9.7211060994223264E-5</v>
      </c>
      <c r="Q167" s="11">
        <f t="shared" ca="1" si="45"/>
        <v>2.3403480786759112E-5</v>
      </c>
      <c r="R167" s="11">
        <f t="shared" ca="1" si="46"/>
        <v>-7.3583581883772926E-5</v>
      </c>
      <c r="S167" s="11">
        <f t="shared" ca="1" si="47"/>
        <v>4.4980356526860477E-5</v>
      </c>
      <c r="T167" s="11">
        <f t="shared" ca="1" si="48"/>
        <v>-7.3144286543972174E-5</v>
      </c>
      <c r="U167" s="11">
        <f t="shared" ca="1" si="49"/>
        <v>9.7211060994223264E-5</v>
      </c>
      <c r="V167" s="11">
        <f t="shared" ca="1" si="50"/>
        <v>6.9254886534476619E-5</v>
      </c>
      <c r="W167" s="11">
        <f t="shared" ca="1" si="51"/>
        <v>-2.1409665499393798E-4</v>
      </c>
      <c r="X167" s="11"/>
      <c r="Y167" s="2">
        <f t="shared" ca="1" si="52"/>
        <v>-1.1151488194062787E-5</v>
      </c>
      <c r="Z167" s="11">
        <f t="shared" ca="1" si="53"/>
        <v>9.7211060994223264E-5</v>
      </c>
      <c r="AA167" s="2">
        <f t="shared" ca="1" si="54"/>
        <v>2.2659743426361156E-5</v>
      </c>
      <c r="AB167" s="2">
        <f t="shared" ca="1" si="55"/>
        <v>-9.1585406629768931E-5</v>
      </c>
      <c r="AC167" s="2">
        <f t="shared" ca="1" si="56"/>
        <v>4.4980356526860477E-5</v>
      </c>
      <c r="AD167" s="2">
        <f t="shared" ca="1" si="57"/>
        <v>-2.0405896509583988E-4</v>
      </c>
      <c r="AE167" s="2">
        <f t="shared" ca="1" si="58"/>
        <v>9.7211060994223264E-5</v>
      </c>
      <c r="AF167" s="2">
        <f t="shared" ca="1" si="59"/>
        <v>-1.2407456936442418E-4</v>
      </c>
      <c r="AG167" s="2">
        <f t="shared" ca="1" si="60"/>
        <v>-2.9254525075994006E-4</v>
      </c>
      <c r="AI167" s="2">
        <f t="shared" ca="1" si="61"/>
        <v>-1.1151488194062787E-5</v>
      </c>
      <c r="AJ167" s="11">
        <f t="shared" ca="1" si="62"/>
        <v>9.7211060994223264E-5</v>
      </c>
      <c r="AK167" s="2">
        <f t="shared" ca="1" si="63"/>
        <v>-9.2031321924949304E-5</v>
      </c>
      <c r="AL167" s="2">
        <f t="shared" ca="1" si="64"/>
        <v>-1.4526561589978432E-4</v>
      </c>
      <c r="AM167" s="2">
        <f t="shared" ca="1" si="65"/>
        <v>4.4980356526860477E-5</v>
      </c>
      <c r="AN167" s="2">
        <f t="shared" ca="1" si="66"/>
        <v>-2.0405896509583988E-4</v>
      </c>
      <c r="AO167" s="2">
        <f t="shared" ca="1" si="67"/>
        <v>9.7211060994223264E-5</v>
      </c>
      <c r="AP167" s="2">
        <f t="shared" ca="1" si="68"/>
        <v>-1.2407456936442418E-4</v>
      </c>
      <c r="AQ167" s="2">
        <f t="shared" ca="1" si="69"/>
        <v>-2.9254525075994006E-4</v>
      </c>
      <c r="AS167" s="2" t="e">
        <f t="shared" ca="1" si="70"/>
        <v>#N/A</v>
      </c>
      <c r="AT167" s="2" t="e">
        <f t="shared" ca="1" si="71"/>
        <v>#N/A</v>
      </c>
      <c r="AU167" s="2" t="e">
        <f t="shared" ca="1" si="72"/>
        <v>#N/A</v>
      </c>
      <c r="AV167" s="2" t="e">
        <f t="shared" ca="1" si="73"/>
        <v>#N/A</v>
      </c>
      <c r="AW167" s="2" t="e">
        <f t="shared" ca="1" si="74"/>
        <v>#N/A</v>
      </c>
      <c r="AX167" s="2" t="e">
        <f t="shared" ca="1" si="75"/>
        <v>#N/A</v>
      </c>
      <c r="AY167" s="9" t="e">
        <f t="shared" ca="1" si="76"/>
        <v>#N/A</v>
      </c>
      <c r="AZ167" s="9" t="e">
        <f t="shared" ca="1" si="77"/>
        <v>#N/A</v>
      </c>
      <c r="BB167" s="2" t="e">
        <f t="shared" ca="1" si="78"/>
        <v>#N/A</v>
      </c>
      <c r="BC167" s="2" t="e">
        <f t="shared" ca="1" si="79"/>
        <v>#N/A</v>
      </c>
      <c r="BD167" s="2" t="e">
        <f t="shared" ca="1" si="80"/>
        <v>#N/A</v>
      </c>
      <c r="BE167" s="2" t="e">
        <f t="shared" ca="1" si="81"/>
        <v>#N/A</v>
      </c>
      <c r="BF167" s="2" t="e">
        <f t="shared" ca="1" si="82"/>
        <v>#N/A</v>
      </c>
      <c r="BG167" s="2" t="e">
        <f t="shared" ca="1" si="83"/>
        <v>#N/A</v>
      </c>
      <c r="BH167" s="2" t="e">
        <f t="shared" ca="1" si="84"/>
        <v>#N/A</v>
      </c>
      <c r="BI167" s="2" t="e">
        <f t="shared" ca="1" si="85"/>
        <v>#N/A</v>
      </c>
    </row>
    <row r="168" spans="1:61" ht="15" x14ac:dyDescent="0.25">
      <c r="A168" s="66">
        <v>102</v>
      </c>
      <c r="B168" s="66">
        <v>1498730173.211</v>
      </c>
      <c r="C168" s="67">
        <v>4.2508801354142498E-6</v>
      </c>
      <c r="D168" s="67">
        <v>1.8121373253286E-6</v>
      </c>
      <c r="E168" s="67">
        <v>8.0721482884753802E-4</v>
      </c>
      <c r="F168" s="67">
        <v>-5.1706462036289798E-5</v>
      </c>
      <c r="G168" s="67">
        <v>1.7170238850275899E-5</v>
      </c>
      <c r="H168" s="67">
        <v>1.1862925704222401E-3</v>
      </c>
      <c r="I168" s="67">
        <v>1.8121373253286E-6</v>
      </c>
      <c r="J168" s="67">
        <v>4.8267948740441698E-4</v>
      </c>
      <c r="K168" s="67">
        <v>6.7853239838252402E-3</v>
      </c>
      <c r="L168" s="67"/>
      <c r="M168" s="67"/>
      <c r="O168" s="11">
        <f t="shared" ca="1" si="43"/>
        <v>-8.553050574545778E-6</v>
      </c>
      <c r="P168" s="11">
        <f t="shared" ca="1" si="44"/>
        <v>1.0470370950238595E-6</v>
      </c>
      <c r="Q168" s="11">
        <f t="shared" ca="1" si="45"/>
        <v>-2.9276783420745874E-5</v>
      </c>
      <c r="R168" s="11">
        <f t="shared" ca="1" si="46"/>
        <v>-6.3352949682636919E-5</v>
      </c>
      <c r="S168" s="11">
        <f t="shared" ca="1" si="47"/>
        <v>6.2425868033057762E-6</v>
      </c>
      <c r="T168" s="11">
        <f t="shared" ca="1" si="48"/>
        <v>4.7737531839937928E-5</v>
      </c>
      <c r="U168" s="11">
        <f t="shared" ca="1" si="49"/>
        <v>1.0470370950238595E-6</v>
      </c>
      <c r="V168" s="11">
        <f t="shared" ca="1" si="50"/>
        <v>-1.6751651828935738E-4</v>
      </c>
      <c r="W168" s="11">
        <f t="shared" ca="1" si="51"/>
        <v>-3.3752427967974775E-4</v>
      </c>
      <c r="X168" s="11"/>
      <c r="Y168" s="2">
        <f t="shared" ca="1" si="52"/>
        <v>-8.553050574545778E-6</v>
      </c>
      <c r="Z168" s="11">
        <f t="shared" ca="1" si="53"/>
        <v>1.0470370950238595E-6</v>
      </c>
      <c r="AA168" s="2">
        <f t="shared" ca="1" si="54"/>
        <v>-2.9284794038028799E-5</v>
      </c>
      <c r="AB168" s="2">
        <f t="shared" ca="1" si="55"/>
        <v>-6.3546843032780443E-5</v>
      </c>
      <c r="AC168" s="2">
        <f t="shared" ca="1" si="56"/>
        <v>6.2425868033057762E-6</v>
      </c>
      <c r="AD168" s="2">
        <f t="shared" ca="1" si="57"/>
        <v>4.6327481138659444E-5</v>
      </c>
      <c r="AE168" s="2">
        <f t="shared" ca="1" si="58"/>
        <v>1.0470370950238595E-6</v>
      </c>
      <c r="AF168" s="2">
        <f t="shared" ca="1" si="59"/>
        <v>-1.695988236342086E-4</v>
      </c>
      <c r="AG168" s="2">
        <f t="shared" ca="1" si="60"/>
        <v>-3.3836923074786145E-4</v>
      </c>
      <c r="AI168" s="2">
        <f t="shared" ca="1" si="61"/>
        <v>-8.553050574545778E-6</v>
      </c>
      <c r="AJ168" s="11">
        <f t="shared" ca="1" si="62"/>
        <v>1.0470370950238595E-6</v>
      </c>
      <c r="AK168" s="2">
        <f t="shared" ca="1" si="63"/>
        <v>-3.0520104080553318E-5</v>
      </c>
      <c r="AL168" s="2">
        <f t="shared" ca="1" si="64"/>
        <v>-6.4125019732011096E-5</v>
      </c>
      <c r="AM168" s="2">
        <f t="shared" ca="1" si="65"/>
        <v>6.2425868033057762E-6</v>
      </c>
      <c r="AN168" s="2">
        <f t="shared" ca="1" si="66"/>
        <v>4.6327481138659444E-5</v>
      </c>
      <c r="AO168" s="2">
        <f t="shared" ca="1" si="67"/>
        <v>1.0470370950238595E-6</v>
      </c>
      <c r="AP168" s="2">
        <f t="shared" ca="1" si="68"/>
        <v>-1.695988236342086E-4</v>
      </c>
      <c r="AQ168" s="2">
        <f t="shared" ca="1" si="69"/>
        <v>-3.3836923074786145E-4</v>
      </c>
      <c r="AS168" s="2" t="e">
        <f t="shared" ca="1" si="70"/>
        <v>#N/A</v>
      </c>
      <c r="AT168" s="2" t="e">
        <f t="shared" ca="1" si="71"/>
        <v>#N/A</v>
      </c>
      <c r="AU168" s="2" t="e">
        <f t="shared" ca="1" si="72"/>
        <v>#N/A</v>
      </c>
      <c r="AV168" s="2" t="e">
        <f t="shared" ca="1" si="73"/>
        <v>#N/A</v>
      </c>
      <c r="AW168" s="2" t="e">
        <f t="shared" ca="1" si="74"/>
        <v>#N/A</v>
      </c>
      <c r="AX168" s="2" t="e">
        <f t="shared" ca="1" si="75"/>
        <v>#N/A</v>
      </c>
      <c r="AY168" s="9" t="e">
        <f t="shared" ca="1" si="76"/>
        <v>#N/A</v>
      </c>
      <c r="AZ168" s="9" t="e">
        <f t="shared" ca="1" si="77"/>
        <v>#N/A</v>
      </c>
      <c r="BB168" s="2" t="e">
        <f t="shared" ca="1" si="78"/>
        <v>#N/A</v>
      </c>
      <c r="BC168" s="2" t="e">
        <f t="shared" ca="1" si="79"/>
        <v>#N/A</v>
      </c>
      <c r="BD168" s="2" t="e">
        <f t="shared" ca="1" si="80"/>
        <v>#N/A</v>
      </c>
      <c r="BE168" s="2" t="e">
        <f t="shared" ca="1" si="81"/>
        <v>#N/A</v>
      </c>
      <c r="BF168" s="2" t="e">
        <f t="shared" ca="1" si="82"/>
        <v>#N/A</v>
      </c>
      <c r="BG168" s="2" t="e">
        <f t="shared" ca="1" si="83"/>
        <v>#N/A</v>
      </c>
      <c r="BH168" s="2" t="e">
        <f t="shared" ca="1" si="84"/>
        <v>#N/A</v>
      </c>
      <c r="BI168" s="2" t="e">
        <f t="shared" ca="1" si="85"/>
        <v>#N/A</v>
      </c>
    </row>
    <row r="169" spans="1:61" ht="15" x14ac:dyDescent="0.25">
      <c r="A169" s="66">
        <v>103</v>
      </c>
      <c r="B169" s="66">
        <v>1498730173.7379999</v>
      </c>
      <c r="C169" s="67">
        <v>3.18892286822359E-5</v>
      </c>
      <c r="D169" s="67">
        <v>7.4106806889311301E-6</v>
      </c>
      <c r="E169" s="67">
        <v>8.6779737075674704E-4</v>
      </c>
      <c r="F169" s="67">
        <v>-4.0999874238020401E-5</v>
      </c>
      <c r="G169" s="67">
        <v>1.126408826354E-4</v>
      </c>
      <c r="H169" s="67">
        <v>1.0940205137788201E-3</v>
      </c>
      <c r="I169" s="67">
        <v>7.4106806889311301E-6</v>
      </c>
      <c r="J169" s="67">
        <v>7.55553374916085E-4</v>
      </c>
      <c r="K169" s="67">
        <v>6.8953815383610197E-3</v>
      </c>
      <c r="L169" s="67"/>
      <c r="M169" s="67"/>
      <c r="O169" s="11">
        <f t="shared" ca="1" si="43"/>
        <v>1.9085297972275873E-5</v>
      </c>
      <c r="P169" s="11">
        <f t="shared" ca="1" si="44"/>
        <v>6.6455804586263898E-6</v>
      </c>
      <c r="Q169" s="11">
        <f t="shared" ca="1" si="45"/>
        <v>3.1305758488463144E-5</v>
      </c>
      <c r="R169" s="11">
        <f t="shared" ca="1" si="46"/>
        <v>-5.2646361884367522E-5</v>
      </c>
      <c r="S169" s="11">
        <f t="shared" ca="1" si="47"/>
        <v>1.0171323058842987E-4</v>
      </c>
      <c r="T169" s="11">
        <f t="shared" ca="1" si="48"/>
        <v>-4.4534524803482075E-5</v>
      </c>
      <c r="U169" s="11">
        <f t="shared" ca="1" si="49"/>
        <v>6.6455804586263898E-6</v>
      </c>
      <c r="V169" s="11">
        <f t="shared" ca="1" si="50"/>
        <v>1.0535736922231064E-4</v>
      </c>
      <c r="W169" s="11">
        <f t="shared" ca="1" si="51"/>
        <v>-2.2746672514396826E-4</v>
      </c>
      <c r="X169" s="11"/>
      <c r="Y169" s="2">
        <f t="shared" ca="1" si="52"/>
        <v>1.9085297972275873E-5</v>
      </c>
      <c r="Z169" s="11">
        <f t="shared" ca="1" si="53"/>
        <v>6.6455804586263898E-6</v>
      </c>
      <c r="AA169" s="2">
        <f t="shared" ca="1" si="54"/>
        <v>3.1254914825015169E-5</v>
      </c>
      <c r="AB169" s="2">
        <f t="shared" ca="1" si="55"/>
        <v>-5.3877009647369688E-5</v>
      </c>
      <c r="AC169" s="2">
        <f t="shared" ca="1" si="56"/>
        <v>1.0171323058842987E-4</v>
      </c>
      <c r="AD169" s="2">
        <f t="shared" ca="1" si="57"/>
        <v>-5.3484165108131639E-5</v>
      </c>
      <c r="AE169" s="2">
        <f t="shared" ca="1" si="58"/>
        <v>6.6455804586263898E-6</v>
      </c>
      <c r="AF169" s="2">
        <f t="shared" ca="1" si="59"/>
        <v>9.2140905570350758E-5</v>
      </c>
      <c r="AG169" s="2">
        <f t="shared" ca="1" si="60"/>
        <v>-2.3282965863833887E-4</v>
      </c>
      <c r="AI169" s="2">
        <f t="shared" ca="1" si="61"/>
        <v>1.9085297972275873E-5</v>
      </c>
      <c r="AJ169" s="11">
        <f t="shared" ca="1" si="62"/>
        <v>6.6455804586263898E-6</v>
      </c>
      <c r="AK169" s="2">
        <f t="shared" ca="1" si="63"/>
        <v>2.3414359492294297E-5</v>
      </c>
      <c r="AL169" s="2">
        <f t="shared" ca="1" si="64"/>
        <v>-5.7546717045800287E-5</v>
      </c>
      <c r="AM169" s="2">
        <f t="shared" ca="1" si="65"/>
        <v>1.0171323058842987E-4</v>
      </c>
      <c r="AN169" s="2">
        <f t="shared" ca="1" si="66"/>
        <v>-5.3484165108131639E-5</v>
      </c>
      <c r="AO169" s="2">
        <f t="shared" ca="1" si="67"/>
        <v>6.6455804586263898E-6</v>
      </c>
      <c r="AP169" s="2">
        <f t="shared" ca="1" si="68"/>
        <v>9.2140905570350758E-5</v>
      </c>
      <c r="AQ169" s="2">
        <f t="shared" ca="1" si="69"/>
        <v>-2.3282965863833887E-4</v>
      </c>
      <c r="AS169" s="2" t="e">
        <f t="shared" ca="1" si="70"/>
        <v>#N/A</v>
      </c>
      <c r="AT169" s="2" t="e">
        <f t="shared" ca="1" si="71"/>
        <v>#N/A</v>
      </c>
      <c r="AU169" s="2" t="e">
        <f t="shared" ca="1" si="72"/>
        <v>#N/A</v>
      </c>
      <c r="AV169" s="2" t="e">
        <f t="shared" ca="1" si="73"/>
        <v>#N/A</v>
      </c>
      <c r="AW169" s="2" t="e">
        <f t="shared" ca="1" si="74"/>
        <v>#N/A</v>
      </c>
      <c r="AX169" s="2" t="e">
        <f t="shared" ca="1" si="75"/>
        <v>#N/A</v>
      </c>
      <c r="AY169" s="9" t="e">
        <f t="shared" ca="1" si="76"/>
        <v>#N/A</v>
      </c>
      <c r="AZ169" s="9" t="e">
        <f t="shared" ca="1" si="77"/>
        <v>#N/A</v>
      </c>
      <c r="BB169" s="2" t="e">
        <f t="shared" ca="1" si="78"/>
        <v>#N/A</v>
      </c>
      <c r="BC169" s="2" t="e">
        <f t="shared" ca="1" si="79"/>
        <v>#N/A</v>
      </c>
      <c r="BD169" s="2" t="e">
        <f t="shared" ca="1" si="80"/>
        <v>#N/A</v>
      </c>
      <c r="BE169" s="2" t="e">
        <f t="shared" ca="1" si="81"/>
        <v>#N/A</v>
      </c>
      <c r="BF169" s="2" t="e">
        <f t="shared" ca="1" si="82"/>
        <v>#N/A</v>
      </c>
      <c r="BG169" s="2" t="e">
        <f t="shared" ca="1" si="83"/>
        <v>#N/A</v>
      </c>
      <c r="BH169" s="2" t="e">
        <f t="shared" ca="1" si="84"/>
        <v>#N/A</v>
      </c>
      <c r="BI169" s="2" t="e">
        <f t="shared" ca="1" si="85"/>
        <v>#N/A</v>
      </c>
    </row>
    <row r="170" spans="1:61" ht="15" x14ac:dyDescent="0.25">
      <c r="A170" s="66">
        <v>104</v>
      </c>
      <c r="B170" s="66">
        <v>1498730174.2650001</v>
      </c>
      <c r="C170" s="67">
        <v>6.6142951211850597E-5</v>
      </c>
      <c r="D170" s="67">
        <v>-6.1710368452440098E-5</v>
      </c>
      <c r="E170" s="67">
        <v>8.2397643169594703E-4</v>
      </c>
      <c r="F170" s="67">
        <v>4.6798475805077902E-5</v>
      </c>
      <c r="G170" s="67">
        <v>4.9902071734915003E-5</v>
      </c>
      <c r="H170" s="67">
        <v>9.9508189931128699E-4</v>
      </c>
      <c r="I170" s="67">
        <v>-6.1710368452440098E-5</v>
      </c>
      <c r="J170" s="67">
        <v>5.7362915803320402E-4</v>
      </c>
      <c r="K170" s="67">
        <v>6.8213718743413698E-3</v>
      </c>
      <c r="L170" s="67"/>
      <c r="M170" s="67"/>
      <c r="O170" s="11">
        <f t="shared" ca="1" si="43"/>
        <v>5.3339020501890569E-5</v>
      </c>
      <c r="P170" s="11">
        <f t="shared" ca="1" si="44"/>
        <v>-6.2475468682744837E-5</v>
      </c>
      <c r="Q170" s="11">
        <f t="shared" ca="1" si="45"/>
        <v>-1.2515180572336866E-5</v>
      </c>
      <c r="R170" s="11">
        <f t="shared" ca="1" si="46"/>
        <v>3.5151988158730775E-5</v>
      </c>
      <c r="S170" s="11">
        <f t="shared" ca="1" si="47"/>
        <v>3.8974419687944882E-5</v>
      </c>
      <c r="T170" s="11">
        <f t="shared" ca="1" si="48"/>
        <v>-1.4347313927101516E-4</v>
      </c>
      <c r="U170" s="11">
        <f t="shared" ca="1" si="49"/>
        <v>-6.2475468682744837E-5</v>
      </c>
      <c r="V170" s="11">
        <f t="shared" ca="1" si="50"/>
        <v>-7.6566847660570342E-5</v>
      </c>
      <c r="W170" s="11">
        <f t="shared" ca="1" si="51"/>
        <v>-3.0147638916361817E-4</v>
      </c>
      <c r="X170" s="11"/>
      <c r="Y170" s="2">
        <f t="shared" ca="1" si="52"/>
        <v>5.3339020501890569E-5</v>
      </c>
      <c r="Z170" s="11">
        <f t="shared" ca="1" si="53"/>
        <v>-6.2475468682744837E-5</v>
      </c>
      <c r="AA170" s="2">
        <f t="shared" ca="1" si="54"/>
        <v>-1.2515180572336866E-5</v>
      </c>
      <c r="AB170" s="2">
        <f t="shared" ca="1" si="55"/>
        <v>3.5151988158730775E-5</v>
      </c>
      <c r="AC170" s="2">
        <f t="shared" ca="1" si="56"/>
        <v>3.8974419687944882E-5</v>
      </c>
      <c r="AD170" s="2">
        <f t="shared" ca="1" si="57"/>
        <v>-1.4347313927101516E-4</v>
      </c>
      <c r="AE170" s="2">
        <f t="shared" ca="1" si="58"/>
        <v>-6.2475468682744837E-5</v>
      </c>
      <c r="AF170" s="2">
        <f t="shared" ca="1" si="59"/>
        <v>-7.6566847660570342E-5</v>
      </c>
      <c r="AG170" s="2">
        <f t="shared" ca="1" si="60"/>
        <v>-3.0147638916361817E-4</v>
      </c>
      <c r="AI170" s="2">
        <f t="shared" ca="1" si="61"/>
        <v>5.3339020501890569E-5</v>
      </c>
      <c r="AJ170" s="11">
        <f t="shared" ca="1" si="62"/>
        <v>-6.2475468682744837E-5</v>
      </c>
      <c r="AK170" s="2">
        <f t="shared" ca="1" si="63"/>
        <v>-1.2515180572336866E-5</v>
      </c>
      <c r="AL170" s="2">
        <f t="shared" ca="1" si="64"/>
        <v>3.5151988158730775E-5</v>
      </c>
      <c r="AM170" s="2">
        <f t="shared" ca="1" si="65"/>
        <v>3.8974419687944882E-5</v>
      </c>
      <c r="AN170" s="2">
        <f t="shared" ca="1" si="66"/>
        <v>-1.4347313927101516E-4</v>
      </c>
      <c r="AO170" s="2">
        <f t="shared" ca="1" si="67"/>
        <v>-6.2475468682744837E-5</v>
      </c>
      <c r="AP170" s="2">
        <f t="shared" ca="1" si="68"/>
        <v>-7.6566847660570342E-5</v>
      </c>
      <c r="AQ170" s="2">
        <f t="shared" ca="1" si="69"/>
        <v>-3.0147638916361817E-4</v>
      </c>
      <c r="AS170" s="2" t="e">
        <f t="shared" ca="1" si="70"/>
        <v>#N/A</v>
      </c>
      <c r="AT170" s="2" t="e">
        <f t="shared" ca="1" si="71"/>
        <v>#N/A</v>
      </c>
      <c r="AU170" s="2" t="e">
        <f t="shared" ca="1" si="72"/>
        <v>#N/A</v>
      </c>
      <c r="AV170" s="2" t="e">
        <f t="shared" ca="1" si="73"/>
        <v>#N/A</v>
      </c>
      <c r="AW170" s="2" t="e">
        <f t="shared" ca="1" si="74"/>
        <v>#N/A</v>
      </c>
      <c r="AX170" s="2" t="e">
        <f t="shared" ca="1" si="75"/>
        <v>#N/A</v>
      </c>
      <c r="AY170" s="9" t="e">
        <f t="shared" ca="1" si="76"/>
        <v>#N/A</v>
      </c>
      <c r="AZ170" s="9" t="e">
        <f t="shared" ca="1" si="77"/>
        <v>#N/A</v>
      </c>
      <c r="BB170" s="2" t="e">
        <f t="shared" ca="1" si="78"/>
        <v>#N/A</v>
      </c>
      <c r="BC170" s="2" t="e">
        <f t="shared" ca="1" si="79"/>
        <v>#N/A</v>
      </c>
      <c r="BD170" s="2" t="e">
        <f t="shared" ca="1" si="80"/>
        <v>#N/A</v>
      </c>
      <c r="BE170" s="2" t="e">
        <f t="shared" ca="1" si="81"/>
        <v>#N/A</v>
      </c>
      <c r="BF170" s="2" t="e">
        <f t="shared" ca="1" si="82"/>
        <v>#N/A</v>
      </c>
      <c r="BG170" s="2" t="e">
        <f t="shared" ca="1" si="83"/>
        <v>#N/A</v>
      </c>
      <c r="BH170" s="2" t="e">
        <f t="shared" ca="1" si="84"/>
        <v>#N/A</v>
      </c>
      <c r="BI170" s="2" t="e">
        <f t="shared" ca="1" si="85"/>
        <v>#N/A</v>
      </c>
    </row>
    <row r="171" spans="1:61" ht="15" x14ac:dyDescent="0.25">
      <c r="A171" s="66">
        <v>105</v>
      </c>
      <c r="B171" s="66">
        <v>1498730174.7920001</v>
      </c>
      <c r="C171" s="67">
        <v>1.01342835982937E-4</v>
      </c>
      <c r="D171" s="67">
        <v>-1.3588132113237501E-5</v>
      </c>
      <c r="E171" s="67">
        <v>8.2900496704035496E-4</v>
      </c>
      <c r="F171" s="67">
        <v>4.4449204969696802E-6</v>
      </c>
      <c r="G171" s="67">
        <v>8.9536597689181796E-6</v>
      </c>
      <c r="H171" s="67">
        <v>1.1145246797192199E-3</v>
      </c>
      <c r="I171" s="67">
        <v>-1.3588132113237501E-5</v>
      </c>
      <c r="J171" s="67">
        <v>7.1351310898072802E-4</v>
      </c>
      <c r="K171" s="67">
        <v>6.9562645499657303E-3</v>
      </c>
      <c r="L171" s="67"/>
      <c r="M171" s="67"/>
      <c r="O171" s="11">
        <f t="shared" ca="1" si="43"/>
        <v>8.8538905272976981E-5</v>
      </c>
      <c r="P171" s="11">
        <f t="shared" ca="1" si="44"/>
        <v>-1.4353232343542241E-5</v>
      </c>
      <c r="Q171" s="11">
        <f t="shared" ca="1" si="45"/>
        <v>-7.4866452279289362E-6</v>
      </c>
      <c r="R171" s="11">
        <f t="shared" ca="1" si="46"/>
        <v>-7.2015671493774438E-6</v>
      </c>
      <c r="S171" s="11">
        <f t="shared" ca="1" si="47"/>
        <v>-1.9739922780519428E-6</v>
      </c>
      <c r="T171" s="11">
        <f t="shared" ca="1" si="48"/>
        <v>-2.4030358863082234E-5</v>
      </c>
      <c r="U171" s="11">
        <f t="shared" ca="1" si="49"/>
        <v>-1.4353232343542241E-5</v>
      </c>
      <c r="V171" s="11">
        <f t="shared" ca="1" si="50"/>
        <v>6.331710328695366E-5</v>
      </c>
      <c r="W171" s="11">
        <f t="shared" ca="1" si="51"/>
        <v>-1.6658371353925772E-4</v>
      </c>
      <c r="X171" s="11"/>
      <c r="Y171" s="2">
        <f t="shared" ca="1" si="52"/>
        <v>8.8538905272976981E-5</v>
      </c>
      <c r="Z171" s="11">
        <f t="shared" ca="1" si="53"/>
        <v>-1.4353232343542241E-5</v>
      </c>
      <c r="AA171" s="2">
        <f t="shared" ca="1" si="54"/>
        <v>-7.4866452279289362E-6</v>
      </c>
      <c r="AB171" s="2">
        <f t="shared" ca="1" si="55"/>
        <v>-7.2015671493774438E-6</v>
      </c>
      <c r="AC171" s="2">
        <f t="shared" ca="1" si="56"/>
        <v>-1.9739922780519428E-6</v>
      </c>
      <c r="AD171" s="2">
        <f t="shared" ca="1" si="57"/>
        <v>-2.4030358863082234E-5</v>
      </c>
      <c r="AE171" s="2">
        <f t="shared" ca="1" si="58"/>
        <v>-1.4353232343542241E-5</v>
      </c>
      <c r="AF171" s="2">
        <f t="shared" ca="1" si="59"/>
        <v>6.331710328695366E-5</v>
      </c>
      <c r="AG171" s="2">
        <f t="shared" ca="1" si="60"/>
        <v>-1.6658371353925772E-4</v>
      </c>
      <c r="AI171" s="2">
        <f t="shared" ca="1" si="61"/>
        <v>8.8538905272976981E-5</v>
      </c>
      <c r="AJ171" s="11">
        <f t="shared" ca="1" si="62"/>
        <v>-1.4353232343542241E-5</v>
      </c>
      <c r="AK171" s="2">
        <f t="shared" ca="1" si="63"/>
        <v>-7.4866452279289362E-6</v>
      </c>
      <c r="AL171" s="2">
        <f t="shared" ca="1" si="64"/>
        <v>-7.2015671493774438E-6</v>
      </c>
      <c r="AM171" s="2">
        <f t="shared" ca="1" si="65"/>
        <v>-1.9739922780519428E-6</v>
      </c>
      <c r="AN171" s="2">
        <f t="shared" ca="1" si="66"/>
        <v>-2.4030358863082234E-5</v>
      </c>
      <c r="AO171" s="2">
        <f t="shared" ca="1" si="67"/>
        <v>-1.4353232343542241E-5</v>
      </c>
      <c r="AP171" s="2">
        <f t="shared" ca="1" si="68"/>
        <v>6.331710328695366E-5</v>
      </c>
      <c r="AQ171" s="2">
        <f t="shared" ca="1" si="69"/>
        <v>-1.6658371353925772E-4</v>
      </c>
      <c r="AS171" s="2" t="e">
        <f t="shared" ca="1" si="70"/>
        <v>#N/A</v>
      </c>
      <c r="AT171" s="2" t="e">
        <f t="shared" ca="1" si="71"/>
        <v>#N/A</v>
      </c>
      <c r="AU171" s="2" t="e">
        <f t="shared" ca="1" si="72"/>
        <v>#N/A</v>
      </c>
      <c r="AV171" s="2" t="e">
        <f t="shared" ca="1" si="73"/>
        <v>#N/A</v>
      </c>
      <c r="AW171" s="2" t="e">
        <f t="shared" ca="1" si="74"/>
        <v>#N/A</v>
      </c>
      <c r="AX171" s="2" t="e">
        <f t="shared" ca="1" si="75"/>
        <v>#N/A</v>
      </c>
      <c r="AY171" s="9" t="e">
        <f t="shared" ca="1" si="76"/>
        <v>#N/A</v>
      </c>
      <c r="AZ171" s="9" t="e">
        <f t="shared" ca="1" si="77"/>
        <v>#N/A</v>
      </c>
      <c r="BB171" s="2" t="e">
        <f t="shared" ca="1" si="78"/>
        <v>#N/A</v>
      </c>
      <c r="BC171" s="2" t="e">
        <f t="shared" ca="1" si="79"/>
        <v>#N/A</v>
      </c>
      <c r="BD171" s="2" t="e">
        <f t="shared" ca="1" si="80"/>
        <v>#N/A</v>
      </c>
      <c r="BE171" s="2" t="e">
        <f t="shared" ca="1" si="81"/>
        <v>#N/A</v>
      </c>
      <c r="BF171" s="2" t="e">
        <f t="shared" ca="1" si="82"/>
        <v>#N/A</v>
      </c>
      <c r="BG171" s="2" t="e">
        <f t="shared" ca="1" si="83"/>
        <v>#N/A</v>
      </c>
      <c r="BH171" s="2" t="e">
        <f t="shared" ca="1" si="84"/>
        <v>#N/A</v>
      </c>
      <c r="BI171" s="2" t="e">
        <f t="shared" ca="1" si="85"/>
        <v>#N/A</v>
      </c>
    </row>
    <row r="172" spans="1:61" ht="15" x14ac:dyDescent="0.25">
      <c r="A172" s="66">
        <v>106</v>
      </c>
      <c r="B172" s="66">
        <v>1498730175.319</v>
      </c>
      <c r="C172" s="67">
        <v>3.89761087352204E-5</v>
      </c>
      <c r="D172" s="67">
        <v>-4.8962494633796404E-6</v>
      </c>
      <c r="E172" s="67">
        <v>1.02633497153615E-3</v>
      </c>
      <c r="F172" s="67">
        <v>-2.6010458470676699E-5</v>
      </c>
      <c r="G172" s="67">
        <v>-2.7577129740941102E-5</v>
      </c>
      <c r="H172" s="67">
        <v>3.26202151077445E-3</v>
      </c>
      <c r="I172" s="67">
        <v>-4.8962494633796404E-6</v>
      </c>
      <c r="J172" s="67">
        <v>2.1491092807585399E-3</v>
      </c>
      <c r="K172" s="67">
        <v>2.4336663843899198E-2</v>
      </c>
      <c r="L172" s="67"/>
      <c r="M172" s="67"/>
      <c r="O172" s="11">
        <f t="shared" ca="1" si="43"/>
        <v>2.6172178025260372E-5</v>
      </c>
      <c r="P172" s="11">
        <f t="shared" ca="1" si="44"/>
        <v>-5.6613496936843807E-6</v>
      </c>
      <c r="Q172" s="11">
        <f t="shared" ca="1" si="45"/>
        <v>1.8984335926786609E-4</v>
      </c>
      <c r="R172" s="11">
        <f t="shared" ca="1" si="46"/>
        <v>-3.7656946117023823E-5</v>
      </c>
      <c r="S172" s="11">
        <f t="shared" ca="1" si="47"/>
        <v>-3.8504781787911226E-5</v>
      </c>
      <c r="T172" s="11">
        <f t="shared" ca="1" si="48"/>
        <v>2.1234664721921479E-3</v>
      </c>
      <c r="U172" s="11">
        <f t="shared" ca="1" si="49"/>
        <v>-5.6613496936843807E-6</v>
      </c>
      <c r="V172" s="11">
        <f t="shared" ca="1" si="50"/>
        <v>1.4989132750647654E-3</v>
      </c>
      <c r="W172" s="11">
        <f t="shared" ca="1" si="51"/>
        <v>1.7213815580394212E-2</v>
      </c>
      <c r="X172" s="11"/>
      <c r="Y172" s="2">
        <f t="shared" ca="1" si="52"/>
        <v>2.6172178025260372E-5</v>
      </c>
      <c r="Z172" s="11">
        <f t="shared" ca="1" si="53"/>
        <v>-5.6613496936843807E-6</v>
      </c>
      <c r="AA172" s="2">
        <f t="shared" ca="1" si="54"/>
        <v>1.8984335926786609E-4</v>
      </c>
      <c r="AB172" s="2">
        <f t="shared" ca="1" si="55"/>
        <v>-3.7656946117023823E-5</v>
      </c>
      <c r="AC172" s="2">
        <f t="shared" ca="1" si="56"/>
        <v>-3.8504781787911226E-5</v>
      </c>
      <c r="AD172" s="2">
        <f t="shared" ca="1" si="57"/>
        <v>2.1234664721921479E-3</v>
      </c>
      <c r="AE172" s="2">
        <f t="shared" ca="1" si="58"/>
        <v>-5.6613496936843807E-6</v>
      </c>
      <c r="AF172" s="2">
        <f t="shared" ca="1" si="59"/>
        <v>1.4989132750647654E-3</v>
      </c>
      <c r="AG172" s="2">
        <f t="shared" ca="1" si="60"/>
        <v>1.7213815580394212E-2</v>
      </c>
      <c r="AI172" s="2">
        <f t="shared" ca="1" si="61"/>
        <v>2.6172178025260372E-5</v>
      </c>
      <c r="AJ172" s="11">
        <f t="shared" ca="1" si="62"/>
        <v>-5.6613496936843807E-6</v>
      </c>
      <c r="AK172" s="2">
        <f t="shared" ca="1" si="63"/>
        <v>1.8984335926786609E-4</v>
      </c>
      <c r="AL172" s="2">
        <f t="shared" ca="1" si="64"/>
        <v>-3.7656946117023823E-5</v>
      </c>
      <c r="AM172" s="2">
        <f t="shared" ca="1" si="65"/>
        <v>-3.8504781787911226E-5</v>
      </c>
      <c r="AN172" s="2">
        <f t="shared" ca="1" si="66"/>
        <v>2.1234664721921479E-3</v>
      </c>
      <c r="AO172" s="2">
        <f t="shared" ca="1" si="67"/>
        <v>-5.6613496936843807E-6</v>
      </c>
      <c r="AP172" s="2">
        <f t="shared" ca="1" si="68"/>
        <v>1.4989132750647654E-3</v>
      </c>
      <c r="AQ172" s="2">
        <f t="shared" ca="1" si="69"/>
        <v>1.7213815580394212E-2</v>
      </c>
      <c r="AS172" s="2">
        <f t="shared" ca="1" si="70"/>
        <v>8.1064692124023185</v>
      </c>
      <c r="AT172" s="2">
        <f t="shared" ca="1" si="71"/>
        <v>0.37314289396699418</v>
      </c>
      <c r="AU172" s="2">
        <f t="shared" ca="1" si="72"/>
        <v>-1.4051421852065434E-5</v>
      </c>
      <c r="AV172" s="2">
        <f t="shared" ca="1" si="73"/>
        <v>1.5129646969168308E-3</v>
      </c>
      <c r="AW172" s="2">
        <f t="shared" ca="1" si="74"/>
        <v>0.72429625429184208</v>
      </c>
      <c r="AX172" s="2">
        <f t="shared" ca="1" si="75"/>
        <v>8.646826967209098E-2</v>
      </c>
      <c r="AY172" s="9" t="str">
        <f t="shared" ca="1" si="76"/>
        <v>rejected</v>
      </c>
      <c r="AZ172" s="9" t="e">
        <f t="shared" ca="1" si="77"/>
        <v>#N/A</v>
      </c>
      <c r="BB172" s="2">
        <f t="shared" ca="1" si="78"/>
        <v>8.1064692124023185</v>
      </c>
      <c r="BC172" s="2">
        <f t="shared" ca="1" si="79"/>
        <v>0.37314289396699418</v>
      </c>
      <c r="BD172" s="2">
        <f t="shared" ca="1" si="80"/>
        <v>-1.4051421852065434E-5</v>
      </c>
      <c r="BE172" s="2">
        <f t="shared" ca="1" si="81"/>
        <v>1.5129646969168308E-3</v>
      </c>
      <c r="BF172" s="2">
        <f t="shared" ca="1" si="82"/>
        <v>0.72429625429184208</v>
      </c>
      <c r="BG172" s="2">
        <f t="shared" ca="1" si="83"/>
        <v>8.646826967209098E-2</v>
      </c>
      <c r="BH172" s="2" t="str">
        <f t="shared" ca="1" si="84"/>
        <v>rejected</v>
      </c>
      <c r="BI172" s="2" t="e">
        <f t="shared" ca="1" si="85"/>
        <v>#N/A</v>
      </c>
    </row>
    <row r="173" spans="1:61" ht="15" x14ac:dyDescent="0.25">
      <c r="A173" s="66">
        <v>107</v>
      </c>
      <c r="B173" s="66">
        <v>1498730175.846</v>
      </c>
      <c r="C173" s="67">
        <v>6.47255323424968E-5</v>
      </c>
      <c r="D173" s="67">
        <v>5.3982964448837801E-5</v>
      </c>
      <c r="E173" s="67">
        <v>1.4012249423298699E-3</v>
      </c>
      <c r="F173" s="67">
        <v>-9.8311540410493994E-6</v>
      </c>
      <c r="G173" s="67">
        <v>6.0877902648112898E-5</v>
      </c>
      <c r="H173" s="67">
        <v>1.16033930259419E-2</v>
      </c>
      <c r="I173" s="67">
        <v>5.3982964448837801E-5</v>
      </c>
      <c r="J173" s="67">
        <v>8.2728121348200102E-3</v>
      </c>
      <c r="K173" s="67">
        <v>9.66136893123343E-2</v>
      </c>
      <c r="L173" s="67"/>
      <c r="M173" s="67"/>
      <c r="O173" s="11">
        <f t="shared" ca="1" si="43"/>
        <v>5.1921601632536772E-5</v>
      </c>
      <c r="P173" s="11">
        <f t="shared" ca="1" si="44"/>
        <v>5.3217864218533063E-5</v>
      </c>
      <c r="Q173" s="11">
        <f t="shared" ca="1" si="45"/>
        <v>5.6473333006158602E-4</v>
      </c>
      <c r="R173" s="11">
        <f t="shared" ca="1" si="46"/>
        <v>-2.1477641687396522E-5</v>
      </c>
      <c r="S173" s="11">
        <f t="shared" ca="1" si="47"/>
        <v>4.9950250601142778E-5</v>
      </c>
      <c r="T173" s="11">
        <f t="shared" ca="1" si="48"/>
        <v>1.0464837987359598E-2</v>
      </c>
      <c r="U173" s="11">
        <f t="shared" ca="1" si="49"/>
        <v>5.3217864218533063E-5</v>
      </c>
      <c r="V173" s="11">
        <f t="shared" ca="1" si="50"/>
        <v>7.6226161291262362E-3</v>
      </c>
      <c r="W173" s="11">
        <f t="shared" ca="1" si="51"/>
        <v>8.9490841048829317E-2</v>
      </c>
      <c r="X173" s="11"/>
      <c r="Y173" s="2">
        <f t="shared" ca="1" si="52"/>
        <v>5.1921601632536772E-5</v>
      </c>
      <c r="Z173" s="11">
        <f t="shared" ca="1" si="53"/>
        <v>5.3217864218533063E-5</v>
      </c>
      <c r="AA173" s="2">
        <f t="shared" ca="1" si="54"/>
        <v>5.6432617357697298E-4</v>
      </c>
      <c r="AB173" s="2">
        <f t="shared" ca="1" si="55"/>
        <v>-3.1332679326325015E-5</v>
      </c>
      <c r="AC173" s="2">
        <f t="shared" ca="1" si="56"/>
        <v>4.9950250601142778E-5</v>
      </c>
      <c r="AD173" s="2">
        <f t="shared" ca="1" si="57"/>
        <v>1.039316919251124E-2</v>
      </c>
      <c r="AE173" s="2">
        <f t="shared" ca="1" si="58"/>
        <v>5.3217864218533063E-5</v>
      </c>
      <c r="AF173" s="2">
        <f t="shared" ca="1" si="59"/>
        <v>7.5167785770180254E-3</v>
      </c>
      <c r="AG173" s="2">
        <f t="shared" ca="1" si="60"/>
        <v>8.9447894632290789E-2</v>
      </c>
      <c r="AI173" s="2">
        <f t="shared" ca="1" si="61"/>
        <v>5.1921601632536772E-5</v>
      </c>
      <c r="AJ173" s="11">
        <f t="shared" ca="1" si="62"/>
        <v>5.3217864218533063E-5</v>
      </c>
      <c r="AK173" s="2">
        <f t="shared" ca="1" si="63"/>
        <v>5.0153894051398185E-4</v>
      </c>
      <c r="AL173" s="2">
        <f t="shared" ca="1" si="64"/>
        <v>-6.0719727044319577E-5</v>
      </c>
      <c r="AM173" s="2">
        <f t="shared" ca="1" si="65"/>
        <v>4.9950250601142778E-5</v>
      </c>
      <c r="AN173" s="2">
        <f t="shared" ca="1" si="66"/>
        <v>1.039316919251124E-2</v>
      </c>
      <c r="AO173" s="2">
        <f t="shared" ca="1" si="67"/>
        <v>5.3217864218533063E-5</v>
      </c>
      <c r="AP173" s="2">
        <f t="shared" ca="1" si="68"/>
        <v>7.5167785770180254E-3</v>
      </c>
      <c r="AQ173" s="2">
        <f t="shared" ca="1" si="69"/>
        <v>8.9447894632290789E-2</v>
      </c>
      <c r="AS173" s="2">
        <f t="shared" ca="1" si="70"/>
        <v>8.5515744397500146</v>
      </c>
      <c r="AT173" s="2">
        <f t="shared" ca="1" si="71"/>
        <v>0.39388648550902522</v>
      </c>
      <c r="AU173" s="2">
        <f t="shared" ca="1" si="72"/>
        <v>-8.4597528012707457E-6</v>
      </c>
      <c r="AV173" s="2">
        <f t="shared" ca="1" si="73"/>
        <v>7.6310758819275069E-3</v>
      </c>
      <c r="AW173" s="2">
        <f t="shared" ca="1" si="74"/>
        <v>0.72159834523852717</v>
      </c>
      <c r="AX173" s="2">
        <f t="shared" ca="1" si="75"/>
        <v>5.5127940062479841E-2</v>
      </c>
      <c r="AY173" s="9" t="str">
        <f t="shared" ca="1" si="76"/>
        <v>rejected</v>
      </c>
      <c r="AZ173" s="9" t="e">
        <f t="shared" ca="1" si="77"/>
        <v>#N/A</v>
      </c>
      <c r="BB173" s="2">
        <f t="shared" ca="1" si="78"/>
        <v>8.6064118629707416</v>
      </c>
      <c r="BC173" s="2">
        <f t="shared" ca="1" si="79"/>
        <v>0.39644303773548645</v>
      </c>
      <c r="BD173" s="2">
        <f t="shared" ca="1" si="80"/>
        <v>-2.4071913039919624E-5</v>
      </c>
      <c r="BE173" s="2">
        <f t="shared" ca="1" si="81"/>
        <v>7.5408504900579447E-3</v>
      </c>
      <c r="BF173" s="2">
        <f t="shared" ca="1" si="82"/>
        <v>0.7156762429323118</v>
      </c>
      <c r="BG173" s="2">
        <f t="shared" ca="1" si="83"/>
        <v>4.9620153560205112E-2</v>
      </c>
      <c r="BH173" s="2" t="str">
        <f t="shared" ca="1" si="84"/>
        <v>rejected</v>
      </c>
      <c r="BI173" s="2" t="e">
        <f t="shared" ca="1" si="85"/>
        <v>#N/A</v>
      </c>
    </row>
    <row r="174" spans="1:61" ht="15" x14ac:dyDescent="0.25">
      <c r="A174" s="66">
        <v>108</v>
      </c>
      <c r="B174" s="66">
        <v>1498730176.3729999</v>
      </c>
      <c r="C174" s="67">
        <v>7.1812646937968605E-5</v>
      </c>
      <c r="D174" s="67">
        <v>1.0089966869829699E-6</v>
      </c>
      <c r="E174" s="67">
        <v>1.5291746543106301E-3</v>
      </c>
      <c r="F174" s="67">
        <v>6.8242860951090903E-6</v>
      </c>
      <c r="G174" s="67">
        <v>-7.9246774362802396E-6</v>
      </c>
      <c r="H174" s="67">
        <v>1.61874247841132E-2</v>
      </c>
      <c r="I174" s="67">
        <v>1.0089966869829699E-6</v>
      </c>
      <c r="J174" s="67">
        <v>1.1516074347141501E-2</v>
      </c>
      <c r="K174" s="67">
        <v>0.13763983685638201</v>
      </c>
      <c r="L174" s="67"/>
      <c r="M174" s="67"/>
      <c r="O174" s="11">
        <f t="shared" ca="1" si="43"/>
        <v>5.9008716228008578E-5</v>
      </c>
      <c r="P174" s="11">
        <f t="shared" ca="1" si="44"/>
        <v>2.4389645667822951E-7</v>
      </c>
      <c r="Q174" s="11">
        <f t="shared" ca="1" si="45"/>
        <v>6.926830420423462E-4</v>
      </c>
      <c r="R174" s="11">
        <f t="shared" ca="1" si="46"/>
        <v>-4.8222015512380336E-6</v>
      </c>
      <c r="S174" s="11">
        <f t="shared" ca="1" si="47"/>
        <v>-1.8852329483250364E-5</v>
      </c>
      <c r="T174" s="11">
        <f t="shared" ca="1" si="48"/>
        <v>1.5048869745530899E-2</v>
      </c>
      <c r="U174" s="11">
        <f t="shared" ca="1" si="49"/>
        <v>2.4389645667822951E-7</v>
      </c>
      <c r="V174" s="11">
        <f t="shared" ca="1" si="50"/>
        <v>1.0865878341447727E-2</v>
      </c>
      <c r="W174" s="11">
        <f t="shared" ca="1" si="51"/>
        <v>0.13051698859287703</v>
      </c>
      <c r="X174" s="11"/>
      <c r="Y174" s="2">
        <f t="shared" ca="1" si="52"/>
        <v>5.9008716228008578E-5</v>
      </c>
      <c r="Z174" s="11">
        <f t="shared" ca="1" si="53"/>
        <v>2.4389645667822951E-7</v>
      </c>
      <c r="AA174" s="2">
        <f t="shared" ca="1" si="54"/>
        <v>6.9268117605194299E-4</v>
      </c>
      <c r="AB174" s="2">
        <f t="shared" ca="1" si="55"/>
        <v>-4.8673670007700765E-6</v>
      </c>
      <c r="AC174" s="2">
        <f t="shared" ca="1" si="56"/>
        <v>-1.8852329483250364E-5</v>
      </c>
      <c r="AD174" s="2">
        <f t="shared" ca="1" si="57"/>
        <v>1.5048541288811062E-2</v>
      </c>
      <c r="AE174" s="2">
        <f t="shared" ca="1" si="58"/>
        <v>2.4389645667822951E-7</v>
      </c>
      <c r="AF174" s="2">
        <f t="shared" ca="1" si="59"/>
        <v>1.0865393289965075E-2</v>
      </c>
      <c r="AG174" s="2">
        <f t="shared" ca="1" si="60"/>
        <v>0.13051679177026915</v>
      </c>
      <c r="AI174" s="2">
        <f t="shared" ca="1" si="61"/>
        <v>5.9008716228008578E-5</v>
      </c>
      <c r="AJ174" s="11">
        <f t="shared" ca="1" si="62"/>
        <v>2.4389645667822951E-7</v>
      </c>
      <c r="AK174" s="2">
        <f t="shared" ca="1" si="63"/>
        <v>6.9239342336036914E-4</v>
      </c>
      <c r="AL174" s="2">
        <f t="shared" ca="1" si="64"/>
        <v>-5.0020472799564194E-6</v>
      </c>
      <c r="AM174" s="2">
        <f t="shared" ca="1" si="65"/>
        <v>-1.8852329483250364E-5</v>
      </c>
      <c r="AN174" s="2">
        <f t="shared" ca="1" si="66"/>
        <v>1.5048541288811062E-2</v>
      </c>
      <c r="AO174" s="2">
        <f t="shared" ca="1" si="67"/>
        <v>2.4389645667822951E-7</v>
      </c>
      <c r="AP174" s="2">
        <f t="shared" ca="1" si="68"/>
        <v>1.0865393289965075E-2</v>
      </c>
      <c r="AQ174" s="2">
        <f t="shared" ca="1" si="69"/>
        <v>0.13051679177026915</v>
      </c>
      <c r="AS174" s="2">
        <f t="shared" ca="1" si="70"/>
        <v>8.6728764883912284</v>
      </c>
      <c r="AT174" s="2">
        <f t="shared" ca="1" si="71"/>
        <v>0.39954192156491503</v>
      </c>
      <c r="AU174" s="2">
        <f t="shared" ca="1" si="72"/>
        <v>-1.9266716739549578E-6</v>
      </c>
      <c r="AV174" s="2">
        <f t="shared" ca="1" si="73"/>
        <v>1.0867805013121682E-2</v>
      </c>
      <c r="AW174" s="2">
        <f t="shared" ca="1" si="74"/>
        <v>0.70957727662347947</v>
      </c>
      <c r="AX174" s="2">
        <f t="shared" ca="1" si="75"/>
        <v>4.7703564562221565E-2</v>
      </c>
      <c r="AY174" s="9" t="str">
        <f t="shared" ca="1" si="76"/>
        <v>rejected</v>
      </c>
      <c r="AZ174" s="9" t="e">
        <f t="shared" ca="1" si="77"/>
        <v>#N/A</v>
      </c>
      <c r="BB174" s="2">
        <f t="shared" ca="1" si="78"/>
        <v>8.6730527075944153</v>
      </c>
      <c r="BC174" s="2">
        <f t="shared" ca="1" si="79"/>
        <v>0.39955013809133683</v>
      </c>
      <c r="BD174" s="2">
        <f t="shared" ca="1" si="80"/>
        <v>-1.9985686814459832E-6</v>
      </c>
      <c r="BE174" s="2">
        <f t="shared" ca="1" si="81"/>
        <v>1.0867391858646521E-2</v>
      </c>
      <c r="BF174" s="2">
        <f t="shared" ca="1" si="82"/>
        <v>0.7095585277349703</v>
      </c>
      <c r="BG174" s="2">
        <f t="shared" ca="1" si="83"/>
        <v>4.7685651327686741E-2</v>
      </c>
      <c r="BH174" s="2" t="str">
        <f t="shared" ca="1" si="84"/>
        <v>rejected</v>
      </c>
      <c r="BI174" s="2" t="e">
        <f t="shared" ca="1" si="85"/>
        <v>#N/A</v>
      </c>
    </row>
    <row r="175" spans="1:61" ht="15" x14ac:dyDescent="0.25">
      <c r="A175" s="66">
        <v>109</v>
      </c>
      <c r="B175" s="66">
        <v>1498730176.9000001</v>
      </c>
      <c r="C175" s="67">
        <v>-4.2756166598615798E-5</v>
      </c>
      <c r="D175" s="67">
        <v>-5.0685402265564297E-5</v>
      </c>
      <c r="E175" s="67">
        <v>3.3138871046099099E-3</v>
      </c>
      <c r="F175" s="67">
        <v>1.9409813976802999E-4</v>
      </c>
      <c r="G175" s="67">
        <v>1.37335276934563E-6</v>
      </c>
      <c r="H175" s="67">
        <v>5.0785312144872197E-2</v>
      </c>
      <c r="I175" s="67">
        <v>-5.0685402265564297E-5</v>
      </c>
      <c r="J175" s="67">
        <v>3.6351985146885202E-2</v>
      </c>
      <c r="K175" s="67">
        <v>0.43302679167533198</v>
      </c>
      <c r="L175" s="67"/>
      <c r="M175" s="67"/>
      <c r="O175" s="11">
        <f t="shared" ca="1" si="43"/>
        <v>-5.5560097308575826E-5</v>
      </c>
      <c r="P175" s="11">
        <f t="shared" ca="1" si="44"/>
        <v>-5.1450502495869036E-5</v>
      </c>
      <c r="Q175" s="11">
        <f t="shared" ca="1" si="45"/>
        <v>2.4773954923416261E-3</v>
      </c>
      <c r="R175" s="11">
        <f t="shared" ca="1" si="46"/>
        <v>1.8245165212168286E-4</v>
      </c>
      <c r="S175" s="11">
        <f t="shared" ca="1" si="47"/>
        <v>-9.5542992776244928E-6</v>
      </c>
      <c r="T175" s="11">
        <f t="shared" ca="1" si="48"/>
        <v>4.9646757106289893E-2</v>
      </c>
      <c r="U175" s="11">
        <f t="shared" ca="1" si="49"/>
        <v>-5.1450502495869036E-5</v>
      </c>
      <c r="V175" s="11">
        <f t="shared" ca="1" si="50"/>
        <v>3.5701789141191424E-2</v>
      </c>
      <c r="W175" s="11">
        <f t="shared" ca="1" si="51"/>
        <v>0.42590394341182697</v>
      </c>
      <c r="X175" s="11"/>
      <c r="Y175" s="2">
        <f t="shared" ca="1" si="52"/>
        <v>-5.5560097308575826E-5</v>
      </c>
      <c r="Z175" s="11">
        <f t="shared" ca="1" si="53"/>
        <v>-5.1450502495869036E-5</v>
      </c>
      <c r="AA175" s="2">
        <f t="shared" ca="1" si="54"/>
        <v>2.4773954923416261E-3</v>
      </c>
      <c r="AB175" s="2">
        <f t="shared" ca="1" si="55"/>
        <v>1.8245165212168286E-4</v>
      </c>
      <c r="AC175" s="2">
        <f t="shared" ca="1" si="56"/>
        <v>-9.5542992776244928E-6</v>
      </c>
      <c r="AD175" s="2">
        <f t="shared" ca="1" si="57"/>
        <v>4.9646757106289893E-2</v>
      </c>
      <c r="AE175" s="2">
        <f t="shared" ca="1" si="58"/>
        <v>-5.1450502495869036E-5</v>
      </c>
      <c r="AF175" s="2">
        <f t="shared" ca="1" si="59"/>
        <v>3.5701789141191424E-2</v>
      </c>
      <c r="AG175" s="2">
        <f t="shared" ca="1" si="60"/>
        <v>0.42590394341182697</v>
      </c>
      <c r="AI175" s="2">
        <f t="shared" ca="1" si="61"/>
        <v>-5.5560097308575826E-5</v>
      </c>
      <c r="AJ175" s="11">
        <f t="shared" ca="1" si="62"/>
        <v>-5.1450502495869036E-5</v>
      </c>
      <c r="AK175" s="2">
        <f t="shared" ca="1" si="63"/>
        <v>2.4773954923416261E-3</v>
      </c>
      <c r="AL175" s="2">
        <f t="shared" ca="1" si="64"/>
        <v>1.8245165212168286E-4</v>
      </c>
      <c r="AM175" s="2">
        <f t="shared" ca="1" si="65"/>
        <v>-9.5542992776244928E-6</v>
      </c>
      <c r="AN175" s="2">
        <f t="shared" ca="1" si="66"/>
        <v>4.9646757106289893E-2</v>
      </c>
      <c r="AO175" s="2">
        <f t="shared" ca="1" si="67"/>
        <v>-5.1450502495869036E-5</v>
      </c>
      <c r="AP175" s="2">
        <f t="shared" ca="1" si="68"/>
        <v>3.5701789141191424E-2</v>
      </c>
      <c r="AQ175" s="2">
        <f t="shared" ca="1" si="69"/>
        <v>0.42590394341182697</v>
      </c>
      <c r="AS175" s="2">
        <f t="shared" ca="1" si="70"/>
        <v>8.5786860660405146</v>
      </c>
      <c r="AT175" s="2">
        <f t="shared" ca="1" si="71"/>
        <v>0.39515042035518838</v>
      </c>
      <c r="AU175" s="2">
        <f t="shared" ca="1" si="72"/>
        <v>7.2095847030381578E-5</v>
      </c>
      <c r="AV175" s="2">
        <f t="shared" ca="1" si="73"/>
        <v>3.562969329416104E-2</v>
      </c>
      <c r="AW175" s="2">
        <f t="shared" ca="1" si="74"/>
        <v>0.70904071878641883</v>
      </c>
      <c r="AX175" s="2">
        <f t="shared" ca="1" si="75"/>
        <v>5.1141324065837025E-2</v>
      </c>
      <c r="AY175" s="9">
        <f t="shared" ca="1" si="76"/>
        <v>0.70904071878641883</v>
      </c>
      <c r="AZ175" s="9">
        <f t="shared" ca="1" si="77"/>
        <v>0.70904071878641883</v>
      </c>
      <c r="BB175" s="2">
        <f t="shared" ca="1" si="78"/>
        <v>8.5786860660405146</v>
      </c>
      <c r="BC175" s="2">
        <f t="shared" ca="1" si="79"/>
        <v>0.39515042035518838</v>
      </c>
      <c r="BD175" s="2">
        <f t="shared" ca="1" si="80"/>
        <v>7.2095847030381578E-5</v>
      </c>
      <c r="BE175" s="2">
        <f t="shared" ca="1" si="81"/>
        <v>3.562969329416104E-2</v>
      </c>
      <c r="BF175" s="2">
        <f t="shared" ca="1" si="82"/>
        <v>0.70904071878641883</v>
      </c>
      <c r="BG175" s="2">
        <f t="shared" ca="1" si="83"/>
        <v>5.1141324065837025E-2</v>
      </c>
      <c r="BH175" s="2">
        <f t="shared" ca="1" si="84"/>
        <v>0.70904071878641883</v>
      </c>
      <c r="BI175" s="2">
        <f t="shared" ca="1" si="85"/>
        <v>0.70904071878641883</v>
      </c>
    </row>
    <row r="176" spans="1:61" ht="15" x14ac:dyDescent="0.25">
      <c r="A176" s="66">
        <v>110</v>
      </c>
      <c r="B176" s="66">
        <v>1498730177.427</v>
      </c>
      <c r="C176" s="67">
        <v>1.06776486502657E-4</v>
      </c>
      <c r="D176" s="67">
        <v>4.49787023231543E-5</v>
      </c>
      <c r="E176" s="67">
        <v>8.1981717139365303E-3</v>
      </c>
      <c r="F176" s="67">
        <v>3.9426060819565298E-4</v>
      </c>
      <c r="G176" s="67">
        <v>-2.3458675854555001E-5</v>
      </c>
      <c r="H176" s="67">
        <v>0.14615570785762899</v>
      </c>
      <c r="I176" s="67">
        <v>4.49787023231543E-5</v>
      </c>
      <c r="J176" s="67">
        <v>0.10494659988275699</v>
      </c>
      <c r="K176" s="67">
        <v>1.25258501022776</v>
      </c>
      <c r="L176" s="67"/>
      <c r="M176" s="67"/>
      <c r="O176" s="11">
        <f t="shared" ca="1" si="43"/>
        <v>9.3972555792696969E-5</v>
      </c>
      <c r="P176" s="11">
        <f t="shared" ca="1" si="44"/>
        <v>4.4213602092849561E-5</v>
      </c>
      <c r="Q176" s="11">
        <f t="shared" ca="1" si="45"/>
        <v>7.3616801016682465E-3</v>
      </c>
      <c r="R176" s="11">
        <f t="shared" ca="1" si="46"/>
        <v>3.8261412054930587E-4</v>
      </c>
      <c r="S176" s="11">
        <f t="shared" ca="1" si="47"/>
        <v>-3.4386327901525125E-5</v>
      </c>
      <c r="T176" s="11">
        <f t="shared" ca="1" si="48"/>
        <v>0.1450171528190467</v>
      </c>
      <c r="U176" s="11">
        <f t="shared" ca="1" si="49"/>
        <v>4.4213602092849561E-5</v>
      </c>
      <c r="V176" s="11">
        <f t="shared" ca="1" si="50"/>
        <v>0.10429640387706322</v>
      </c>
      <c r="W176" s="11">
        <f t="shared" ca="1" si="51"/>
        <v>1.245462161964255</v>
      </c>
      <c r="X176" s="11"/>
      <c r="Y176" s="2">
        <f t="shared" ca="1" si="52"/>
        <v>9.3972555792696969E-5</v>
      </c>
      <c r="Z176" s="11">
        <f t="shared" ca="1" si="53"/>
        <v>4.4213602092849561E-5</v>
      </c>
      <c r="AA176" s="2">
        <f t="shared" ca="1" si="54"/>
        <v>7.3613418345268543E-3</v>
      </c>
      <c r="AB176" s="2">
        <f t="shared" ca="1" si="55"/>
        <v>3.7442651814969852E-4</v>
      </c>
      <c r="AC176" s="2">
        <f t="shared" ca="1" si="56"/>
        <v>-3.4386327901525125E-5</v>
      </c>
      <c r="AD176" s="2">
        <f t="shared" ca="1" si="57"/>
        <v>0.14495761011427211</v>
      </c>
      <c r="AE176" s="2">
        <f t="shared" ca="1" si="58"/>
        <v>4.4213602092849561E-5</v>
      </c>
      <c r="AF176" s="2">
        <f t="shared" ca="1" si="59"/>
        <v>0.10420847364002518</v>
      </c>
      <c r="AG176" s="2">
        <f t="shared" ca="1" si="60"/>
        <v>1.2454264819195926</v>
      </c>
      <c r="AI176" s="2">
        <f t="shared" ca="1" si="61"/>
        <v>9.3972555792696969E-5</v>
      </c>
      <c r="AJ176" s="11">
        <f t="shared" ca="1" si="62"/>
        <v>4.4213602092849561E-5</v>
      </c>
      <c r="AK176" s="2">
        <f t="shared" ca="1" si="63"/>
        <v>7.3091779647451102E-3</v>
      </c>
      <c r="AL176" s="2">
        <f t="shared" ca="1" si="64"/>
        <v>3.5001164818889856E-4</v>
      </c>
      <c r="AM176" s="2">
        <f t="shared" ca="1" si="65"/>
        <v>-3.4386327901525125E-5</v>
      </c>
      <c r="AN176" s="2">
        <f t="shared" ca="1" si="66"/>
        <v>0.14495761011427211</v>
      </c>
      <c r="AO176" s="2">
        <f t="shared" ca="1" si="67"/>
        <v>4.4213602092849561E-5</v>
      </c>
      <c r="AP176" s="2">
        <f t="shared" ca="1" si="68"/>
        <v>0.10420847364002518</v>
      </c>
      <c r="AQ176" s="2">
        <f t="shared" ca="1" si="69"/>
        <v>1.2454264819195926</v>
      </c>
      <c r="AS176" s="2">
        <f t="shared" ca="1" si="70"/>
        <v>8.5883782556284931</v>
      </c>
      <c r="AT176" s="2">
        <f t="shared" ca="1" si="71"/>
        <v>0.39560227871889586</v>
      </c>
      <c r="AU176" s="2">
        <f t="shared" ca="1" si="72"/>
        <v>1.5136301795933173E-4</v>
      </c>
      <c r="AV176" s="2">
        <f t="shared" ca="1" si="73"/>
        <v>0.10414504085910389</v>
      </c>
      <c r="AW176" s="2">
        <f t="shared" ca="1" si="74"/>
        <v>0.70912409574015434</v>
      </c>
      <c r="AX176" s="2">
        <f t="shared" ca="1" si="75"/>
        <v>5.2086702999864558E-2</v>
      </c>
      <c r="AY176" s="9">
        <f t="shared" ca="1" si="76"/>
        <v>0.70912409574015434</v>
      </c>
      <c r="AZ176" s="9">
        <f t="shared" ca="1" si="77"/>
        <v>0.70912409574015434</v>
      </c>
      <c r="BB176" s="2">
        <f t="shared" ca="1" si="78"/>
        <v>8.5916598717225376</v>
      </c>
      <c r="BC176" s="2">
        <f t="shared" ca="1" si="79"/>
        <v>0.39575527193603555</v>
      </c>
      <c r="BD176" s="2">
        <f t="shared" ca="1" si="80"/>
        <v>1.3851895500977755E-4</v>
      </c>
      <c r="BE176" s="2">
        <f t="shared" ca="1" si="81"/>
        <v>0.1040699546850154</v>
      </c>
      <c r="BF176" s="2">
        <f t="shared" ca="1" si="82"/>
        <v>0.70876753290562688</v>
      </c>
      <c r="BG176" s="2">
        <f t="shared" ca="1" si="83"/>
        <v>5.1756701017444645E-2</v>
      </c>
      <c r="BH176" s="2">
        <f t="shared" ca="1" si="84"/>
        <v>0.70876753290562688</v>
      </c>
      <c r="BI176" s="2">
        <f t="shared" ca="1" si="85"/>
        <v>0.70876753290562688</v>
      </c>
    </row>
    <row r="177" spans="1:61" ht="15" x14ac:dyDescent="0.25">
      <c r="A177" s="66">
        <v>111</v>
      </c>
      <c r="B177" s="66">
        <v>1498730177.954</v>
      </c>
      <c r="C177" s="67">
        <v>7.2048884962913902E-5</v>
      </c>
      <c r="D177" s="67">
        <v>8.5185155143150393E-5</v>
      </c>
      <c r="E177" s="67">
        <v>1.26374464573461E-2</v>
      </c>
      <c r="F177" s="67">
        <v>6.9469858985536995E-4</v>
      </c>
      <c r="G177" s="67">
        <v>1.06466542097915E-4</v>
      </c>
      <c r="H177" s="67">
        <v>0.23235264745818801</v>
      </c>
      <c r="I177" s="67">
        <v>8.5185155143150393E-5</v>
      </c>
      <c r="J177" s="67">
        <v>0.167685252091026</v>
      </c>
      <c r="K177" s="67">
        <v>2.0075674523867701</v>
      </c>
      <c r="L177" s="67"/>
      <c r="M177" s="67"/>
      <c r="O177" s="11">
        <f t="shared" ca="1" si="43"/>
        <v>5.9244954252953874E-5</v>
      </c>
      <c r="P177" s="11">
        <f t="shared" ca="1" si="44"/>
        <v>8.4420054912845655E-5</v>
      </c>
      <c r="Q177" s="11">
        <f t="shared" ca="1" si="45"/>
        <v>1.1800954845077816E-2</v>
      </c>
      <c r="R177" s="11">
        <f t="shared" ca="1" si="46"/>
        <v>6.8305210220902279E-4</v>
      </c>
      <c r="S177" s="11">
        <f t="shared" ca="1" si="47"/>
        <v>9.5538890050944871E-5</v>
      </c>
      <c r="T177" s="11">
        <f t="shared" ca="1" si="48"/>
        <v>0.23121409241960572</v>
      </c>
      <c r="U177" s="11">
        <f t="shared" ca="1" si="49"/>
        <v>8.4420054912845655E-5</v>
      </c>
      <c r="V177" s="11">
        <f t="shared" ca="1" si="50"/>
        <v>0.16703505608533223</v>
      </c>
      <c r="W177" s="11">
        <f t="shared" ca="1" si="51"/>
        <v>2.0004446041232651</v>
      </c>
      <c r="X177" s="11"/>
      <c r="Y177" s="2">
        <f t="shared" ca="1" si="52"/>
        <v>5.9244954252953874E-5</v>
      </c>
      <c r="Z177" s="11">
        <f t="shared" ca="1" si="53"/>
        <v>8.4420054912845655E-5</v>
      </c>
      <c r="AA177" s="2">
        <f t="shared" ca="1" si="54"/>
        <v>1.1800308968485549E-2</v>
      </c>
      <c r="AB177" s="2">
        <f t="shared" ca="1" si="55"/>
        <v>6.6741895287348869E-4</v>
      </c>
      <c r="AC177" s="2">
        <f t="shared" ca="1" si="56"/>
        <v>9.5538890050944871E-5</v>
      </c>
      <c r="AD177" s="2">
        <f t="shared" ca="1" si="57"/>
        <v>0.2311004034603534</v>
      </c>
      <c r="AE177" s="2">
        <f t="shared" ca="1" si="58"/>
        <v>8.4420054912845655E-5</v>
      </c>
      <c r="AF177" s="2">
        <f t="shared" ca="1" si="59"/>
        <v>0.16686716486887668</v>
      </c>
      <c r="AG177" s="2">
        <f t="shared" ca="1" si="60"/>
        <v>2.0003764777732935</v>
      </c>
      <c r="AI177" s="2">
        <f t="shared" ca="1" si="61"/>
        <v>5.9244954252953874E-5</v>
      </c>
      <c r="AJ177" s="11">
        <f t="shared" ca="1" si="62"/>
        <v>8.4420054912845655E-5</v>
      </c>
      <c r="AK177" s="2">
        <f t="shared" ca="1" si="63"/>
        <v>1.1700708923635244E-2</v>
      </c>
      <c r="AL177" s="2">
        <f t="shared" ca="1" si="64"/>
        <v>6.2080197155510723E-4</v>
      </c>
      <c r="AM177" s="2">
        <f t="shared" ca="1" si="65"/>
        <v>9.5538890050944871E-5</v>
      </c>
      <c r="AN177" s="2">
        <f t="shared" ca="1" si="66"/>
        <v>0.2311004034603534</v>
      </c>
      <c r="AO177" s="2">
        <f t="shared" ca="1" si="67"/>
        <v>8.4420054912845655E-5</v>
      </c>
      <c r="AP177" s="2">
        <f t="shared" ca="1" si="68"/>
        <v>0.16686716486887668</v>
      </c>
      <c r="AQ177" s="2">
        <f t="shared" ca="1" si="69"/>
        <v>2.0003764777732935</v>
      </c>
      <c r="AS177" s="2">
        <f t="shared" ca="1" si="70"/>
        <v>8.6519146959817324</v>
      </c>
      <c r="AT177" s="2">
        <f t="shared" ca="1" si="71"/>
        <v>0.39856455604306074</v>
      </c>
      <c r="AU177" s="2">
        <f t="shared" ca="1" si="72"/>
        <v>2.7224035787121854E-4</v>
      </c>
      <c r="AV177" s="2">
        <f t="shared" ca="1" si="73"/>
        <v>0.16676281572746102</v>
      </c>
      <c r="AW177" s="2">
        <f t="shared" ca="1" si="74"/>
        <v>0.70953840290491454</v>
      </c>
      <c r="AX177" s="2">
        <f t="shared" ca="1" si="75"/>
        <v>5.2765206275474826E-2</v>
      </c>
      <c r="AY177" s="9" t="str">
        <f t="shared" ca="1" si="76"/>
        <v>rejected</v>
      </c>
      <c r="AZ177" s="9" t="e">
        <f t="shared" ca="1" si="77"/>
        <v>#N/A</v>
      </c>
      <c r="BB177" s="2">
        <f t="shared" ca="1" si="78"/>
        <v>8.6558761811788418</v>
      </c>
      <c r="BC177" s="2">
        <f t="shared" ca="1" si="79"/>
        <v>0.39874926223988766</v>
      </c>
      <c r="BD177" s="2">
        <f t="shared" ca="1" si="80"/>
        <v>2.4754432815466673E-4</v>
      </c>
      <c r="BE177" s="2">
        <f t="shared" ca="1" si="81"/>
        <v>0.16661962054072202</v>
      </c>
      <c r="BF177" s="2">
        <f t="shared" ca="1" si="82"/>
        <v>0.70911440388936076</v>
      </c>
      <c r="BG177" s="2">
        <f t="shared" ca="1" si="83"/>
        <v>5.2367240968825959E-2</v>
      </c>
      <c r="BH177" s="2">
        <f t="shared" ca="1" si="84"/>
        <v>0.70911440388936076</v>
      </c>
      <c r="BI177" s="2">
        <f t="shared" ca="1" si="85"/>
        <v>0.70911440388936076</v>
      </c>
    </row>
    <row r="178" spans="1:61" ht="15" x14ac:dyDescent="0.25">
      <c r="A178" s="66">
        <v>112</v>
      </c>
      <c r="B178" s="66">
        <v>1498730178.4809999</v>
      </c>
      <c r="C178" s="67">
        <v>-3.1181773828847502E-5</v>
      </c>
      <c r="D178" s="67">
        <v>-7.8776581312760995E-5</v>
      </c>
      <c r="E178" s="67">
        <v>1.42023123451319E-2</v>
      </c>
      <c r="F178" s="67">
        <v>5.4684895624115197E-4</v>
      </c>
      <c r="G178" s="67">
        <v>-6.0706791102579303E-5</v>
      </c>
      <c r="H178" s="67">
        <v>0.265127246931396</v>
      </c>
      <c r="I178" s="67">
        <v>-7.8776581312760995E-5</v>
      </c>
      <c r="J178" s="67">
        <v>0.19140972492895</v>
      </c>
      <c r="K178" s="67">
        <v>2.2979797942313001</v>
      </c>
      <c r="L178" s="67"/>
      <c r="M178" s="67"/>
      <c r="O178" s="11">
        <f t="shared" ca="1" si="43"/>
        <v>-4.398570453880753E-5</v>
      </c>
      <c r="P178" s="11">
        <f t="shared" ca="1" si="44"/>
        <v>-7.9541681543065734E-5</v>
      </c>
      <c r="Q178" s="11">
        <f t="shared" ca="1" si="45"/>
        <v>1.3365820732863616E-2</v>
      </c>
      <c r="R178" s="11">
        <f t="shared" ca="1" si="46"/>
        <v>5.3520246859480481E-4</v>
      </c>
      <c r="S178" s="11">
        <f t="shared" ca="1" si="47"/>
        <v>-7.1634443149549431E-5</v>
      </c>
      <c r="T178" s="11">
        <f t="shared" ca="1" si="48"/>
        <v>0.26398869189281371</v>
      </c>
      <c r="U178" s="11">
        <f t="shared" ca="1" si="49"/>
        <v>-7.9541681543065734E-5</v>
      </c>
      <c r="V178" s="11">
        <f t="shared" ca="1" si="50"/>
        <v>0.19075952892325623</v>
      </c>
      <c r="W178" s="11">
        <f t="shared" ca="1" si="51"/>
        <v>2.290856945967795</v>
      </c>
      <c r="X178" s="11"/>
      <c r="Y178" s="2">
        <f t="shared" ca="1" si="52"/>
        <v>-4.398570453880753E-5</v>
      </c>
      <c r="Z178" s="11">
        <f t="shared" ca="1" si="53"/>
        <v>-7.9541681543065734E-5</v>
      </c>
      <c r="AA178" s="2">
        <f t="shared" ca="1" si="54"/>
        <v>1.3365820732863616E-2</v>
      </c>
      <c r="AB178" s="2">
        <f t="shared" ca="1" si="55"/>
        <v>5.3520246859480481E-4</v>
      </c>
      <c r="AC178" s="2">
        <f t="shared" ca="1" si="56"/>
        <v>-7.1634443149549431E-5</v>
      </c>
      <c r="AD178" s="2">
        <f t="shared" ca="1" si="57"/>
        <v>0.26398869189281371</v>
      </c>
      <c r="AE178" s="2">
        <f t="shared" ca="1" si="58"/>
        <v>-7.9541681543065734E-5</v>
      </c>
      <c r="AF178" s="2">
        <f t="shared" ca="1" si="59"/>
        <v>0.19075952892325623</v>
      </c>
      <c r="AG178" s="2">
        <f t="shared" ca="1" si="60"/>
        <v>2.290856945967795</v>
      </c>
      <c r="AI178" s="2">
        <f t="shared" ca="1" si="61"/>
        <v>-4.398570453880753E-5</v>
      </c>
      <c r="AJ178" s="11">
        <f t="shared" ca="1" si="62"/>
        <v>-7.9541681543065734E-5</v>
      </c>
      <c r="AK178" s="2">
        <f t="shared" ca="1" si="63"/>
        <v>1.3365820732863616E-2</v>
      </c>
      <c r="AL178" s="2">
        <f t="shared" ca="1" si="64"/>
        <v>5.3520246859480481E-4</v>
      </c>
      <c r="AM178" s="2">
        <f t="shared" ca="1" si="65"/>
        <v>-7.1634443149549431E-5</v>
      </c>
      <c r="AN178" s="2">
        <f t="shared" ca="1" si="66"/>
        <v>0.26398869189281371</v>
      </c>
      <c r="AO178" s="2">
        <f t="shared" ca="1" si="67"/>
        <v>-7.9541681543065734E-5</v>
      </c>
      <c r="AP178" s="2">
        <f t="shared" ca="1" si="68"/>
        <v>0.19075952892325623</v>
      </c>
      <c r="AQ178" s="2">
        <f t="shared" ca="1" si="69"/>
        <v>2.290856945967795</v>
      </c>
      <c r="AS178" s="2">
        <f t="shared" ca="1" si="70"/>
        <v>8.6778601368953439</v>
      </c>
      <c r="AT178" s="2">
        <f t="shared" ca="1" si="71"/>
        <v>0.39977429361343519</v>
      </c>
      <c r="AU178" s="2">
        <f t="shared" ca="1" si="72"/>
        <v>2.1396018882265482E-4</v>
      </c>
      <c r="AV178" s="2">
        <f t="shared" ca="1" si="73"/>
        <v>0.19054556873443357</v>
      </c>
      <c r="AW178" s="2">
        <f t="shared" ca="1" si="74"/>
        <v>0.70900555075473359</v>
      </c>
      <c r="AX178" s="2">
        <f t="shared" ca="1" si="75"/>
        <v>5.2503197467221867E-2</v>
      </c>
      <c r="AY178" s="9">
        <f t="shared" ca="1" si="76"/>
        <v>0.70900555075473359</v>
      </c>
      <c r="AZ178" s="9">
        <f t="shared" ca="1" si="77"/>
        <v>0.70900555075473359</v>
      </c>
      <c r="BB178" s="2">
        <f t="shared" ca="1" si="78"/>
        <v>8.6778601368953439</v>
      </c>
      <c r="BC178" s="2">
        <f t="shared" ca="1" si="79"/>
        <v>0.39977429361343519</v>
      </c>
      <c r="BD178" s="2">
        <f t="shared" ca="1" si="80"/>
        <v>2.1396018882265482E-4</v>
      </c>
      <c r="BE178" s="2">
        <f t="shared" ca="1" si="81"/>
        <v>0.19054556873443357</v>
      </c>
      <c r="BF178" s="2">
        <f t="shared" ca="1" si="82"/>
        <v>0.70900555075473359</v>
      </c>
      <c r="BG178" s="2">
        <f t="shared" ca="1" si="83"/>
        <v>5.2503197467221867E-2</v>
      </c>
      <c r="BH178" s="2">
        <f t="shared" ca="1" si="84"/>
        <v>0.70900555075473359</v>
      </c>
      <c r="BI178" s="2">
        <f t="shared" ca="1" si="85"/>
        <v>0.70900555075473359</v>
      </c>
    </row>
    <row r="179" spans="1:61" ht="15" x14ac:dyDescent="0.25">
      <c r="A179" s="66">
        <v>113</v>
      </c>
      <c r="B179" s="66">
        <v>1498730179.0079999</v>
      </c>
      <c r="C179" s="67">
        <v>1.8424296036316E-5</v>
      </c>
      <c r="D179" s="67">
        <v>-3.5735048847897601E-6</v>
      </c>
      <c r="E179" s="67">
        <v>1.5089454726421E-2</v>
      </c>
      <c r="F179" s="67">
        <v>7.6803631745817405E-4</v>
      </c>
      <c r="G179" s="67">
        <v>8.4906504933215197E-5</v>
      </c>
      <c r="H179" s="67">
        <v>0.27946236455378098</v>
      </c>
      <c r="I179" s="67">
        <v>-3.5735048847897601E-6</v>
      </c>
      <c r="J179" s="67">
        <v>0.20185356163932</v>
      </c>
      <c r="K179" s="67">
        <v>2.4237531036446902</v>
      </c>
      <c r="L179" s="67"/>
      <c r="M179" s="67"/>
      <c r="O179" s="11">
        <f t="shared" ca="1" si="43"/>
        <v>5.6203653263559726E-6</v>
      </c>
      <c r="P179" s="11">
        <f t="shared" ca="1" si="44"/>
        <v>-4.3386051150945004E-6</v>
      </c>
      <c r="Q179" s="11">
        <f t="shared" ca="1" si="45"/>
        <v>1.4252963114152715E-2</v>
      </c>
      <c r="R179" s="11">
        <f t="shared" ca="1" si="46"/>
        <v>7.5638982981182689E-4</v>
      </c>
      <c r="S179" s="11">
        <f t="shared" ca="1" si="47"/>
        <v>7.397885288624507E-5</v>
      </c>
      <c r="T179" s="11">
        <f t="shared" ca="1" si="48"/>
        <v>0.27832380951519869</v>
      </c>
      <c r="U179" s="11">
        <f t="shared" ca="1" si="49"/>
        <v>-4.3386051150945004E-6</v>
      </c>
      <c r="V179" s="11">
        <f t="shared" ca="1" si="50"/>
        <v>0.20120336563362623</v>
      </c>
      <c r="W179" s="11">
        <f t="shared" ca="1" si="51"/>
        <v>2.4166302553811851</v>
      </c>
      <c r="X179" s="11"/>
      <c r="Y179" s="2">
        <f t="shared" ca="1" si="52"/>
        <v>5.6203653263559726E-6</v>
      </c>
      <c r="Z179" s="11">
        <f t="shared" ca="1" si="53"/>
        <v>-4.3386051150945004E-6</v>
      </c>
      <c r="AA179" s="2">
        <f t="shared" ca="1" si="54"/>
        <v>1.4252963114152715E-2</v>
      </c>
      <c r="AB179" s="2">
        <f t="shared" ca="1" si="55"/>
        <v>7.5638982981182689E-4</v>
      </c>
      <c r="AC179" s="2">
        <f t="shared" ca="1" si="56"/>
        <v>7.397885288624507E-5</v>
      </c>
      <c r="AD179" s="2">
        <f t="shared" ca="1" si="57"/>
        <v>0.27832380951519869</v>
      </c>
      <c r="AE179" s="2">
        <f t="shared" ca="1" si="58"/>
        <v>-4.3386051150945004E-6</v>
      </c>
      <c r="AF179" s="2">
        <f t="shared" ca="1" si="59"/>
        <v>0.20120336563362623</v>
      </c>
      <c r="AG179" s="2">
        <f t="shared" ca="1" si="60"/>
        <v>2.4166302553811851</v>
      </c>
      <c r="AI179" s="2">
        <f t="shared" ca="1" si="61"/>
        <v>5.6203653263559726E-6</v>
      </c>
      <c r="AJ179" s="11">
        <f t="shared" ca="1" si="62"/>
        <v>-4.3386051150945004E-6</v>
      </c>
      <c r="AK179" s="2">
        <f t="shared" ca="1" si="63"/>
        <v>1.4252963114152715E-2</v>
      </c>
      <c r="AL179" s="2">
        <f t="shared" ca="1" si="64"/>
        <v>7.5638982981182689E-4</v>
      </c>
      <c r="AM179" s="2">
        <f t="shared" ca="1" si="65"/>
        <v>7.397885288624507E-5</v>
      </c>
      <c r="AN179" s="2">
        <f t="shared" ca="1" si="66"/>
        <v>0.27832380951519869</v>
      </c>
      <c r="AO179" s="2">
        <f t="shared" ca="1" si="67"/>
        <v>-4.3386051150945004E-6</v>
      </c>
      <c r="AP179" s="2">
        <f t="shared" ca="1" si="68"/>
        <v>0.20120336563362623</v>
      </c>
      <c r="AQ179" s="2">
        <f t="shared" ca="1" si="69"/>
        <v>2.4166302553811851</v>
      </c>
      <c r="AS179" s="2">
        <f t="shared" ca="1" si="70"/>
        <v>8.6828010136488807</v>
      </c>
      <c r="AT179" s="2">
        <f t="shared" ca="1" si="71"/>
        <v>0.40000467294590986</v>
      </c>
      <c r="AU179" s="2">
        <f t="shared" ca="1" si="72"/>
        <v>3.0255946649349221E-4</v>
      </c>
      <c r="AV179" s="2">
        <f t="shared" ca="1" si="73"/>
        <v>0.20090080616713274</v>
      </c>
      <c r="AW179" s="2">
        <f t="shared" ca="1" si="74"/>
        <v>0.70883138060184281</v>
      </c>
      <c r="AX179" s="2">
        <f t="shared" ca="1" si="75"/>
        <v>5.3135307195208863E-2</v>
      </c>
      <c r="AY179" s="9">
        <f t="shared" ca="1" si="76"/>
        <v>0.70883138060184281</v>
      </c>
      <c r="AZ179" s="9">
        <f t="shared" ca="1" si="77"/>
        <v>0.70883138060184281</v>
      </c>
      <c r="BB179" s="2">
        <f t="shared" ca="1" si="78"/>
        <v>8.6828010136488807</v>
      </c>
      <c r="BC179" s="2">
        <f t="shared" ca="1" si="79"/>
        <v>0.40000467294590986</v>
      </c>
      <c r="BD179" s="2">
        <f t="shared" ca="1" si="80"/>
        <v>3.0255946649349221E-4</v>
      </c>
      <c r="BE179" s="2">
        <f t="shared" ca="1" si="81"/>
        <v>0.20090080616713274</v>
      </c>
      <c r="BF179" s="2">
        <f t="shared" ca="1" si="82"/>
        <v>0.70883138060184281</v>
      </c>
      <c r="BG179" s="2">
        <f t="shared" ca="1" si="83"/>
        <v>5.3135307195208863E-2</v>
      </c>
      <c r="BH179" s="2">
        <f t="shared" ca="1" si="84"/>
        <v>0.70883138060184281</v>
      </c>
      <c r="BI179" s="2">
        <f t="shared" ca="1" si="85"/>
        <v>0.70883138060184281</v>
      </c>
    </row>
    <row r="180" spans="1:61" ht="15" x14ac:dyDescent="0.25">
      <c r="A180" s="66">
        <v>114</v>
      </c>
      <c r="B180" s="66">
        <v>1498730179.5350001</v>
      </c>
      <c r="C180" s="67">
        <v>2.4802399248063101E-5</v>
      </c>
      <c r="D180" s="67">
        <v>-1.35172774539543E-5</v>
      </c>
      <c r="E180" s="67">
        <v>1.63191777434454E-2</v>
      </c>
      <c r="F180" s="67">
        <v>6.0493863400615201E-4</v>
      </c>
      <c r="G180" s="67">
        <v>7.5365037672206196E-5</v>
      </c>
      <c r="H180" s="67">
        <v>0.30451797395979602</v>
      </c>
      <c r="I180" s="67">
        <v>-1.35172774539543E-5</v>
      </c>
      <c r="J180" s="67">
        <v>0.21998181380515999</v>
      </c>
      <c r="K180" s="67">
        <v>2.6405922579020999</v>
      </c>
      <c r="L180" s="67"/>
      <c r="M180" s="67"/>
      <c r="O180" s="11">
        <f t="shared" ca="1" si="43"/>
        <v>1.1998468538103073E-5</v>
      </c>
      <c r="P180" s="11">
        <f t="shared" ca="1" si="44"/>
        <v>-1.428237768425904E-5</v>
      </c>
      <c r="Q180" s="11">
        <f t="shared" ca="1" si="45"/>
        <v>1.5482686131177115E-2</v>
      </c>
      <c r="R180" s="11">
        <f t="shared" ca="1" si="46"/>
        <v>5.9329214635980485E-4</v>
      </c>
      <c r="S180" s="11">
        <f t="shared" ca="1" si="47"/>
        <v>6.4437385625236069E-5</v>
      </c>
      <c r="T180" s="11">
        <f t="shared" ca="1" si="48"/>
        <v>0.30337941892121373</v>
      </c>
      <c r="U180" s="11">
        <f t="shared" ca="1" si="49"/>
        <v>-1.428237768425904E-5</v>
      </c>
      <c r="V180" s="11">
        <f t="shared" ca="1" si="50"/>
        <v>0.21933161779946622</v>
      </c>
      <c r="W180" s="11">
        <f t="shared" ca="1" si="51"/>
        <v>2.6334694096385949</v>
      </c>
      <c r="X180" s="11"/>
      <c r="Y180" s="2">
        <f t="shared" ca="1" si="52"/>
        <v>1.1998468538103073E-5</v>
      </c>
      <c r="Z180" s="11">
        <f t="shared" ca="1" si="53"/>
        <v>-1.428237768425904E-5</v>
      </c>
      <c r="AA180" s="2">
        <f t="shared" ca="1" si="54"/>
        <v>1.5482686131177115E-2</v>
      </c>
      <c r="AB180" s="2">
        <f t="shared" ca="1" si="55"/>
        <v>5.9329214635980485E-4</v>
      </c>
      <c r="AC180" s="2">
        <f t="shared" ca="1" si="56"/>
        <v>6.4437385625236069E-5</v>
      </c>
      <c r="AD180" s="2">
        <f t="shared" ca="1" si="57"/>
        <v>0.30337941892121373</v>
      </c>
      <c r="AE180" s="2">
        <f t="shared" ca="1" si="58"/>
        <v>-1.428237768425904E-5</v>
      </c>
      <c r="AF180" s="2">
        <f t="shared" ca="1" si="59"/>
        <v>0.21933161779946622</v>
      </c>
      <c r="AG180" s="2">
        <f t="shared" ca="1" si="60"/>
        <v>2.6334694096385949</v>
      </c>
      <c r="AI180" s="2">
        <f t="shared" ca="1" si="61"/>
        <v>1.1998468538103073E-5</v>
      </c>
      <c r="AJ180" s="11">
        <f t="shared" ca="1" si="62"/>
        <v>-1.428237768425904E-5</v>
      </c>
      <c r="AK180" s="2">
        <f t="shared" ca="1" si="63"/>
        <v>1.5482686131177115E-2</v>
      </c>
      <c r="AL180" s="2">
        <f t="shared" ca="1" si="64"/>
        <v>5.9329214635980485E-4</v>
      </c>
      <c r="AM180" s="2">
        <f t="shared" ca="1" si="65"/>
        <v>6.4437385625236069E-5</v>
      </c>
      <c r="AN180" s="2">
        <f t="shared" ca="1" si="66"/>
        <v>0.30337941892121373</v>
      </c>
      <c r="AO180" s="2">
        <f t="shared" ca="1" si="67"/>
        <v>-1.428237768425904E-5</v>
      </c>
      <c r="AP180" s="2">
        <f t="shared" ca="1" si="68"/>
        <v>0.21933161779946622</v>
      </c>
      <c r="AQ180" s="2">
        <f t="shared" ca="1" si="69"/>
        <v>2.6334694096385949</v>
      </c>
      <c r="AS180" s="2">
        <f t="shared" ca="1" si="70"/>
        <v>8.6804484595657261</v>
      </c>
      <c r="AT180" s="2">
        <f t="shared" ca="1" si="71"/>
        <v>0.39989497969785304</v>
      </c>
      <c r="AU180" s="2">
        <f t="shared" ca="1" si="72"/>
        <v>2.3725455082344982E-4</v>
      </c>
      <c r="AV180" s="2">
        <f t="shared" ca="1" si="73"/>
        <v>0.21909436324864276</v>
      </c>
      <c r="AW180" s="2">
        <f t="shared" ca="1" si="74"/>
        <v>0.70927715410801384</v>
      </c>
      <c r="AX180" s="2">
        <f t="shared" ca="1" si="75"/>
        <v>5.2938077755257391E-2</v>
      </c>
      <c r="AY180" s="9">
        <f t="shared" ca="1" si="76"/>
        <v>0.70927715410801384</v>
      </c>
      <c r="AZ180" s="9">
        <f t="shared" ca="1" si="77"/>
        <v>0.70927715410801384</v>
      </c>
      <c r="BB180" s="2">
        <f t="shared" ca="1" si="78"/>
        <v>8.6804484595657261</v>
      </c>
      <c r="BC180" s="2">
        <f t="shared" ca="1" si="79"/>
        <v>0.39989497969785304</v>
      </c>
      <c r="BD180" s="2">
        <f t="shared" ca="1" si="80"/>
        <v>2.3725455082344982E-4</v>
      </c>
      <c r="BE180" s="2">
        <f t="shared" ca="1" si="81"/>
        <v>0.21909436324864276</v>
      </c>
      <c r="BF180" s="2">
        <f t="shared" ca="1" si="82"/>
        <v>0.70927715410801384</v>
      </c>
      <c r="BG180" s="2">
        <f t="shared" ca="1" si="83"/>
        <v>5.2938077755257391E-2</v>
      </c>
      <c r="BH180" s="2">
        <f t="shared" ca="1" si="84"/>
        <v>0.70927715410801384</v>
      </c>
      <c r="BI180" s="2">
        <f t="shared" ca="1" si="85"/>
        <v>0.70927715410801384</v>
      </c>
    </row>
    <row r="181" spans="1:61" ht="15" x14ac:dyDescent="0.25">
      <c r="A181" s="66">
        <v>115</v>
      </c>
      <c r="B181" s="66">
        <v>1498730180.062</v>
      </c>
      <c r="C181" s="67">
        <v>-3.4252544254061798E-5</v>
      </c>
      <c r="D181" s="67">
        <v>6.0742880672245599E-7</v>
      </c>
      <c r="E181" s="67">
        <v>1.6154613669706198E-2</v>
      </c>
      <c r="F181" s="67">
        <v>7.7589425045705002E-4</v>
      </c>
      <c r="G181" s="67">
        <v>-6.0659739797999502E-5</v>
      </c>
      <c r="H181" s="67">
        <v>0.300976705205936</v>
      </c>
      <c r="I181" s="67">
        <v>6.0742880672245599E-7</v>
      </c>
      <c r="J181" s="67">
        <v>0.21763174497336499</v>
      </c>
      <c r="K181" s="67">
        <v>2.6145485909523898</v>
      </c>
      <c r="L181" s="67"/>
      <c r="M181" s="67"/>
      <c r="O181" s="11">
        <f t="shared" ca="1" si="43"/>
        <v>-4.7056474964021826E-5</v>
      </c>
      <c r="P181" s="11">
        <f t="shared" ca="1" si="44"/>
        <v>-1.5767142358228442E-7</v>
      </c>
      <c r="Q181" s="11">
        <f t="shared" ca="1" si="45"/>
        <v>1.5318122057437914E-2</v>
      </c>
      <c r="R181" s="11">
        <f t="shared" ca="1" si="46"/>
        <v>7.6424776281070286E-4</v>
      </c>
      <c r="S181" s="11">
        <f t="shared" ca="1" si="47"/>
        <v>-7.158739184496963E-5</v>
      </c>
      <c r="T181" s="11">
        <f t="shared" ca="1" si="48"/>
        <v>0.29983815016735371</v>
      </c>
      <c r="U181" s="11">
        <f t="shared" ca="1" si="49"/>
        <v>-1.5767142358228442E-7</v>
      </c>
      <c r="V181" s="11">
        <f t="shared" ca="1" si="50"/>
        <v>0.21698154896767122</v>
      </c>
      <c r="W181" s="11">
        <f t="shared" ca="1" si="51"/>
        <v>2.6074257426888847</v>
      </c>
      <c r="X181" s="11"/>
      <c r="Y181" s="2">
        <f t="shared" ca="1" si="52"/>
        <v>-4.7056474964021826E-5</v>
      </c>
      <c r="Z181" s="11">
        <f t="shared" ca="1" si="53"/>
        <v>-1.5767142358228442E-7</v>
      </c>
      <c r="AA181" s="2">
        <f t="shared" ca="1" si="54"/>
        <v>1.5318122057437914E-2</v>
      </c>
      <c r="AB181" s="2">
        <f t="shared" ca="1" si="55"/>
        <v>7.6424776281070286E-4</v>
      </c>
      <c r="AC181" s="2">
        <f t="shared" ca="1" si="56"/>
        <v>-7.158739184496963E-5</v>
      </c>
      <c r="AD181" s="2">
        <f t="shared" ca="1" si="57"/>
        <v>0.29983815016735371</v>
      </c>
      <c r="AE181" s="2">
        <f t="shared" ca="1" si="58"/>
        <v>-1.5767142358228442E-7</v>
      </c>
      <c r="AF181" s="2">
        <f t="shared" ca="1" si="59"/>
        <v>0.21698154896767122</v>
      </c>
      <c r="AG181" s="2">
        <f t="shared" ca="1" si="60"/>
        <v>2.6074257426888847</v>
      </c>
      <c r="AI181" s="2">
        <f t="shared" ca="1" si="61"/>
        <v>-4.7056474964021826E-5</v>
      </c>
      <c r="AJ181" s="11">
        <f t="shared" ca="1" si="62"/>
        <v>-1.5767142358228442E-7</v>
      </c>
      <c r="AK181" s="2">
        <f t="shared" ca="1" si="63"/>
        <v>1.5318122057437914E-2</v>
      </c>
      <c r="AL181" s="2">
        <f t="shared" ca="1" si="64"/>
        <v>7.6424776281070286E-4</v>
      </c>
      <c r="AM181" s="2">
        <f t="shared" ca="1" si="65"/>
        <v>-7.158739184496963E-5</v>
      </c>
      <c r="AN181" s="2">
        <f t="shared" ca="1" si="66"/>
        <v>0.29983815016735371</v>
      </c>
      <c r="AO181" s="2">
        <f t="shared" ca="1" si="67"/>
        <v>-1.5767142358228442E-7</v>
      </c>
      <c r="AP181" s="2">
        <f t="shared" ca="1" si="68"/>
        <v>0.21698154896767122</v>
      </c>
      <c r="AQ181" s="2">
        <f t="shared" ca="1" si="69"/>
        <v>2.6074257426888847</v>
      </c>
      <c r="AS181" s="2">
        <f t="shared" ca="1" si="70"/>
        <v>8.6961106891619977</v>
      </c>
      <c r="AT181" s="2">
        <f t="shared" ca="1" si="71"/>
        <v>0.40062527398217462</v>
      </c>
      <c r="AU181" s="2">
        <f t="shared" ca="1" si="72"/>
        <v>3.0617696936630182E-4</v>
      </c>
      <c r="AV181" s="2">
        <f t="shared" ca="1" si="73"/>
        <v>0.21667537199830492</v>
      </c>
      <c r="AW181" s="2">
        <f t="shared" ca="1" si="74"/>
        <v>0.70908660572913118</v>
      </c>
      <c r="AX181" s="2">
        <f t="shared" ca="1" si="75"/>
        <v>5.3091831547433549E-2</v>
      </c>
      <c r="AY181" s="9">
        <f t="shared" ca="1" si="76"/>
        <v>0.70908660572913118</v>
      </c>
      <c r="AZ181" s="9">
        <f t="shared" ca="1" si="77"/>
        <v>0.70908660572913118</v>
      </c>
      <c r="BB181" s="2">
        <f t="shared" ca="1" si="78"/>
        <v>8.6961106891619977</v>
      </c>
      <c r="BC181" s="2">
        <f t="shared" ca="1" si="79"/>
        <v>0.40062527398217462</v>
      </c>
      <c r="BD181" s="2">
        <f t="shared" ca="1" si="80"/>
        <v>3.0617696936630182E-4</v>
      </c>
      <c r="BE181" s="2">
        <f t="shared" ca="1" si="81"/>
        <v>0.21667537199830492</v>
      </c>
      <c r="BF181" s="2">
        <f t="shared" ca="1" si="82"/>
        <v>0.70908660572913118</v>
      </c>
      <c r="BG181" s="2">
        <f t="shared" ca="1" si="83"/>
        <v>5.3091831547433549E-2</v>
      </c>
      <c r="BH181" s="2">
        <f t="shared" ca="1" si="84"/>
        <v>0.70908660572913118</v>
      </c>
      <c r="BI181" s="2">
        <f t="shared" ca="1" si="85"/>
        <v>0.70908660572913118</v>
      </c>
    </row>
    <row r="182" spans="1:61" ht="15" x14ac:dyDescent="0.25">
      <c r="A182" s="66">
        <v>116</v>
      </c>
      <c r="B182" s="66">
        <v>1498730180.589</v>
      </c>
      <c r="C182" s="67">
        <v>1.3465394407215599E-4</v>
      </c>
      <c r="D182" s="67">
        <v>2.3759291086328199E-5</v>
      </c>
      <c r="E182" s="67">
        <v>1.5879354354200102E-2</v>
      </c>
      <c r="F182" s="67">
        <v>6.9660339779480996E-4</v>
      </c>
      <c r="G182" s="67">
        <v>1.5815907490142699E-4</v>
      </c>
      <c r="H182" s="67">
        <v>0.297070544447185</v>
      </c>
      <c r="I182" s="67">
        <v>2.3759291086328199E-5</v>
      </c>
      <c r="J182" s="67">
        <v>0.21461814666104101</v>
      </c>
      <c r="K182" s="67">
        <v>2.5789127301950701</v>
      </c>
      <c r="L182" s="67"/>
      <c r="M182" s="67"/>
      <c r="O182" s="11">
        <f t="shared" ca="1" si="43"/>
        <v>1.2185001336219596E-4</v>
      </c>
      <c r="P182" s="11">
        <f t="shared" ca="1" si="44"/>
        <v>2.2994190856023457E-5</v>
      </c>
      <c r="Q182" s="11">
        <f t="shared" ca="1" si="45"/>
        <v>1.5042862741931817E-2</v>
      </c>
      <c r="R182" s="11">
        <f t="shared" ca="1" si="46"/>
        <v>6.849569101484628E-4</v>
      </c>
      <c r="S182" s="11">
        <f t="shared" ca="1" si="47"/>
        <v>1.4723142285445688E-4</v>
      </c>
      <c r="T182" s="11">
        <f t="shared" ca="1" si="48"/>
        <v>0.29593198940860271</v>
      </c>
      <c r="U182" s="11">
        <f t="shared" ca="1" si="49"/>
        <v>2.2994190856023457E-5</v>
      </c>
      <c r="V182" s="11">
        <f t="shared" ca="1" si="50"/>
        <v>0.21396795065534724</v>
      </c>
      <c r="W182" s="11">
        <f t="shared" ca="1" si="51"/>
        <v>2.571789881931565</v>
      </c>
      <c r="X182" s="11"/>
      <c r="Y182" s="2">
        <f t="shared" ca="1" si="52"/>
        <v>1.2185001336219596E-4</v>
      </c>
      <c r="Z182" s="11">
        <f t="shared" ca="1" si="53"/>
        <v>2.2994190856023457E-5</v>
      </c>
      <c r="AA182" s="2">
        <f t="shared" ca="1" si="54"/>
        <v>1.5042686819165037E-2</v>
      </c>
      <c r="AB182" s="2">
        <f t="shared" ca="1" si="55"/>
        <v>6.8069877954344128E-4</v>
      </c>
      <c r="AC182" s="2">
        <f t="shared" ca="1" si="56"/>
        <v>1.4723142285445688E-4</v>
      </c>
      <c r="AD182" s="2">
        <f t="shared" ca="1" si="57"/>
        <v>0.29590102300340471</v>
      </c>
      <c r="AE182" s="2">
        <f t="shared" ca="1" si="58"/>
        <v>2.2994190856023457E-5</v>
      </c>
      <c r="AF182" s="2">
        <f t="shared" ca="1" si="59"/>
        <v>0.21392222073159611</v>
      </c>
      <c r="AG182" s="2">
        <f t="shared" ca="1" si="60"/>
        <v>2.5717713257923256</v>
      </c>
      <c r="AI182" s="2">
        <f t="shared" ca="1" si="61"/>
        <v>1.2185001336219596E-4</v>
      </c>
      <c r="AJ182" s="11">
        <f t="shared" ca="1" si="62"/>
        <v>2.2994190856023457E-5</v>
      </c>
      <c r="AK182" s="2">
        <f t="shared" ca="1" si="63"/>
        <v>1.5015557928489465E-2</v>
      </c>
      <c r="AL182" s="2">
        <f t="shared" ca="1" si="64"/>
        <v>6.6800132552409508E-4</v>
      </c>
      <c r="AM182" s="2">
        <f t="shared" ca="1" si="65"/>
        <v>1.4723142285445688E-4</v>
      </c>
      <c r="AN182" s="2">
        <f t="shared" ca="1" si="66"/>
        <v>0.29590102300340471</v>
      </c>
      <c r="AO182" s="2">
        <f t="shared" ca="1" si="67"/>
        <v>2.2994190856023457E-5</v>
      </c>
      <c r="AP182" s="2">
        <f t="shared" ca="1" si="68"/>
        <v>0.21392222073159611</v>
      </c>
      <c r="AQ182" s="2">
        <f t="shared" ca="1" si="69"/>
        <v>2.5717713257923256</v>
      </c>
      <c r="AS182" s="2">
        <f t="shared" ca="1" si="70"/>
        <v>8.6904761025365627</v>
      </c>
      <c r="AT182" s="2">
        <f t="shared" ca="1" si="71"/>
        <v>0.40036254413386635</v>
      </c>
      <c r="AU182" s="2">
        <f t="shared" ca="1" si="72"/>
        <v>2.7423109116911067E-4</v>
      </c>
      <c r="AV182" s="2">
        <f t="shared" ca="1" si="73"/>
        <v>0.21369371956417813</v>
      </c>
      <c r="AW182" s="2">
        <f t="shared" ca="1" si="74"/>
        <v>0.70879104479138044</v>
      </c>
      <c r="AX182" s="2">
        <f t="shared" ca="1" si="75"/>
        <v>5.2790966949097844E-2</v>
      </c>
      <c r="AY182" s="9">
        <f t="shared" ca="1" si="76"/>
        <v>0.70879104479138044</v>
      </c>
      <c r="AZ182" s="9">
        <f t="shared" ca="1" si="77"/>
        <v>0.70879104479138044</v>
      </c>
      <c r="BB182" s="2">
        <f t="shared" ca="1" si="78"/>
        <v>8.6913228608970847</v>
      </c>
      <c r="BC182" s="2">
        <f t="shared" ca="1" si="79"/>
        <v>0.4004020267023865</v>
      </c>
      <c r="BD182" s="2">
        <f t="shared" ca="1" si="80"/>
        <v>2.6746908457972831E-4</v>
      </c>
      <c r="BE182" s="2">
        <f t="shared" ca="1" si="81"/>
        <v>0.21365475164701639</v>
      </c>
      <c r="BF182" s="2">
        <f t="shared" ca="1" si="82"/>
        <v>0.70870118268485061</v>
      </c>
      <c r="BG182" s="2">
        <f t="shared" ca="1" si="83"/>
        <v>5.2705913169734886E-2</v>
      </c>
      <c r="BH182" s="2">
        <f t="shared" ca="1" si="84"/>
        <v>0.70870118268485061</v>
      </c>
      <c r="BI182" s="2">
        <f t="shared" ca="1" si="85"/>
        <v>0.70870118268485061</v>
      </c>
    </row>
    <row r="183" spans="1:61" ht="15" x14ac:dyDescent="0.25">
      <c r="A183" s="66">
        <v>117</v>
      </c>
      <c r="B183" s="66">
        <v>1498730181.115</v>
      </c>
      <c r="C183" s="67">
        <v>4.2755798794746799E-5</v>
      </c>
      <c r="D183" s="67">
        <v>-1.16986572080076E-5</v>
      </c>
      <c r="E183" s="67">
        <v>1.6103946829740499E-2</v>
      </c>
      <c r="F183" s="67">
        <v>5.6994157935305102E-4</v>
      </c>
      <c r="G183" s="67">
        <v>6.3209834756820901E-5</v>
      </c>
      <c r="H183" s="67">
        <v>0.30164067507272702</v>
      </c>
      <c r="I183" s="67">
        <v>-1.16986572080076E-5</v>
      </c>
      <c r="J183" s="67">
        <v>0.21786115377860199</v>
      </c>
      <c r="K183" s="67">
        <v>2.6190806681018799</v>
      </c>
      <c r="L183" s="67"/>
      <c r="M183" s="67"/>
      <c r="O183" s="11">
        <f t="shared" ca="1" si="43"/>
        <v>2.9951868084786771E-5</v>
      </c>
      <c r="P183" s="11">
        <f t="shared" ca="1" si="44"/>
        <v>-1.246375743831234E-5</v>
      </c>
      <c r="Q183" s="11">
        <f t="shared" ca="1" si="45"/>
        <v>1.5267455217472215E-2</v>
      </c>
      <c r="R183" s="11">
        <f t="shared" ca="1" si="46"/>
        <v>5.5829509170670386E-4</v>
      </c>
      <c r="S183" s="11">
        <f t="shared" ca="1" si="47"/>
        <v>5.2282182709850781E-5</v>
      </c>
      <c r="T183" s="11">
        <f t="shared" ca="1" si="48"/>
        <v>0.30050212003414473</v>
      </c>
      <c r="U183" s="11">
        <f t="shared" ca="1" si="49"/>
        <v>-1.246375743831234E-5</v>
      </c>
      <c r="V183" s="11">
        <f t="shared" ca="1" si="50"/>
        <v>0.21721095777290822</v>
      </c>
      <c r="W183" s="11">
        <f t="shared" ca="1" si="51"/>
        <v>2.6119578198383748</v>
      </c>
      <c r="X183" s="11"/>
      <c r="Y183" s="2">
        <f t="shared" ca="1" si="52"/>
        <v>2.9951868084786771E-5</v>
      </c>
      <c r="Z183" s="11">
        <f t="shared" ca="1" si="53"/>
        <v>-1.246375743831234E-5</v>
      </c>
      <c r="AA183" s="2">
        <f t="shared" ca="1" si="54"/>
        <v>1.5267455217472215E-2</v>
      </c>
      <c r="AB183" s="2">
        <f t="shared" ca="1" si="55"/>
        <v>5.5829509170670386E-4</v>
      </c>
      <c r="AC183" s="2">
        <f t="shared" ca="1" si="56"/>
        <v>5.2282182709850781E-5</v>
      </c>
      <c r="AD183" s="2">
        <f t="shared" ca="1" si="57"/>
        <v>0.30050212003414473</v>
      </c>
      <c r="AE183" s="2">
        <f t="shared" ca="1" si="58"/>
        <v>-1.246375743831234E-5</v>
      </c>
      <c r="AF183" s="2">
        <f t="shared" ca="1" si="59"/>
        <v>0.21721095777290822</v>
      </c>
      <c r="AG183" s="2">
        <f t="shared" ca="1" si="60"/>
        <v>2.6119578198383748</v>
      </c>
      <c r="AI183" s="2">
        <f t="shared" ca="1" si="61"/>
        <v>2.9951868084786771E-5</v>
      </c>
      <c r="AJ183" s="11">
        <f t="shared" ca="1" si="62"/>
        <v>-1.246375743831234E-5</v>
      </c>
      <c r="AK183" s="2">
        <f t="shared" ca="1" si="63"/>
        <v>1.5267455217472215E-2</v>
      </c>
      <c r="AL183" s="2">
        <f t="shared" ca="1" si="64"/>
        <v>5.5829509170670386E-4</v>
      </c>
      <c r="AM183" s="2">
        <f t="shared" ca="1" si="65"/>
        <v>5.2282182709850781E-5</v>
      </c>
      <c r="AN183" s="2">
        <f t="shared" ca="1" si="66"/>
        <v>0.30050212003414473</v>
      </c>
      <c r="AO183" s="2">
        <f t="shared" ca="1" si="67"/>
        <v>-1.246375743831234E-5</v>
      </c>
      <c r="AP183" s="2">
        <f t="shared" ca="1" si="68"/>
        <v>0.21721095777290822</v>
      </c>
      <c r="AQ183" s="2">
        <f t="shared" ca="1" si="69"/>
        <v>2.6119578198383748</v>
      </c>
      <c r="AS183" s="2">
        <f t="shared" ca="1" si="70"/>
        <v>8.6919780118076684</v>
      </c>
      <c r="AT183" s="2">
        <f t="shared" ca="1" si="71"/>
        <v>0.40043257504891838</v>
      </c>
      <c r="AU183" s="2">
        <f t="shared" ca="1" si="72"/>
        <v>2.2355954120928747E-4</v>
      </c>
      <c r="AV183" s="2">
        <f t="shared" ca="1" si="73"/>
        <v>0.21698739823169894</v>
      </c>
      <c r="AW183" s="2">
        <f t="shared" ca="1" si="74"/>
        <v>0.70870835855375147</v>
      </c>
      <c r="AX183" s="2">
        <f t="shared" ca="1" si="75"/>
        <v>5.2773627406541616E-2</v>
      </c>
      <c r="AY183" s="9">
        <f t="shared" ca="1" si="76"/>
        <v>0.70870835855375147</v>
      </c>
      <c r="AZ183" s="9">
        <f t="shared" ca="1" si="77"/>
        <v>0.70870835855375147</v>
      </c>
      <c r="BB183" s="2">
        <f t="shared" ca="1" si="78"/>
        <v>8.6919780118076684</v>
      </c>
      <c r="BC183" s="2">
        <f t="shared" ca="1" si="79"/>
        <v>0.40043257504891838</v>
      </c>
      <c r="BD183" s="2">
        <f t="shared" ca="1" si="80"/>
        <v>2.2355954120928747E-4</v>
      </c>
      <c r="BE183" s="2">
        <f t="shared" ca="1" si="81"/>
        <v>0.21698739823169894</v>
      </c>
      <c r="BF183" s="2">
        <f t="shared" ca="1" si="82"/>
        <v>0.70870835855375147</v>
      </c>
      <c r="BG183" s="2">
        <f t="shared" ca="1" si="83"/>
        <v>5.2773627406541616E-2</v>
      </c>
      <c r="BH183" s="2">
        <f t="shared" ca="1" si="84"/>
        <v>0.70870835855375147</v>
      </c>
      <c r="BI183" s="2">
        <f t="shared" ca="1" si="85"/>
        <v>0.70870835855375147</v>
      </c>
    </row>
    <row r="184" spans="1:61" ht="15" x14ac:dyDescent="0.25">
      <c r="A184" s="66">
        <v>118</v>
      </c>
      <c r="B184" s="66">
        <v>1498730181.6429999</v>
      </c>
      <c r="C184" s="67">
        <v>-5.0787298557356802E-5</v>
      </c>
      <c r="D184" s="67">
        <v>3.9968810615636397E-5</v>
      </c>
      <c r="E184" s="67">
        <v>1.6087299706816102E-2</v>
      </c>
      <c r="F184" s="67">
        <v>4.7352746476216501E-4</v>
      </c>
      <c r="G184" s="67">
        <v>-3.6519467484737702E-5</v>
      </c>
      <c r="H184" s="67">
        <v>0.30050396649642103</v>
      </c>
      <c r="I184" s="67">
        <v>3.9968810615636397E-5</v>
      </c>
      <c r="J184" s="67">
        <v>0.217011201843367</v>
      </c>
      <c r="K184" s="67">
        <v>2.6092578631737</v>
      </c>
      <c r="L184" s="67"/>
      <c r="M184" s="67"/>
      <c r="O184" s="11">
        <f t="shared" ca="1" si="43"/>
        <v>-6.3591229267316823E-5</v>
      </c>
      <c r="P184" s="11">
        <f t="shared" ca="1" si="44"/>
        <v>3.9203710385331659E-5</v>
      </c>
      <c r="Q184" s="11">
        <f t="shared" ca="1" si="45"/>
        <v>1.5250808094547817E-2</v>
      </c>
      <c r="R184" s="11">
        <f t="shared" ca="1" si="46"/>
        <v>4.6188097711581791E-4</v>
      </c>
      <c r="S184" s="11">
        <f t="shared" ca="1" si="47"/>
        <v>-4.7447119531707823E-5</v>
      </c>
      <c r="T184" s="11">
        <f t="shared" ca="1" si="48"/>
        <v>0.29936541145783874</v>
      </c>
      <c r="U184" s="11">
        <f t="shared" ca="1" si="49"/>
        <v>3.9203710385331659E-5</v>
      </c>
      <c r="V184" s="11">
        <f t="shared" ca="1" si="50"/>
        <v>0.21636100583767323</v>
      </c>
      <c r="W184" s="11">
        <f t="shared" ca="1" si="51"/>
        <v>2.6021350149101949</v>
      </c>
      <c r="X184" s="11"/>
      <c r="Y184" s="2">
        <f t="shared" ca="1" si="52"/>
        <v>-6.3591229267316823E-5</v>
      </c>
      <c r="Z184" s="11">
        <f t="shared" ca="1" si="53"/>
        <v>3.9203710385331659E-5</v>
      </c>
      <c r="AA184" s="2">
        <f t="shared" ca="1" si="54"/>
        <v>1.5250508156826928E-2</v>
      </c>
      <c r="AB184" s="2">
        <f t="shared" ca="1" si="55"/>
        <v>4.5462112091703143E-4</v>
      </c>
      <c r="AC184" s="2">
        <f t="shared" ca="1" si="56"/>
        <v>-4.7447119531707823E-5</v>
      </c>
      <c r="AD184" s="2">
        <f t="shared" ca="1" si="57"/>
        <v>0.29931261560219591</v>
      </c>
      <c r="AE184" s="2">
        <f t="shared" ca="1" si="58"/>
        <v>3.9203710385331659E-5</v>
      </c>
      <c r="AF184" s="2">
        <f t="shared" ca="1" si="59"/>
        <v>0.2162830390721581</v>
      </c>
      <c r="AG184" s="2">
        <f t="shared" ca="1" si="60"/>
        <v>2.6021033778104958</v>
      </c>
      <c r="AI184" s="2">
        <f t="shared" ca="1" si="61"/>
        <v>-6.3591229267316823E-5</v>
      </c>
      <c r="AJ184" s="11">
        <f t="shared" ca="1" si="62"/>
        <v>3.9203710385331659E-5</v>
      </c>
      <c r="AK184" s="2">
        <f t="shared" ca="1" si="63"/>
        <v>1.5204255032297352E-2</v>
      </c>
      <c r="AL184" s="2">
        <f t="shared" ca="1" si="64"/>
        <v>4.3297272662812703E-4</v>
      </c>
      <c r="AM184" s="2">
        <f t="shared" ca="1" si="65"/>
        <v>-4.7447119531707823E-5</v>
      </c>
      <c r="AN184" s="2">
        <f t="shared" ca="1" si="66"/>
        <v>0.29931261560219591</v>
      </c>
      <c r="AO184" s="2">
        <f t="shared" ca="1" si="67"/>
        <v>3.9203710385331659E-5</v>
      </c>
      <c r="AP184" s="2">
        <f t="shared" ca="1" si="68"/>
        <v>0.2162830390721581</v>
      </c>
      <c r="AQ184" s="2">
        <f t="shared" ca="1" si="69"/>
        <v>2.6021033778104958</v>
      </c>
      <c r="AS184" s="2">
        <f t="shared" ca="1" si="70"/>
        <v>8.6921698877582845</v>
      </c>
      <c r="AT184" s="2">
        <f t="shared" ca="1" si="71"/>
        <v>0.40044152183720771</v>
      </c>
      <c r="AU184" s="2">
        <f t="shared" ca="1" si="72"/>
        <v>1.8495632138391463E-4</v>
      </c>
      <c r="AV184" s="2">
        <f t="shared" ca="1" si="73"/>
        <v>0.21617604951628933</v>
      </c>
      <c r="AW184" s="2">
        <f t="shared" ca="1" si="74"/>
        <v>0.70873145836284057</v>
      </c>
      <c r="AX184" s="2">
        <f t="shared" ca="1" si="75"/>
        <v>5.2917446259177998E-2</v>
      </c>
      <c r="AY184" s="9">
        <f t="shared" ca="1" si="76"/>
        <v>0.70873145836284057</v>
      </c>
      <c r="AZ184" s="9">
        <f t="shared" ca="1" si="77"/>
        <v>0.70873145836284057</v>
      </c>
      <c r="BB184" s="2">
        <f t="shared" ca="1" si="78"/>
        <v>8.6935974034213253</v>
      </c>
      <c r="BC184" s="2">
        <f t="shared" ca="1" si="79"/>
        <v>0.40050808408643734</v>
      </c>
      <c r="BD184" s="2">
        <f t="shared" ca="1" si="80"/>
        <v>1.7340907720351194E-4</v>
      </c>
      <c r="BE184" s="2">
        <f t="shared" ca="1" si="81"/>
        <v>0.21610962999495459</v>
      </c>
      <c r="BF184" s="2">
        <f t="shared" ca="1" si="82"/>
        <v>0.7085800766262722</v>
      </c>
      <c r="BG184" s="2">
        <f t="shared" ca="1" si="83"/>
        <v>5.2774088623908068E-2</v>
      </c>
      <c r="BH184" s="2">
        <f t="shared" ca="1" si="84"/>
        <v>0.7085800766262722</v>
      </c>
      <c r="BI184" s="2">
        <f t="shared" ca="1" si="85"/>
        <v>0.7085800766262722</v>
      </c>
    </row>
    <row r="185" spans="1:61" ht="15" x14ac:dyDescent="0.25">
      <c r="A185" s="66">
        <v>119</v>
      </c>
      <c r="B185" s="66">
        <v>1498730182.1689999</v>
      </c>
      <c r="C185" s="67">
        <v>-8.7871388257456295E-5</v>
      </c>
      <c r="D185" s="67">
        <v>-8.1066015698201595E-5</v>
      </c>
      <c r="E185" s="67">
        <v>1.6686768519296701E-2</v>
      </c>
      <c r="F185" s="67">
        <v>6.2850876992152905E-4</v>
      </c>
      <c r="G185" s="67">
        <v>-1.7669523218339701E-4</v>
      </c>
      <c r="H185" s="67">
        <v>0.31202256866493899</v>
      </c>
      <c r="I185" s="67">
        <v>-8.1066015698201595E-5</v>
      </c>
      <c r="J185" s="67">
        <v>0.22544970152176</v>
      </c>
      <c r="K185" s="67">
        <v>2.7072712453707699</v>
      </c>
      <c r="L185" s="67"/>
      <c r="M185" s="67"/>
      <c r="O185" s="11">
        <f t="shared" ca="1" si="43"/>
        <v>-1.0067531896741633E-4</v>
      </c>
      <c r="P185" s="11">
        <f t="shared" ca="1" si="44"/>
        <v>-8.1831115928506334E-5</v>
      </c>
      <c r="Q185" s="11">
        <f t="shared" ca="1" si="45"/>
        <v>1.5850276907028418E-2</v>
      </c>
      <c r="R185" s="11">
        <f t="shared" ca="1" si="46"/>
        <v>6.1686228227518188E-4</v>
      </c>
      <c r="S185" s="11">
        <f t="shared" ca="1" si="47"/>
        <v>-1.8762288423036712E-4</v>
      </c>
      <c r="T185" s="11">
        <f t="shared" ca="1" si="48"/>
        <v>0.3108840136263567</v>
      </c>
      <c r="U185" s="11">
        <f t="shared" ca="1" si="49"/>
        <v>-8.1831115928506334E-5</v>
      </c>
      <c r="V185" s="11">
        <f t="shared" ca="1" si="50"/>
        <v>0.22479950551606623</v>
      </c>
      <c r="W185" s="11">
        <f t="shared" ca="1" si="51"/>
        <v>2.7001483971072648</v>
      </c>
      <c r="X185" s="11"/>
      <c r="Y185" s="2">
        <f t="shared" ca="1" si="52"/>
        <v>-1.0067531896741633E-4</v>
      </c>
      <c r="Z185" s="11">
        <f t="shared" ca="1" si="53"/>
        <v>-8.1831115928506334E-5</v>
      </c>
      <c r="AA185" s="2">
        <f t="shared" ca="1" si="54"/>
        <v>1.5850276907028418E-2</v>
      </c>
      <c r="AB185" s="2">
        <f t="shared" ca="1" si="55"/>
        <v>6.1686228227518188E-4</v>
      </c>
      <c r="AC185" s="2">
        <f t="shared" ca="1" si="56"/>
        <v>-1.8762288423036712E-4</v>
      </c>
      <c r="AD185" s="2">
        <f t="shared" ca="1" si="57"/>
        <v>0.3108840136263567</v>
      </c>
      <c r="AE185" s="2">
        <f t="shared" ca="1" si="58"/>
        <v>-8.1831115928506334E-5</v>
      </c>
      <c r="AF185" s="2">
        <f t="shared" ca="1" si="59"/>
        <v>0.22479950551606623</v>
      </c>
      <c r="AG185" s="2">
        <f t="shared" ca="1" si="60"/>
        <v>2.7001483971072648</v>
      </c>
      <c r="AI185" s="2">
        <f t="shared" ca="1" si="61"/>
        <v>-1.0067531896741633E-4</v>
      </c>
      <c r="AJ185" s="11">
        <f t="shared" ca="1" si="62"/>
        <v>-8.1831115928506334E-5</v>
      </c>
      <c r="AK185" s="2">
        <f t="shared" ca="1" si="63"/>
        <v>1.5850276907028418E-2</v>
      </c>
      <c r="AL185" s="2">
        <f t="shared" ca="1" si="64"/>
        <v>6.1686228227518188E-4</v>
      </c>
      <c r="AM185" s="2">
        <f t="shared" ca="1" si="65"/>
        <v>-1.8762288423036712E-4</v>
      </c>
      <c r="AN185" s="2">
        <f t="shared" ca="1" si="66"/>
        <v>0.3108840136263567</v>
      </c>
      <c r="AO185" s="2">
        <f t="shared" ca="1" si="67"/>
        <v>-8.1831115928506334E-5</v>
      </c>
      <c r="AP185" s="2">
        <f t="shared" ca="1" si="68"/>
        <v>0.22479950551606623</v>
      </c>
      <c r="AQ185" s="2">
        <f t="shared" ca="1" si="69"/>
        <v>2.7001483971072648</v>
      </c>
      <c r="AS185" s="2">
        <f t="shared" ca="1" si="70"/>
        <v>8.6853883723738274</v>
      </c>
      <c r="AT185" s="2">
        <f t="shared" ca="1" si="71"/>
        <v>0.40012531491698244</v>
      </c>
      <c r="AU185" s="2">
        <f t="shared" ca="1" si="72"/>
        <v>2.4682221495576565E-4</v>
      </c>
      <c r="AV185" s="2">
        <f t="shared" ca="1" si="73"/>
        <v>0.22455268330111047</v>
      </c>
      <c r="AW185" s="2">
        <f t="shared" ca="1" si="74"/>
        <v>0.7091960582844169</v>
      </c>
      <c r="AX185" s="2">
        <f t="shared" ca="1" si="75"/>
        <v>5.2917493050673843E-2</v>
      </c>
      <c r="AY185" s="9">
        <f t="shared" ca="1" si="76"/>
        <v>0.7091960582844169</v>
      </c>
      <c r="AZ185" s="9">
        <f t="shared" ca="1" si="77"/>
        <v>0.7091960582844169</v>
      </c>
      <c r="BB185" s="2">
        <f t="shared" ca="1" si="78"/>
        <v>8.6853883723738274</v>
      </c>
      <c r="BC185" s="2">
        <f t="shared" ca="1" si="79"/>
        <v>0.40012531491698244</v>
      </c>
      <c r="BD185" s="2">
        <f t="shared" ca="1" si="80"/>
        <v>2.4682221495576565E-4</v>
      </c>
      <c r="BE185" s="2">
        <f t="shared" ca="1" si="81"/>
        <v>0.22455268330111047</v>
      </c>
      <c r="BF185" s="2">
        <f t="shared" ca="1" si="82"/>
        <v>0.7091960582844169</v>
      </c>
      <c r="BG185" s="2">
        <f t="shared" ca="1" si="83"/>
        <v>5.2917493050673843E-2</v>
      </c>
      <c r="BH185" s="2">
        <f t="shared" ca="1" si="84"/>
        <v>0.7091960582844169</v>
      </c>
      <c r="BI185" s="2">
        <f t="shared" ca="1" si="85"/>
        <v>0.7091960582844169</v>
      </c>
    </row>
    <row r="186" spans="1:61" ht="15" x14ac:dyDescent="0.25">
      <c r="A186" s="66">
        <v>120</v>
      </c>
      <c r="B186" s="66">
        <v>1498730182.6960001</v>
      </c>
      <c r="C186" s="67">
        <v>-1.5355344765604501E-5</v>
      </c>
      <c r="D186" s="67">
        <v>-6.4755592710700899E-5</v>
      </c>
      <c r="E186" s="67">
        <v>1.7578180556613102E-2</v>
      </c>
      <c r="F186" s="67">
        <v>5.7017965041269904E-4</v>
      </c>
      <c r="G186" s="67">
        <v>-1.5533928532494501E-4</v>
      </c>
      <c r="H186" s="67">
        <v>0.33105116177639299</v>
      </c>
      <c r="I186" s="67">
        <v>-6.4755592710700899E-5</v>
      </c>
      <c r="J186" s="67">
        <v>0.23908372971835701</v>
      </c>
      <c r="K186" s="67">
        <v>2.8709921721614702</v>
      </c>
      <c r="L186" s="67"/>
      <c r="M186" s="67"/>
      <c r="O186" s="11">
        <f t="shared" ca="1" si="43"/>
        <v>-2.8159275475564529E-5</v>
      </c>
      <c r="P186" s="11">
        <f t="shared" ca="1" si="44"/>
        <v>-6.5520692941005638E-5</v>
      </c>
      <c r="Q186" s="11">
        <f t="shared" ca="1" si="45"/>
        <v>1.6741688944344819E-2</v>
      </c>
      <c r="R186" s="11">
        <f t="shared" ca="1" si="46"/>
        <v>5.5853316276635188E-4</v>
      </c>
      <c r="S186" s="11">
        <f t="shared" ca="1" si="47"/>
        <v>-1.6626693737191512E-4</v>
      </c>
      <c r="T186" s="11">
        <f t="shared" ca="1" si="48"/>
        <v>0.3299126067378107</v>
      </c>
      <c r="U186" s="11">
        <f t="shared" ca="1" si="49"/>
        <v>-6.5520692941005638E-5</v>
      </c>
      <c r="V186" s="11">
        <f t="shared" ca="1" si="50"/>
        <v>0.23843353371266324</v>
      </c>
      <c r="W186" s="11">
        <f t="shared" ca="1" si="51"/>
        <v>2.8638693238979651</v>
      </c>
      <c r="X186" s="11"/>
      <c r="Y186" s="2">
        <f t="shared" ca="1" si="52"/>
        <v>-2.8159275475564529E-5</v>
      </c>
      <c r="Z186" s="11">
        <f t="shared" ca="1" si="53"/>
        <v>-6.5520692941005638E-5</v>
      </c>
      <c r="AA186" s="2">
        <f t="shared" ca="1" si="54"/>
        <v>1.6741688944344819E-2</v>
      </c>
      <c r="AB186" s="2">
        <f t="shared" ca="1" si="55"/>
        <v>5.5853316276635188E-4</v>
      </c>
      <c r="AC186" s="2">
        <f t="shared" ca="1" si="56"/>
        <v>-1.6626693737191512E-4</v>
      </c>
      <c r="AD186" s="2">
        <f t="shared" ca="1" si="57"/>
        <v>0.3299126067378107</v>
      </c>
      <c r="AE186" s="2">
        <f t="shared" ca="1" si="58"/>
        <v>-6.5520692941005638E-5</v>
      </c>
      <c r="AF186" s="2">
        <f t="shared" ca="1" si="59"/>
        <v>0.23843353371266324</v>
      </c>
      <c r="AG186" s="2">
        <f t="shared" ca="1" si="60"/>
        <v>2.8638693238979651</v>
      </c>
      <c r="AI186" s="2">
        <f t="shared" ca="1" si="61"/>
        <v>-2.8159275475564529E-5</v>
      </c>
      <c r="AJ186" s="11">
        <f t="shared" ca="1" si="62"/>
        <v>-6.5520692941005638E-5</v>
      </c>
      <c r="AK186" s="2">
        <f t="shared" ca="1" si="63"/>
        <v>1.6741688944344819E-2</v>
      </c>
      <c r="AL186" s="2">
        <f t="shared" ca="1" si="64"/>
        <v>5.5853316276635188E-4</v>
      </c>
      <c r="AM186" s="2">
        <f t="shared" ca="1" si="65"/>
        <v>-1.6626693737191512E-4</v>
      </c>
      <c r="AN186" s="2">
        <f t="shared" ca="1" si="66"/>
        <v>0.3299126067378107</v>
      </c>
      <c r="AO186" s="2">
        <f t="shared" ca="1" si="67"/>
        <v>-6.5520692941005638E-5</v>
      </c>
      <c r="AP186" s="2">
        <f t="shared" ca="1" si="68"/>
        <v>0.23843353371266324</v>
      </c>
      <c r="AQ186" s="2">
        <f t="shared" ca="1" si="69"/>
        <v>2.8638693238979651</v>
      </c>
      <c r="AS186" s="2">
        <f t="shared" ca="1" si="70"/>
        <v>8.6806907811617808</v>
      </c>
      <c r="AT186" s="2">
        <f t="shared" ca="1" si="71"/>
        <v>0.39990627848326776</v>
      </c>
      <c r="AU186" s="2">
        <f t="shared" ca="1" si="72"/>
        <v>2.2336091853138103E-4</v>
      </c>
      <c r="AV186" s="2">
        <f t="shared" ca="1" si="73"/>
        <v>0.23821017279413187</v>
      </c>
      <c r="AW186" s="2">
        <f t="shared" ca="1" si="74"/>
        <v>0.70913050778334619</v>
      </c>
      <c r="AX186" s="2">
        <f t="shared" ca="1" si="75"/>
        <v>5.2640588471095186E-2</v>
      </c>
      <c r="AY186" s="9">
        <f t="shared" ca="1" si="76"/>
        <v>0.70913050778334619</v>
      </c>
      <c r="AZ186" s="9">
        <f t="shared" ca="1" si="77"/>
        <v>0.70913050778334619</v>
      </c>
      <c r="BB186" s="2">
        <f t="shared" ca="1" si="78"/>
        <v>8.6806907811617808</v>
      </c>
      <c r="BC186" s="2">
        <f t="shared" ca="1" si="79"/>
        <v>0.39990627848326776</v>
      </c>
      <c r="BD186" s="2">
        <f t="shared" ca="1" si="80"/>
        <v>2.2336091853138103E-4</v>
      </c>
      <c r="BE186" s="2">
        <f t="shared" ca="1" si="81"/>
        <v>0.23821017279413187</v>
      </c>
      <c r="BF186" s="2">
        <f t="shared" ca="1" si="82"/>
        <v>0.70913050778334619</v>
      </c>
      <c r="BG186" s="2">
        <f t="shared" ca="1" si="83"/>
        <v>5.2640588471095186E-2</v>
      </c>
      <c r="BH186" s="2">
        <f t="shared" ca="1" si="84"/>
        <v>0.70913050778334619</v>
      </c>
      <c r="BI186" s="2">
        <f t="shared" ca="1" si="85"/>
        <v>0.70913050778334619</v>
      </c>
    </row>
    <row r="187" spans="1:61" ht="15" x14ac:dyDescent="0.25">
      <c r="A187" s="66">
        <v>121</v>
      </c>
      <c r="B187" s="66">
        <v>1498730183.223</v>
      </c>
      <c r="C187" s="67">
        <v>-1.3038647344622699E-4</v>
      </c>
      <c r="D187" s="67">
        <v>-2.0720575438727001E-5</v>
      </c>
      <c r="E187" s="67">
        <v>1.76209474641566E-2</v>
      </c>
      <c r="F187" s="67">
        <v>5.3994507979514804E-4</v>
      </c>
      <c r="G187" s="67">
        <v>-7.3056984053592301E-5</v>
      </c>
      <c r="H187" s="67">
        <v>0.33102036222009101</v>
      </c>
      <c r="I187" s="67">
        <v>-2.0720575438727001E-5</v>
      </c>
      <c r="J187" s="67">
        <v>0.23927141857973899</v>
      </c>
      <c r="K187" s="67">
        <v>2.8756414255552198</v>
      </c>
      <c r="L187" s="67"/>
      <c r="M187" s="67"/>
      <c r="O187" s="11">
        <f t="shared" ca="1" si="43"/>
        <v>-1.4319040415618702E-4</v>
      </c>
      <c r="P187" s="11">
        <f t="shared" ca="1" si="44"/>
        <v>-2.1485675669031743E-5</v>
      </c>
      <c r="Q187" s="11">
        <f t="shared" ca="1" si="45"/>
        <v>1.6784455851888317E-2</v>
      </c>
      <c r="R187" s="11">
        <f t="shared" ca="1" si="46"/>
        <v>5.2829859214880088E-4</v>
      </c>
      <c r="S187" s="11">
        <f t="shared" ca="1" si="47"/>
        <v>-8.3984636100562429E-5</v>
      </c>
      <c r="T187" s="11">
        <f t="shared" ca="1" si="48"/>
        <v>0.32988180718150872</v>
      </c>
      <c r="U187" s="11">
        <f t="shared" ca="1" si="49"/>
        <v>-2.1485675669031743E-5</v>
      </c>
      <c r="V187" s="11">
        <f t="shared" ca="1" si="50"/>
        <v>0.23862122257404522</v>
      </c>
      <c r="W187" s="11">
        <f t="shared" ca="1" si="51"/>
        <v>2.8685185772917148</v>
      </c>
      <c r="X187" s="11"/>
      <c r="Y187" s="2">
        <f t="shared" ca="1" si="52"/>
        <v>-1.4319040415618702E-4</v>
      </c>
      <c r="Z187" s="11">
        <f t="shared" ca="1" si="53"/>
        <v>-2.1485675669031743E-5</v>
      </c>
      <c r="AA187" s="2">
        <f t="shared" ca="1" si="54"/>
        <v>1.6784455851888317E-2</v>
      </c>
      <c r="AB187" s="2">
        <f t="shared" ca="1" si="55"/>
        <v>5.2829859214880088E-4</v>
      </c>
      <c r="AC187" s="2">
        <f t="shared" ca="1" si="56"/>
        <v>-8.3984636100562429E-5</v>
      </c>
      <c r="AD187" s="2">
        <f t="shared" ca="1" si="57"/>
        <v>0.32988180718150872</v>
      </c>
      <c r="AE187" s="2">
        <f t="shared" ca="1" si="58"/>
        <v>-2.1485675669031743E-5</v>
      </c>
      <c r="AF187" s="2">
        <f t="shared" ca="1" si="59"/>
        <v>0.23862122257404522</v>
      </c>
      <c r="AG187" s="2">
        <f t="shared" ca="1" si="60"/>
        <v>2.8685185772917148</v>
      </c>
      <c r="AI187" s="2">
        <f t="shared" ca="1" si="61"/>
        <v>-1.4319040415618702E-4</v>
      </c>
      <c r="AJ187" s="11">
        <f t="shared" ca="1" si="62"/>
        <v>-2.1485675669031743E-5</v>
      </c>
      <c r="AK187" s="2">
        <f t="shared" ca="1" si="63"/>
        <v>1.6784455851888317E-2</v>
      </c>
      <c r="AL187" s="2">
        <f t="shared" ca="1" si="64"/>
        <v>5.2829859214880088E-4</v>
      </c>
      <c r="AM187" s="2">
        <f t="shared" ca="1" si="65"/>
        <v>-8.3984636100562429E-5</v>
      </c>
      <c r="AN187" s="2">
        <f t="shared" ca="1" si="66"/>
        <v>0.32988180718150872</v>
      </c>
      <c r="AO187" s="2">
        <f t="shared" ca="1" si="67"/>
        <v>-2.1485675669031743E-5</v>
      </c>
      <c r="AP187" s="2">
        <f t="shared" ca="1" si="68"/>
        <v>0.23862122257404522</v>
      </c>
      <c r="AQ187" s="2">
        <f t="shared" ca="1" si="69"/>
        <v>2.8685185772917148</v>
      </c>
      <c r="AS187" s="2">
        <f t="shared" ca="1" si="70"/>
        <v>8.695594952022887</v>
      </c>
      <c r="AT187" s="2">
        <f t="shared" ca="1" si="71"/>
        <v>0.40060122607358012</v>
      </c>
      <c r="AU187" s="2">
        <f t="shared" ca="1" si="72"/>
        <v>2.1163706374775589E-4</v>
      </c>
      <c r="AV187" s="2">
        <f t="shared" ca="1" si="73"/>
        <v>0.23840958551029748</v>
      </c>
      <c r="AW187" s="2">
        <f t="shared" ca="1" si="74"/>
        <v>0.70917748588510121</v>
      </c>
      <c r="AX187" s="2">
        <f t="shared" ca="1" si="75"/>
        <v>5.2872715589320642E-2</v>
      </c>
      <c r="AY187" s="9">
        <f t="shared" ca="1" si="76"/>
        <v>0.70917748588510121</v>
      </c>
      <c r="AZ187" s="9">
        <f t="shared" ca="1" si="77"/>
        <v>0.70917748588510121</v>
      </c>
      <c r="BB187" s="2">
        <f t="shared" ca="1" si="78"/>
        <v>8.695594952022887</v>
      </c>
      <c r="BC187" s="2">
        <f t="shared" ca="1" si="79"/>
        <v>0.40060122607358012</v>
      </c>
      <c r="BD187" s="2">
        <f t="shared" ca="1" si="80"/>
        <v>2.1163706374775589E-4</v>
      </c>
      <c r="BE187" s="2">
        <f t="shared" ca="1" si="81"/>
        <v>0.23840958551029748</v>
      </c>
      <c r="BF187" s="2">
        <f t="shared" ca="1" si="82"/>
        <v>0.70917748588510121</v>
      </c>
      <c r="BG187" s="2">
        <f t="shared" ca="1" si="83"/>
        <v>5.2872715589320642E-2</v>
      </c>
      <c r="BH187" s="2">
        <f t="shared" ca="1" si="84"/>
        <v>0.70917748588510121</v>
      </c>
      <c r="BI187" s="2">
        <f t="shared" ca="1" si="85"/>
        <v>0.70917748588510121</v>
      </c>
    </row>
    <row r="188" spans="1:61" ht="15" x14ac:dyDescent="0.25">
      <c r="A188" s="66">
        <v>122</v>
      </c>
      <c r="B188" s="66">
        <v>1498730183.75</v>
      </c>
      <c r="C188" s="67">
        <v>-3.5197394780369103E-5</v>
      </c>
      <c r="D188" s="67">
        <v>-1.9492509173342401E-5</v>
      </c>
      <c r="E188" s="67">
        <v>1.8089568640718302E-2</v>
      </c>
      <c r="F188" s="67">
        <v>6.9493669064930603E-4</v>
      </c>
      <c r="G188" s="67">
        <v>-6.9222708363864198E-5</v>
      </c>
      <c r="H188" s="67">
        <v>0.33943622168337201</v>
      </c>
      <c r="I188" s="67">
        <v>-1.9492509173342401E-5</v>
      </c>
      <c r="J188" s="67">
        <v>0.24539160796340601</v>
      </c>
      <c r="K188" s="67">
        <v>2.9488293553915002</v>
      </c>
      <c r="L188" s="67"/>
      <c r="M188" s="67"/>
      <c r="O188" s="11">
        <f t="shared" ca="1" si="43"/>
        <v>-4.8001325490329131E-5</v>
      </c>
      <c r="P188" s="11">
        <f t="shared" ca="1" si="44"/>
        <v>-2.0257609403647143E-5</v>
      </c>
      <c r="Q188" s="11">
        <f t="shared" ca="1" si="45"/>
        <v>1.7253077028450019E-2</v>
      </c>
      <c r="R188" s="11">
        <f t="shared" ca="1" si="46"/>
        <v>6.8329020300295887E-4</v>
      </c>
      <c r="S188" s="11">
        <f t="shared" ca="1" si="47"/>
        <v>-8.0150360410834325E-5</v>
      </c>
      <c r="T188" s="11">
        <f t="shared" ca="1" si="48"/>
        <v>0.33829766664478972</v>
      </c>
      <c r="U188" s="11">
        <f t="shared" ca="1" si="49"/>
        <v>-2.0257609403647143E-5</v>
      </c>
      <c r="V188" s="11">
        <f t="shared" ca="1" si="50"/>
        <v>0.24474141195771223</v>
      </c>
      <c r="W188" s="11">
        <f t="shared" ca="1" si="51"/>
        <v>2.9417065071279951</v>
      </c>
      <c r="X188" s="11"/>
      <c r="Y188" s="2">
        <f t="shared" ca="1" si="52"/>
        <v>-4.8001325490329131E-5</v>
      </c>
      <c r="Z188" s="11">
        <f t="shared" ca="1" si="53"/>
        <v>-2.0257609403647143E-5</v>
      </c>
      <c r="AA188" s="2">
        <f t="shared" ca="1" si="54"/>
        <v>1.7253077028450019E-2</v>
      </c>
      <c r="AB188" s="2">
        <f t="shared" ca="1" si="55"/>
        <v>6.8329020300295887E-4</v>
      </c>
      <c r="AC188" s="2">
        <f t="shared" ca="1" si="56"/>
        <v>-8.0150360410834325E-5</v>
      </c>
      <c r="AD188" s="2">
        <f t="shared" ca="1" si="57"/>
        <v>0.33829766664478972</v>
      </c>
      <c r="AE188" s="2">
        <f t="shared" ca="1" si="58"/>
        <v>-2.0257609403647143E-5</v>
      </c>
      <c r="AF188" s="2">
        <f t="shared" ca="1" si="59"/>
        <v>0.24474141195771223</v>
      </c>
      <c r="AG188" s="2">
        <f t="shared" ca="1" si="60"/>
        <v>2.9417065071279951</v>
      </c>
      <c r="AI188" s="2">
        <f t="shared" ca="1" si="61"/>
        <v>-4.8001325490329131E-5</v>
      </c>
      <c r="AJ188" s="11">
        <f t="shared" ca="1" si="62"/>
        <v>-2.0257609403647143E-5</v>
      </c>
      <c r="AK188" s="2">
        <f t="shared" ca="1" si="63"/>
        <v>1.7253077028450019E-2</v>
      </c>
      <c r="AL188" s="2">
        <f t="shared" ca="1" si="64"/>
        <v>6.8329020300295887E-4</v>
      </c>
      <c r="AM188" s="2">
        <f t="shared" ca="1" si="65"/>
        <v>-8.0150360410834325E-5</v>
      </c>
      <c r="AN188" s="2">
        <f t="shared" ca="1" si="66"/>
        <v>0.33829766664478972</v>
      </c>
      <c r="AO188" s="2">
        <f t="shared" ca="1" si="67"/>
        <v>-2.0257609403647143E-5</v>
      </c>
      <c r="AP188" s="2">
        <f t="shared" ca="1" si="68"/>
        <v>0.24474141195771223</v>
      </c>
      <c r="AQ188" s="2">
        <f t="shared" ca="1" si="69"/>
        <v>2.9417065071279951</v>
      </c>
      <c r="AS188" s="2">
        <f t="shared" ca="1" si="70"/>
        <v>8.6956157170802104</v>
      </c>
      <c r="AT188" s="2">
        <f t="shared" ca="1" si="71"/>
        <v>0.40060219431106048</v>
      </c>
      <c r="AU188" s="2">
        <f t="shared" ca="1" si="72"/>
        <v>2.7372755467423528E-4</v>
      </c>
      <c r="AV188" s="2">
        <f t="shared" ca="1" si="73"/>
        <v>0.24446768440303801</v>
      </c>
      <c r="AW188" s="2">
        <f t="shared" ca="1" si="74"/>
        <v>0.70910659805648346</v>
      </c>
      <c r="AX188" s="2">
        <f t="shared" ca="1" si="75"/>
        <v>5.2997006063362502E-2</v>
      </c>
      <c r="AY188" s="9">
        <f t="shared" ca="1" si="76"/>
        <v>0.70910659805648346</v>
      </c>
      <c r="AZ188" s="9">
        <f t="shared" ca="1" si="77"/>
        <v>0.70910659805648346</v>
      </c>
      <c r="BB188" s="2">
        <f t="shared" ca="1" si="78"/>
        <v>8.6956157170802104</v>
      </c>
      <c r="BC188" s="2">
        <f t="shared" ca="1" si="79"/>
        <v>0.40060219431106048</v>
      </c>
      <c r="BD188" s="2">
        <f t="shared" ca="1" si="80"/>
        <v>2.7372755467423528E-4</v>
      </c>
      <c r="BE188" s="2">
        <f t="shared" ca="1" si="81"/>
        <v>0.24446768440303801</v>
      </c>
      <c r="BF188" s="2">
        <f t="shared" ca="1" si="82"/>
        <v>0.70910659805648346</v>
      </c>
      <c r="BG188" s="2">
        <f t="shared" ca="1" si="83"/>
        <v>5.2997006063362502E-2</v>
      </c>
      <c r="BH188" s="2">
        <f t="shared" ca="1" si="84"/>
        <v>0.70910659805648346</v>
      </c>
      <c r="BI188" s="2">
        <f t="shared" ca="1" si="85"/>
        <v>0.70910659805648346</v>
      </c>
    </row>
    <row r="189" spans="1:61" ht="15" x14ac:dyDescent="0.25">
      <c r="A189" s="66">
        <v>123</v>
      </c>
      <c r="B189" s="66">
        <v>1498730184.277</v>
      </c>
      <c r="C189" s="67">
        <v>1.65344955512296E-5</v>
      </c>
      <c r="D189" s="67">
        <v>-3.8691113218948403E-5</v>
      </c>
      <c r="E189" s="67">
        <v>1.8041947423799699E-2</v>
      </c>
      <c r="F189" s="67">
        <v>9.5878724104972305E-4</v>
      </c>
      <c r="G189" s="67">
        <v>-4.2425673333381403E-5</v>
      </c>
      <c r="H189" s="67">
        <v>0.33863534149153901</v>
      </c>
      <c r="I189" s="67">
        <v>-3.8691113218948403E-5</v>
      </c>
      <c r="J189" s="67">
        <v>0.244929340028672</v>
      </c>
      <c r="K189" s="67">
        <v>2.9405318209695301</v>
      </c>
      <c r="L189" s="67"/>
      <c r="M189" s="67"/>
      <c r="O189" s="11">
        <f t="shared" ca="1" si="43"/>
        <v>3.7305648412695718E-6</v>
      </c>
      <c r="P189" s="11">
        <f t="shared" ca="1" si="44"/>
        <v>-3.9456213449253142E-5</v>
      </c>
      <c r="Q189" s="11">
        <f t="shared" ca="1" si="45"/>
        <v>1.7205455811531416E-2</v>
      </c>
      <c r="R189" s="11">
        <f t="shared" ca="1" si="46"/>
        <v>9.4714075340337589E-4</v>
      </c>
      <c r="S189" s="11">
        <f t="shared" ca="1" si="47"/>
        <v>-5.3353325380351523E-5</v>
      </c>
      <c r="T189" s="11">
        <f t="shared" ca="1" si="48"/>
        <v>0.33749678645295672</v>
      </c>
      <c r="U189" s="11">
        <f t="shared" ca="1" si="49"/>
        <v>-3.9456213449253142E-5</v>
      </c>
      <c r="V189" s="11">
        <f t="shared" ca="1" si="50"/>
        <v>0.24427914402297823</v>
      </c>
      <c r="W189" s="11">
        <f t="shared" ca="1" si="51"/>
        <v>2.9334089727060251</v>
      </c>
      <c r="X189" s="11"/>
      <c r="Y189" s="2">
        <f t="shared" ca="1" si="52"/>
        <v>3.7305648412695718E-6</v>
      </c>
      <c r="Z189" s="11">
        <f t="shared" ca="1" si="53"/>
        <v>-3.9456213449253142E-5</v>
      </c>
      <c r="AA189" s="2">
        <f t="shared" ca="1" si="54"/>
        <v>1.7205455811531416E-2</v>
      </c>
      <c r="AB189" s="2">
        <f t="shared" ca="1" si="55"/>
        <v>9.4714075340337589E-4</v>
      </c>
      <c r="AC189" s="2">
        <f t="shared" ca="1" si="56"/>
        <v>-5.3353325380351523E-5</v>
      </c>
      <c r="AD189" s="2">
        <f t="shared" ca="1" si="57"/>
        <v>0.33749678645295672</v>
      </c>
      <c r="AE189" s="2">
        <f t="shared" ca="1" si="58"/>
        <v>-3.9456213449253142E-5</v>
      </c>
      <c r="AF189" s="2">
        <f t="shared" ca="1" si="59"/>
        <v>0.24427914402297823</v>
      </c>
      <c r="AG189" s="2">
        <f t="shared" ca="1" si="60"/>
        <v>2.9334089727060251</v>
      </c>
      <c r="AI189" s="2">
        <f t="shared" ca="1" si="61"/>
        <v>3.7305648412695718E-6</v>
      </c>
      <c r="AJ189" s="11">
        <f t="shared" ca="1" si="62"/>
        <v>-3.9456213449253142E-5</v>
      </c>
      <c r="AK189" s="2">
        <f t="shared" ca="1" si="63"/>
        <v>1.7205455811531416E-2</v>
      </c>
      <c r="AL189" s="2">
        <f t="shared" ca="1" si="64"/>
        <v>9.4714075340337589E-4</v>
      </c>
      <c r="AM189" s="2">
        <f t="shared" ca="1" si="65"/>
        <v>-5.3353325380351523E-5</v>
      </c>
      <c r="AN189" s="2">
        <f t="shared" ca="1" si="66"/>
        <v>0.33749678645295672</v>
      </c>
      <c r="AO189" s="2">
        <f t="shared" ca="1" si="67"/>
        <v>-3.9456213449253142E-5</v>
      </c>
      <c r="AP189" s="2">
        <f t="shared" ca="1" si="68"/>
        <v>0.24427914402297823</v>
      </c>
      <c r="AQ189" s="2">
        <f t="shared" ca="1" si="69"/>
        <v>2.9334089727060251</v>
      </c>
      <c r="AS189" s="2">
        <f t="shared" ca="1" si="70"/>
        <v>8.6916649000890835</v>
      </c>
      <c r="AT189" s="2">
        <f t="shared" ca="1" si="71"/>
        <v>0.40041797528661832</v>
      </c>
      <c r="AU189" s="2">
        <f t="shared" ca="1" si="72"/>
        <v>3.7925218278922203E-4</v>
      </c>
      <c r="AV189" s="2">
        <f t="shared" ca="1" si="73"/>
        <v>0.24389989184018901</v>
      </c>
      <c r="AW189" s="2">
        <f t="shared" ca="1" si="74"/>
        <v>0.70930076316890556</v>
      </c>
      <c r="AX189" s="2">
        <f t="shared" ca="1" si="75"/>
        <v>5.2951511793662406E-2</v>
      </c>
      <c r="AY189" s="9">
        <f t="shared" ca="1" si="76"/>
        <v>0.70930076316890556</v>
      </c>
      <c r="AZ189" s="9">
        <f t="shared" ca="1" si="77"/>
        <v>0.70930076316890556</v>
      </c>
      <c r="BB189" s="2">
        <f t="shared" ca="1" si="78"/>
        <v>8.6916649000890835</v>
      </c>
      <c r="BC189" s="2">
        <f t="shared" ca="1" si="79"/>
        <v>0.40041797528661832</v>
      </c>
      <c r="BD189" s="2">
        <f t="shared" ca="1" si="80"/>
        <v>3.7925218278922203E-4</v>
      </c>
      <c r="BE189" s="2">
        <f t="shared" ca="1" si="81"/>
        <v>0.24389989184018901</v>
      </c>
      <c r="BF189" s="2">
        <f t="shared" ca="1" si="82"/>
        <v>0.70930076316890556</v>
      </c>
      <c r="BG189" s="2">
        <f t="shared" ca="1" si="83"/>
        <v>5.2951511793662406E-2</v>
      </c>
      <c r="BH189" s="2">
        <f t="shared" ca="1" si="84"/>
        <v>0.70930076316890556</v>
      </c>
      <c r="BI189" s="2">
        <f t="shared" ca="1" si="85"/>
        <v>0.70930076316890556</v>
      </c>
    </row>
    <row r="190" spans="1:61" ht="15" x14ac:dyDescent="0.25">
      <c r="A190" s="66">
        <v>124</v>
      </c>
      <c r="B190" s="66">
        <v>1498730184.8039999</v>
      </c>
      <c r="C190" s="67">
        <v>4.0146582524521899E-6</v>
      </c>
      <c r="D190" s="67">
        <v>4.0798636466824597E-6</v>
      </c>
      <c r="E190" s="67">
        <v>1.7945986587791299E-2</v>
      </c>
      <c r="F190" s="67">
        <v>6.4707957174029796E-4</v>
      </c>
      <c r="G190" s="67">
        <v>-3.9231007238521498E-6</v>
      </c>
      <c r="H190" s="67">
        <v>0.33766235625253799</v>
      </c>
      <c r="I190" s="67">
        <v>4.0798636466824597E-6</v>
      </c>
      <c r="J190" s="67">
        <v>0.24392570475681599</v>
      </c>
      <c r="K190" s="67">
        <v>2.9322177113524601</v>
      </c>
      <c r="L190" s="67"/>
      <c r="M190" s="67"/>
      <c r="O190" s="11">
        <f t="shared" ca="1" si="43"/>
        <v>-8.7892724575078388E-6</v>
      </c>
      <c r="P190" s="11">
        <f t="shared" ca="1" si="44"/>
        <v>3.3147634163777194E-6</v>
      </c>
      <c r="Q190" s="11">
        <f t="shared" ca="1" si="45"/>
        <v>1.7109494975523016E-2</v>
      </c>
      <c r="R190" s="11">
        <f t="shared" ca="1" si="46"/>
        <v>6.354330840939508E-4</v>
      </c>
      <c r="S190" s="11">
        <f t="shared" ca="1" si="47"/>
        <v>-1.4850752770822271E-5</v>
      </c>
      <c r="T190" s="11">
        <f t="shared" ca="1" si="48"/>
        <v>0.3365238012139557</v>
      </c>
      <c r="U190" s="11">
        <f t="shared" ca="1" si="49"/>
        <v>3.3147634163777194E-6</v>
      </c>
      <c r="V190" s="11">
        <f t="shared" ca="1" si="50"/>
        <v>0.24327550875112222</v>
      </c>
      <c r="W190" s="11">
        <f t="shared" ca="1" si="51"/>
        <v>2.9250948630889551</v>
      </c>
      <c r="X190" s="11"/>
      <c r="Y190" s="2">
        <f t="shared" ca="1" si="52"/>
        <v>-8.7892724575078388E-6</v>
      </c>
      <c r="Z190" s="11">
        <f t="shared" ca="1" si="53"/>
        <v>3.3147634163777194E-6</v>
      </c>
      <c r="AA190" s="2">
        <f t="shared" ca="1" si="54"/>
        <v>1.7109469615102419E-2</v>
      </c>
      <c r="AB190" s="2">
        <f t="shared" ca="1" si="55"/>
        <v>6.3481924664082789E-4</v>
      </c>
      <c r="AC190" s="2">
        <f t="shared" ca="1" si="56"/>
        <v>-1.4850752770822271E-5</v>
      </c>
      <c r="AD190" s="2">
        <f t="shared" ca="1" si="57"/>
        <v>0.33651933720355715</v>
      </c>
      <c r="AE190" s="2">
        <f t="shared" ca="1" si="58"/>
        <v>3.3147634163777194E-6</v>
      </c>
      <c r="AF190" s="2">
        <f t="shared" ca="1" si="59"/>
        <v>0.2432689164826996</v>
      </c>
      <c r="AG190" s="2">
        <f t="shared" ca="1" si="60"/>
        <v>2.9250921880997858</v>
      </c>
      <c r="AI190" s="2">
        <f t="shared" ca="1" si="61"/>
        <v>-8.7892724575078388E-6</v>
      </c>
      <c r="AJ190" s="11">
        <f t="shared" ca="1" si="62"/>
        <v>3.3147634163777194E-6</v>
      </c>
      <c r="AK190" s="2">
        <f t="shared" ca="1" si="63"/>
        <v>1.7105558807590151E-2</v>
      </c>
      <c r="AL190" s="2">
        <f t="shared" ca="1" si="64"/>
        <v>6.3298882536929875E-4</v>
      </c>
      <c r="AM190" s="2">
        <f t="shared" ca="1" si="65"/>
        <v>-1.4850752770822271E-5</v>
      </c>
      <c r="AN190" s="2">
        <f t="shared" ca="1" si="66"/>
        <v>0.33651933720355715</v>
      </c>
      <c r="AO190" s="2">
        <f t="shared" ca="1" si="67"/>
        <v>3.3147634163777194E-6</v>
      </c>
      <c r="AP190" s="2">
        <f t="shared" ca="1" si="68"/>
        <v>0.2432689164826996</v>
      </c>
      <c r="AQ190" s="2">
        <f t="shared" ca="1" si="69"/>
        <v>2.9250921880997858</v>
      </c>
      <c r="AS190" s="2">
        <f t="shared" ca="1" si="70"/>
        <v>8.692089096037618</v>
      </c>
      <c r="AT190" s="2">
        <f t="shared" ca="1" si="71"/>
        <v>0.40043775468205339</v>
      </c>
      <c r="AU190" s="2">
        <f t="shared" ca="1" si="72"/>
        <v>2.5445139744527406E-4</v>
      </c>
      <c r="AV190" s="2">
        <f t="shared" ca="1" si="73"/>
        <v>0.24302105735367693</v>
      </c>
      <c r="AW190" s="2">
        <f t="shared" ca="1" si="74"/>
        <v>0.70877094802367291</v>
      </c>
      <c r="AX190" s="2">
        <f t="shared" ca="1" si="75"/>
        <v>5.281106383306456E-2</v>
      </c>
      <c r="AY190" s="9">
        <f t="shared" ca="1" si="76"/>
        <v>0.70877094802367291</v>
      </c>
      <c r="AZ190" s="9">
        <f t="shared" ca="1" si="77"/>
        <v>0.70877094802367291</v>
      </c>
      <c r="BB190" s="2">
        <f t="shared" ca="1" si="78"/>
        <v>8.6921964497107851</v>
      </c>
      <c r="BC190" s="2">
        <f t="shared" ca="1" si="79"/>
        <v>0.40044276036762816</v>
      </c>
      <c r="BD190" s="2">
        <f t="shared" ca="1" si="80"/>
        <v>2.5347579251274452E-4</v>
      </c>
      <c r="BE190" s="2">
        <f t="shared" ca="1" si="81"/>
        <v>0.24301544069018685</v>
      </c>
      <c r="BF190" s="2">
        <f t="shared" ca="1" si="82"/>
        <v>0.7087595605333562</v>
      </c>
      <c r="BG190" s="2">
        <f t="shared" ca="1" si="83"/>
        <v>5.2800281917213976E-2</v>
      </c>
      <c r="BH190" s="2">
        <f t="shared" ca="1" si="84"/>
        <v>0.7087595605333562</v>
      </c>
      <c r="BI190" s="2">
        <f t="shared" ca="1" si="85"/>
        <v>0.7087595605333562</v>
      </c>
    </row>
    <row r="191" spans="1:61" ht="15" x14ac:dyDescent="0.25">
      <c r="A191" s="66">
        <v>125</v>
      </c>
      <c r="B191" s="66">
        <v>1498730185.3310001</v>
      </c>
      <c r="C191" s="67">
        <v>7.4883745650242202E-5</v>
      </c>
      <c r="D191" s="67">
        <v>5.6625783641732797E-6</v>
      </c>
      <c r="E191" s="67">
        <v>1.7718810734549999E-2</v>
      </c>
      <c r="F191" s="67">
        <v>6.5922220574804197E-4</v>
      </c>
      <c r="G191" s="67">
        <v>-1.08278693503182E-4</v>
      </c>
      <c r="H191" s="67">
        <v>0.33204550897820101</v>
      </c>
      <c r="I191" s="67">
        <v>5.6625783641732797E-6</v>
      </c>
      <c r="J191" s="67">
        <v>0.239786193972716</v>
      </c>
      <c r="K191" s="67">
        <v>2.8831617117714798</v>
      </c>
      <c r="L191" s="67"/>
      <c r="M191" s="67"/>
      <c r="O191" s="11">
        <f t="shared" ca="1" si="43"/>
        <v>6.2079814940282181E-5</v>
      </c>
      <c r="P191" s="11">
        <f t="shared" ca="1" si="44"/>
        <v>4.8974781338685394E-6</v>
      </c>
      <c r="Q191" s="11">
        <f t="shared" ca="1" si="45"/>
        <v>1.6882319122281716E-2</v>
      </c>
      <c r="R191" s="11">
        <f t="shared" ca="1" si="46"/>
        <v>6.4757571810169481E-4</v>
      </c>
      <c r="S191" s="11">
        <f t="shared" ca="1" si="47"/>
        <v>-1.1920634555015213E-4</v>
      </c>
      <c r="T191" s="11">
        <f t="shared" ca="1" si="48"/>
        <v>0.33090695393961872</v>
      </c>
      <c r="U191" s="11">
        <f t="shared" ca="1" si="49"/>
        <v>4.8974781338685394E-6</v>
      </c>
      <c r="V191" s="11">
        <f t="shared" ca="1" si="50"/>
        <v>0.23913599796702223</v>
      </c>
      <c r="W191" s="11">
        <f t="shared" ca="1" si="51"/>
        <v>2.8760388635079748</v>
      </c>
      <c r="X191" s="11"/>
      <c r="Y191" s="2">
        <f t="shared" ca="1" si="52"/>
        <v>6.2079814940282181E-5</v>
      </c>
      <c r="Z191" s="11">
        <f t="shared" ca="1" si="53"/>
        <v>4.8974781338685394E-6</v>
      </c>
      <c r="AA191" s="2">
        <f t="shared" ca="1" si="54"/>
        <v>1.688228165290917E-2</v>
      </c>
      <c r="AB191" s="2">
        <f t="shared" ca="1" si="55"/>
        <v>6.466687889707753E-4</v>
      </c>
      <c r="AC191" s="2">
        <f t="shared" ca="1" si="56"/>
        <v>-1.1920634555015213E-4</v>
      </c>
      <c r="AD191" s="2">
        <f t="shared" ca="1" si="57"/>
        <v>0.33090035847847415</v>
      </c>
      <c r="AE191" s="2">
        <f t="shared" ca="1" si="58"/>
        <v>4.8974781338685394E-6</v>
      </c>
      <c r="AF191" s="2">
        <f t="shared" ca="1" si="59"/>
        <v>0.23912625805910215</v>
      </c>
      <c r="AG191" s="2">
        <f t="shared" ca="1" si="60"/>
        <v>2.8760349112799211</v>
      </c>
      <c r="AI191" s="2">
        <f t="shared" ca="1" si="61"/>
        <v>6.2079814940282181E-5</v>
      </c>
      <c r="AJ191" s="11">
        <f t="shared" ca="1" si="62"/>
        <v>4.8974781338685394E-6</v>
      </c>
      <c r="AK191" s="2">
        <f t="shared" ca="1" si="63"/>
        <v>1.6876503534874417E-2</v>
      </c>
      <c r="AL191" s="2">
        <f t="shared" ca="1" si="64"/>
        <v>6.4396438837651564E-4</v>
      </c>
      <c r="AM191" s="2">
        <f t="shared" ca="1" si="65"/>
        <v>-1.1920634555015213E-4</v>
      </c>
      <c r="AN191" s="2">
        <f t="shared" ca="1" si="66"/>
        <v>0.33090035847847415</v>
      </c>
      <c r="AO191" s="2">
        <f t="shared" ca="1" si="67"/>
        <v>4.8974781338685394E-6</v>
      </c>
      <c r="AP191" s="2">
        <f t="shared" ca="1" si="68"/>
        <v>0.23912625805910215</v>
      </c>
      <c r="AQ191" s="2">
        <f t="shared" ca="1" si="69"/>
        <v>2.8760349112799211</v>
      </c>
      <c r="AS191" s="2">
        <f t="shared" ca="1" si="70"/>
        <v>8.6913823637347054</v>
      </c>
      <c r="AT191" s="2">
        <f t="shared" ca="1" si="71"/>
        <v>0.40040480119680977</v>
      </c>
      <c r="AU191" s="2">
        <f t="shared" ca="1" si="72"/>
        <v>2.5929242666639042E-4</v>
      </c>
      <c r="AV191" s="2">
        <f t="shared" ca="1" si="73"/>
        <v>0.23887670554035584</v>
      </c>
      <c r="AW191" s="2">
        <f t="shared" ca="1" si="74"/>
        <v>0.70853853973348668</v>
      </c>
      <c r="AX191" s="2">
        <f t="shared" ca="1" si="75"/>
        <v>5.2989959668936076E-2</v>
      </c>
      <c r="AY191" s="9">
        <f t="shared" ca="1" si="76"/>
        <v>0.70853853973348668</v>
      </c>
      <c r="AZ191" s="9">
        <f t="shared" ca="1" si="77"/>
        <v>0.70853853973348668</v>
      </c>
      <c r="BB191" s="2">
        <f t="shared" ca="1" si="78"/>
        <v>8.6915436553297472</v>
      </c>
      <c r="BC191" s="2">
        <f t="shared" ca="1" si="79"/>
        <v>0.40041232189191944</v>
      </c>
      <c r="BD191" s="2">
        <f t="shared" ca="1" si="80"/>
        <v>2.578512759655504E-4</v>
      </c>
      <c r="BE191" s="2">
        <f t="shared" ca="1" si="81"/>
        <v>0.23886840678313659</v>
      </c>
      <c r="BF191" s="2">
        <f t="shared" ca="1" si="82"/>
        <v>0.7085214251122528</v>
      </c>
      <c r="BG191" s="2">
        <f t="shared" ca="1" si="83"/>
        <v>5.2973767525180342E-2</v>
      </c>
      <c r="BH191" s="2">
        <f t="shared" ca="1" si="84"/>
        <v>0.7085214251122528</v>
      </c>
      <c r="BI191" s="2">
        <f t="shared" ca="1" si="85"/>
        <v>0.7085214251122528</v>
      </c>
    </row>
    <row r="192" spans="1:61" ht="15" x14ac:dyDescent="0.25">
      <c r="A192" s="66">
        <v>126</v>
      </c>
      <c r="B192" s="66">
        <v>1498730185.858</v>
      </c>
      <c r="C192" s="67">
        <v>-3.4252544254061798E-5</v>
      </c>
      <c r="D192" s="67">
        <v>8.3222910077413803E-5</v>
      </c>
      <c r="E192" s="67">
        <v>1.7877828487275E-2</v>
      </c>
      <c r="F192" s="67">
        <v>7.6827443573171297E-4</v>
      </c>
      <c r="G192" s="67">
        <v>1.50277412547012E-5</v>
      </c>
      <c r="H192" s="67">
        <v>0.33361342487326601</v>
      </c>
      <c r="I192" s="67">
        <v>8.3222910077413803E-5</v>
      </c>
      <c r="J192" s="67">
        <v>0.24110746028348101</v>
      </c>
      <c r="K192" s="67">
        <v>2.8957291437707302</v>
      </c>
      <c r="L192" s="67"/>
      <c r="M192" s="67"/>
      <c r="O192" s="11">
        <f t="shared" ca="1" si="43"/>
        <v>-4.7056474964021826E-5</v>
      </c>
      <c r="P192" s="11">
        <f t="shared" ca="1" si="44"/>
        <v>8.2457809847109065E-5</v>
      </c>
      <c r="Q192" s="11">
        <f t="shared" ca="1" si="45"/>
        <v>1.7041336875006717E-2</v>
      </c>
      <c r="R192" s="11">
        <f t="shared" ca="1" si="46"/>
        <v>7.5662794808536581E-4</v>
      </c>
      <c r="S192" s="11">
        <f t="shared" ca="1" si="47"/>
        <v>4.1000892077310778E-6</v>
      </c>
      <c r="T192" s="11">
        <f t="shared" ca="1" si="48"/>
        <v>0.33247486983468372</v>
      </c>
      <c r="U192" s="11">
        <f t="shared" ca="1" si="49"/>
        <v>8.2457809847109065E-5</v>
      </c>
      <c r="V192" s="11">
        <f t="shared" ca="1" si="50"/>
        <v>0.24045726427778724</v>
      </c>
      <c r="W192" s="11">
        <f t="shared" ca="1" si="51"/>
        <v>2.8886062955072251</v>
      </c>
      <c r="X192" s="11"/>
      <c r="Y192" s="2">
        <f t="shared" ca="1" si="52"/>
        <v>-4.7056474964021826E-5</v>
      </c>
      <c r="Z192" s="11">
        <f t="shared" ca="1" si="53"/>
        <v>8.2457809847109065E-5</v>
      </c>
      <c r="AA192" s="2">
        <f t="shared" ca="1" si="54"/>
        <v>1.7040706011057567E-2</v>
      </c>
      <c r="AB192" s="2">
        <f t="shared" ca="1" si="55"/>
        <v>7.4135817295252851E-4</v>
      </c>
      <c r="AC192" s="2">
        <f t="shared" ca="1" si="56"/>
        <v>4.1000892077310778E-6</v>
      </c>
      <c r="AD192" s="2">
        <f t="shared" ca="1" si="57"/>
        <v>0.33236382344181625</v>
      </c>
      <c r="AE192" s="2">
        <f t="shared" ca="1" si="58"/>
        <v>8.2457809847109065E-5</v>
      </c>
      <c r="AF192" s="2">
        <f t="shared" ca="1" si="59"/>
        <v>0.2402932754955508</v>
      </c>
      <c r="AG192" s="2">
        <f t="shared" ca="1" si="60"/>
        <v>2.8885397526742769</v>
      </c>
      <c r="AI192" s="2">
        <f t="shared" ca="1" si="61"/>
        <v>-4.7056474964021826E-5</v>
      </c>
      <c r="AJ192" s="11">
        <f t="shared" ca="1" si="62"/>
        <v>8.2457809847109065E-5</v>
      </c>
      <c r="AK192" s="2">
        <f t="shared" ca="1" si="63"/>
        <v>1.6943421052317505E-2</v>
      </c>
      <c r="AL192" s="2">
        <f t="shared" ca="1" si="64"/>
        <v>6.9582474863569093E-4</v>
      </c>
      <c r="AM192" s="2">
        <f t="shared" ca="1" si="65"/>
        <v>4.1000892077310778E-6</v>
      </c>
      <c r="AN192" s="2">
        <f t="shared" ca="1" si="66"/>
        <v>0.33236382344181625</v>
      </c>
      <c r="AO192" s="2">
        <f t="shared" ca="1" si="67"/>
        <v>8.2457809847109065E-5</v>
      </c>
      <c r="AP192" s="2">
        <f t="shared" ca="1" si="68"/>
        <v>0.2402932754955508</v>
      </c>
      <c r="AQ192" s="2">
        <f t="shared" ca="1" si="69"/>
        <v>2.8885397526742769</v>
      </c>
      <c r="AS192" s="2">
        <f t="shared" ca="1" si="70"/>
        <v>8.6881943797542505</v>
      </c>
      <c r="AT192" s="2">
        <f t="shared" ca="1" si="71"/>
        <v>0.4002561524126711</v>
      </c>
      <c r="AU192" s="2">
        <f t="shared" ca="1" si="72"/>
        <v>3.0284499130854277E-4</v>
      </c>
      <c r="AV192" s="2">
        <f t="shared" ca="1" si="73"/>
        <v>0.24015441928647871</v>
      </c>
      <c r="AW192" s="2">
        <f t="shared" ca="1" si="74"/>
        <v>0.70910013080340017</v>
      </c>
      <c r="AX192" s="2">
        <f t="shared" ca="1" si="75"/>
        <v>5.3216852214119204E-2</v>
      </c>
      <c r="AY192" s="9">
        <f t="shared" ca="1" si="76"/>
        <v>0.70910013080340017</v>
      </c>
      <c r="AZ192" s="9">
        <f t="shared" ca="1" si="77"/>
        <v>0.70910013080340017</v>
      </c>
      <c r="BB192" s="2">
        <f t="shared" ca="1" si="78"/>
        <v>8.6908969898161796</v>
      </c>
      <c r="BC192" s="2">
        <f t="shared" ca="1" si="79"/>
        <v>0.40038216922018766</v>
      </c>
      <c r="BD192" s="2">
        <f t="shared" ca="1" si="80"/>
        <v>2.7859582225584975E-4</v>
      </c>
      <c r="BE192" s="2">
        <f t="shared" ca="1" si="81"/>
        <v>0.24001467967329496</v>
      </c>
      <c r="BF192" s="2">
        <f t="shared" ca="1" si="82"/>
        <v>0.70881327623690005</v>
      </c>
      <c r="BG192" s="2">
        <f t="shared" ca="1" si="83"/>
        <v>5.2945605156191962E-2</v>
      </c>
      <c r="BH192" s="2">
        <f t="shared" ca="1" si="84"/>
        <v>0.70881327623690005</v>
      </c>
      <c r="BI192" s="2">
        <f t="shared" ca="1" si="85"/>
        <v>0.70881327623690005</v>
      </c>
    </row>
    <row r="193" spans="1:61" ht="15" x14ac:dyDescent="0.25">
      <c r="A193" s="66">
        <v>127</v>
      </c>
      <c r="B193" s="66">
        <v>1498730186.385</v>
      </c>
      <c r="C193" s="67">
        <v>2.78733524546623E-5</v>
      </c>
      <c r="D193" s="67">
        <v>-1.7555912239382101E-5</v>
      </c>
      <c r="E193" s="67">
        <v>1.8463341668977899E-2</v>
      </c>
      <c r="F193" s="67">
        <v>5.6803701291804898E-4</v>
      </c>
      <c r="G193" s="67">
        <v>1.38741079299448E-5</v>
      </c>
      <c r="H193" s="67">
        <v>0.34640216996248901</v>
      </c>
      <c r="I193" s="67">
        <v>-1.7555912239382101E-5</v>
      </c>
      <c r="J193" s="67">
        <v>0.25038072671904299</v>
      </c>
      <c r="K193" s="67">
        <v>3.0069831477893998</v>
      </c>
      <c r="L193" s="67"/>
      <c r="M193" s="67"/>
      <c r="O193" s="11">
        <f t="shared" ca="1" si="43"/>
        <v>1.5069421744702273E-5</v>
      </c>
      <c r="P193" s="11">
        <f t="shared" ca="1" si="44"/>
        <v>-1.8321012469686843E-5</v>
      </c>
      <c r="Q193" s="11">
        <f t="shared" ca="1" si="45"/>
        <v>1.7626850056709616E-2</v>
      </c>
      <c r="R193" s="11">
        <f t="shared" ca="1" si="46"/>
        <v>5.5639052527170182E-4</v>
      </c>
      <c r="S193" s="11">
        <f t="shared" ca="1" si="47"/>
        <v>2.9464558829746778E-6</v>
      </c>
      <c r="T193" s="11">
        <f t="shared" ca="1" si="48"/>
        <v>0.34526361492390673</v>
      </c>
      <c r="U193" s="11">
        <f t="shared" ca="1" si="49"/>
        <v>-1.8321012469686843E-5</v>
      </c>
      <c r="V193" s="11">
        <f t="shared" ca="1" si="50"/>
        <v>0.24973053071334922</v>
      </c>
      <c r="W193" s="11">
        <f t="shared" ca="1" si="51"/>
        <v>2.9998602995258947</v>
      </c>
      <c r="X193" s="11"/>
      <c r="Y193" s="2">
        <f t="shared" ca="1" si="52"/>
        <v>1.5069421744702273E-5</v>
      </c>
      <c r="Z193" s="11">
        <f t="shared" ca="1" si="53"/>
        <v>-1.8321012469686843E-5</v>
      </c>
      <c r="AA193" s="2">
        <f t="shared" ca="1" si="54"/>
        <v>1.7626850056709616E-2</v>
      </c>
      <c r="AB193" s="2">
        <f t="shared" ca="1" si="55"/>
        <v>5.5639052527170182E-4</v>
      </c>
      <c r="AC193" s="2">
        <f t="shared" ca="1" si="56"/>
        <v>2.9464558829746778E-6</v>
      </c>
      <c r="AD193" s="2">
        <f t="shared" ca="1" si="57"/>
        <v>0.34526361492390673</v>
      </c>
      <c r="AE193" s="2">
        <f t="shared" ca="1" si="58"/>
        <v>-1.8321012469686843E-5</v>
      </c>
      <c r="AF193" s="2">
        <f t="shared" ca="1" si="59"/>
        <v>0.24973053071334922</v>
      </c>
      <c r="AG193" s="2">
        <f t="shared" ca="1" si="60"/>
        <v>2.9998602995258947</v>
      </c>
      <c r="AI193" s="2">
        <f t="shared" ca="1" si="61"/>
        <v>1.5069421744702273E-5</v>
      </c>
      <c r="AJ193" s="11">
        <f t="shared" ca="1" si="62"/>
        <v>-1.8321012469686843E-5</v>
      </c>
      <c r="AK193" s="2">
        <f t="shared" ca="1" si="63"/>
        <v>1.7626850056709616E-2</v>
      </c>
      <c r="AL193" s="2">
        <f t="shared" ca="1" si="64"/>
        <v>5.5639052527170182E-4</v>
      </c>
      <c r="AM193" s="2">
        <f t="shared" ca="1" si="65"/>
        <v>2.9464558829746778E-6</v>
      </c>
      <c r="AN193" s="2">
        <f t="shared" ca="1" si="66"/>
        <v>0.34526361492390673</v>
      </c>
      <c r="AO193" s="2">
        <f t="shared" ca="1" si="67"/>
        <v>-1.8321012469686843E-5</v>
      </c>
      <c r="AP193" s="2">
        <f t="shared" ca="1" si="68"/>
        <v>0.24973053071334922</v>
      </c>
      <c r="AQ193" s="2">
        <f t="shared" ca="1" si="69"/>
        <v>2.9998602995258947</v>
      </c>
      <c r="AS193" s="2">
        <f t="shared" ca="1" si="70"/>
        <v>8.6886082687486184</v>
      </c>
      <c r="AT193" s="2">
        <f t="shared" ca="1" si="71"/>
        <v>0.40027545112215146</v>
      </c>
      <c r="AU193" s="2">
        <f t="shared" ca="1" si="72"/>
        <v>2.2270946850322127E-4</v>
      </c>
      <c r="AV193" s="2">
        <f t="shared" ca="1" si="73"/>
        <v>0.249507821244846</v>
      </c>
      <c r="AW193" s="2">
        <f t="shared" ca="1" si="74"/>
        <v>0.70941234106779216</v>
      </c>
      <c r="AX193" s="2">
        <f t="shared" ca="1" si="75"/>
        <v>5.30089756178697E-2</v>
      </c>
      <c r="AY193" s="9">
        <f t="shared" ca="1" si="76"/>
        <v>0.70941234106779216</v>
      </c>
      <c r="AZ193" s="9">
        <f t="shared" ca="1" si="77"/>
        <v>0.70941234106779216</v>
      </c>
      <c r="BB193" s="2">
        <f t="shared" ca="1" si="78"/>
        <v>8.6886082687486184</v>
      </c>
      <c r="BC193" s="2">
        <f t="shared" ca="1" si="79"/>
        <v>0.40027545112215146</v>
      </c>
      <c r="BD193" s="2">
        <f t="shared" ca="1" si="80"/>
        <v>2.2270946850322127E-4</v>
      </c>
      <c r="BE193" s="2">
        <f t="shared" ca="1" si="81"/>
        <v>0.249507821244846</v>
      </c>
      <c r="BF193" s="2">
        <f t="shared" ca="1" si="82"/>
        <v>0.70941234106779216</v>
      </c>
      <c r="BG193" s="2">
        <f t="shared" ca="1" si="83"/>
        <v>5.30089756178697E-2</v>
      </c>
      <c r="BH193" s="2">
        <f t="shared" ca="1" si="84"/>
        <v>0.70941234106779216</v>
      </c>
      <c r="BI193" s="2">
        <f t="shared" ca="1" si="85"/>
        <v>0.70941234106779216</v>
      </c>
    </row>
    <row r="194" spans="1:61" ht="15" x14ac:dyDescent="0.25">
      <c r="A194" s="66">
        <v>128</v>
      </c>
      <c r="B194" s="66">
        <v>1498730186.9119999</v>
      </c>
      <c r="C194" s="67">
        <v>-2.5276419375423399E-5</v>
      </c>
      <c r="D194" s="67">
        <v>-8.2340523271739403E-5</v>
      </c>
      <c r="E194" s="67">
        <v>1.9228047715018699E-2</v>
      </c>
      <c r="F194" s="67">
        <v>7.0112733120715302E-4</v>
      </c>
      <c r="G194" s="67">
        <v>-1.3598073442278201E-4</v>
      </c>
      <c r="H194" s="67">
        <v>0.36032248757846003</v>
      </c>
      <c r="I194" s="67">
        <v>-8.2340523271739403E-5</v>
      </c>
      <c r="J194" s="67">
        <v>0.26003681562542302</v>
      </c>
      <c r="K194" s="67">
        <v>3.12665792834976</v>
      </c>
      <c r="L194" s="67"/>
      <c r="M194" s="67"/>
      <c r="O194" s="11">
        <f t="shared" ca="1" si="43"/>
        <v>-3.8080350085383427E-5</v>
      </c>
      <c r="P194" s="11">
        <f t="shared" ca="1" si="44"/>
        <v>-8.3105623502044141E-5</v>
      </c>
      <c r="Q194" s="11">
        <f t="shared" ca="1" si="45"/>
        <v>1.8391556102750416E-2</v>
      </c>
      <c r="R194" s="11">
        <f t="shared" ca="1" si="46"/>
        <v>6.8948084356080586E-4</v>
      </c>
      <c r="S194" s="11">
        <f t="shared" ca="1" si="47"/>
        <v>-1.4690838646975213E-4</v>
      </c>
      <c r="T194" s="11">
        <f t="shared" ca="1" si="48"/>
        <v>0.35918393253987774</v>
      </c>
      <c r="U194" s="11">
        <f t="shared" ca="1" si="49"/>
        <v>-8.3105623502044141E-5</v>
      </c>
      <c r="V194" s="11">
        <f t="shared" ca="1" si="50"/>
        <v>0.25938661961972925</v>
      </c>
      <c r="W194" s="11">
        <f t="shared" ca="1" si="51"/>
        <v>3.1195350800862549</v>
      </c>
      <c r="X194" s="11"/>
      <c r="Y194" s="2">
        <f t="shared" ca="1" si="52"/>
        <v>-3.8080350085383427E-5</v>
      </c>
      <c r="Z194" s="11">
        <f t="shared" ca="1" si="53"/>
        <v>-8.3105623502044141E-5</v>
      </c>
      <c r="AA194" s="2">
        <f t="shared" ca="1" si="54"/>
        <v>1.8391556102750416E-2</v>
      </c>
      <c r="AB194" s="2">
        <f t="shared" ca="1" si="55"/>
        <v>6.8948084356080586E-4</v>
      </c>
      <c r="AC194" s="2">
        <f t="shared" ca="1" si="56"/>
        <v>-1.4690838646975213E-4</v>
      </c>
      <c r="AD194" s="2">
        <f t="shared" ca="1" si="57"/>
        <v>0.35918393253987774</v>
      </c>
      <c r="AE194" s="2">
        <f t="shared" ca="1" si="58"/>
        <v>-8.3105623502044141E-5</v>
      </c>
      <c r="AF194" s="2">
        <f t="shared" ca="1" si="59"/>
        <v>0.25938661961972925</v>
      </c>
      <c r="AG194" s="2">
        <f t="shared" ca="1" si="60"/>
        <v>3.1195350800862549</v>
      </c>
      <c r="AI194" s="2">
        <f t="shared" ca="1" si="61"/>
        <v>-3.8080350085383427E-5</v>
      </c>
      <c r="AJ194" s="11">
        <f t="shared" ca="1" si="62"/>
        <v>-8.3105623502044141E-5</v>
      </c>
      <c r="AK194" s="2">
        <f t="shared" ca="1" si="63"/>
        <v>1.8391556102750416E-2</v>
      </c>
      <c r="AL194" s="2">
        <f t="shared" ca="1" si="64"/>
        <v>6.8948084356080586E-4</v>
      </c>
      <c r="AM194" s="2">
        <f t="shared" ca="1" si="65"/>
        <v>-1.4690838646975213E-4</v>
      </c>
      <c r="AN194" s="2">
        <f t="shared" ca="1" si="66"/>
        <v>0.35918393253987774</v>
      </c>
      <c r="AO194" s="2">
        <f t="shared" ca="1" si="67"/>
        <v>-8.3105623502044141E-5</v>
      </c>
      <c r="AP194" s="2">
        <f t="shared" ca="1" si="68"/>
        <v>0.25938661961972925</v>
      </c>
      <c r="AQ194" s="2">
        <f t="shared" ca="1" si="69"/>
        <v>3.1195350800862549</v>
      </c>
      <c r="AS194" s="2">
        <f t="shared" ca="1" si="70"/>
        <v>8.6850629927326004</v>
      </c>
      <c r="AT194" s="2">
        <f t="shared" ca="1" si="71"/>
        <v>0.40011014326610522</v>
      </c>
      <c r="AU194" s="2">
        <f t="shared" ca="1" si="72"/>
        <v>2.7586827909634914E-4</v>
      </c>
      <c r="AV194" s="2">
        <f t="shared" ca="1" si="73"/>
        <v>0.25911075134063288</v>
      </c>
      <c r="AW194" s="2">
        <f t="shared" ca="1" si="74"/>
        <v>0.70830968554041773</v>
      </c>
      <c r="AX194" s="2">
        <f t="shared" ca="1" si="75"/>
        <v>5.3142958056587572E-2</v>
      </c>
      <c r="AY194" s="9">
        <f t="shared" ca="1" si="76"/>
        <v>0.70830968554041773</v>
      </c>
      <c r="AZ194" s="9">
        <f t="shared" ca="1" si="77"/>
        <v>0.70830968554041773</v>
      </c>
      <c r="BB194" s="2">
        <f t="shared" ca="1" si="78"/>
        <v>8.6850629927326004</v>
      </c>
      <c r="BC194" s="2">
        <f t="shared" ca="1" si="79"/>
        <v>0.40011014326610522</v>
      </c>
      <c r="BD194" s="2">
        <f t="shared" ca="1" si="80"/>
        <v>2.7586827909634914E-4</v>
      </c>
      <c r="BE194" s="2">
        <f t="shared" ca="1" si="81"/>
        <v>0.25911075134063288</v>
      </c>
      <c r="BF194" s="2">
        <f t="shared" ca="1" si="82"/>
        <v>0.70830968554041773</v>
      </c>
      <c r="BG194" s="2">
        <f t="shared" ca="1" si="83"/>
        <v>5.3142958056587572E-2</v>
      </c>
      <c r="BH194" s="2">
        <f t="shared" ca="1" si="84"/>
        <v>0.70830968554041773</v>
      </c>
      <c r="BI194" s="2">
        <f t="shared" ca="1" si="85"/>
        <v>0.70830968554041773</v>
      </c>
    </row>
    <row r="195" spans="1:61" ht="15" x14ac:dyDescent="0.25">
      <c r="A195" s="66">
        <v>129</v>
      </c>
      <c r="B195" s="66">
        <v>1498730187.438</v>
      </c>
      <c r="C195" s="67">
        <v>5.3858721614383202E-5</v>
      </c>
      <c r="D195" s="67">
        <v>2.8154030279633E-5</v>
      </c>
      <c r="E195" s="67">
        <v>1.8939917419484802E-2</v>
      </c>
      <c r="F195" s="67">
        <v>6.4779384024343497E-4</v>
      </c>
      <c r="G195" s="67">
        <v>4.7867731311182404E-6</v>
      </c>
      <c r="H195" s="67">
        <v>0.35726624857849998</v>
      </c>
      <c r="I195" s="67">
        <v>2.8154030279633E-5</v>
      </c>
      <c r="J195" s="67">
        <v>0.25821268642380701</v>
      </c>
      <c r="K195" s="67">
        <v>3.1044199758756399</v>
      </c>
      <c r="L195" s="67"/>
      <c r="M195" s="67"/>
      <c r="O195" s="11">
        <f t="shared" ref="O195:O258" ca="1" si="86">C195-AVERAGE(OFFSET(C$67,$J$2,0,$J$3))</f>
        <v>4.1054790904423175E-5</v>
      </c>
      <c r="P195" s="11">
        <f t="shared" ref="P195:P258" ca="1" si="87">D195-AVERAGE(OFFSET(D$67,$J$2,0,$J$3))</f>
        <v>2.7388930049328258E-5</v>
      </c>
      <c r="Q195" s="11">
        <f t="shared" ref="Q195:Q258" ca="1" si="88">E195-AVERAGE(OFFSET(E$67,$J$2,0,$J$3))</f>
        <v>1.8103425807216519E-2</v>
      </c>
      <c r="R195" s="11">
        <f t="shared" ref="R195:R258" ca="1" si="89">F195-AVERAGE(OFFSET(F$67,$J$2,0,$J$3))</f>
        <v>6.361473525970878E-4</v>
      </c>
      <c r="S195" s="11">
        <f t="shared" ref="S195:S258" ca="1" si="90">G195-AVERAGE(OFFSET(G$67,$J$2,0,$J$3))</f>
        <v>-6.140878915851882E-6</v>
      </c>
      <c r="T195" s="11">
        <f t="shared" ref="T195:T258" ca="1" si="91">H195-AVERAGE(OFFSET(H$67,$J$2,0,$J$3))</f>
        <v>0.35612769353991769</v>
      </c>
      <c r="U195" s="11">
        <f t="shared" ref="U195:U258" ca="1" si="92">I195-AVERAGE(OFFSET(I$67,$J$2,0,$J$3))</f>
        <v>2.7388930049328258E-5</v>
      </c>
      <c r="V195" s="11">
        <f t="shared" ref="V195:V258" ca="1" si="93">J195-AVERAGE(OFFSET(J$67,$J$2,0,$J$3))</f>
        <v>0.25756249041811324</v>
      </c>
      <c r="W195" s="11">
        <f t="shared" ref="W195:W258" ca="1" si="94">K195-AVERAGE(OFFSET(K$67,$J$2,0,$J$3))</f>
        <v>3.0972971276121348</v>
      </c>
      <c r="X195" s="11"/>
      <c r="Y195" s="2">
        <f t="shared" ref="Y195:Y258" ca="1" si="95">O195</f>
        <v>4.1054790904423175E-5</v>
      </c>
      <c r="Z195" s="11">
        <f t="shared" ref="Z195:Z258" ca="1" si="96">P195</f>
        <v>2.7388930049328258E-5</v>
      </c>
      <c r="AA195" s="2">
        <f t="shared" ref="AA195:AA258" ca="1" si="97">IF($U195&gt;0,Q195-($B$14/$B$18*$U195), Q195)</f>
        <v>1.8103216261406291E-2</v>
      </c>
      <c r="AB195" s="2">
        <f t="shared" ref="AB195:AB258" ca="1" si="98">IF($U195&gt;0,R195-($B$15/$B$18*$U195), R195)</f>
        <v>6.3107539150865106E-4</v>
      </c>
      <c r="AC195" s="2">
        <f t="shared" ref="AC195:AC258" ca="1" si="99">S195</f>
        <v>-6.140878915851882E-6</v>
      </c>
      <c r="AD195" s="2">
        <f t="shared" ref="AD195:AD258" ca="1" si="100">IF($U195&gt;0,T195-($B$17/$B$18*$U195), T195)</f>
        <v>0.35609080871491305</v>
      </c>
      <c r="AE195" s="2">
        <f t="shared" ref="AE195:AE258" ca="1" si="101">U195</f>
        <v>2.7388930049328258E-5</v>
      </c>
      <c r="AF195" s="2">
        <f t="shared" ref="AF195:AF258" ca="1" si="102">IF($U195&gt;0,V195-($B$19/$B$18*$U195), V195)</f>
        <v>0.25750802041346632</v>
      </c>
      <c r="AG195" s="2">
        <f t="shared" ref="AG195:AG258" ca="1" si="103">IF($U195&gt;0,W195-($B$20/$B$18*$U195), W195)</f>
        <v>3.0972750249513887</v>
      </c>
      <c r="AI195" s="2">
        <f t="shared" ref="AI195:AI258" ca="1" si="104">Y195</f>
        <v>4.1054790904423175E-5</v>
      </c>
      <c r="AJ195" s="11">
        <f t="shared" ref="AJ195:AJ258" ca="1" si="105">Z195</f>
        <v>2.7388930049328258E-5</v>
      </c>
      <c r="AK195" s="2">
        <f t="shared" ref="AK195:AK258" ca="1" si="106">IF($AJ195&gt;0,AA195-($B$25/$B$24*$AJ195),AA195)</f>
        <v>1.8070902391625808E-2</v>
      </c>
      <c r="AL195" s="2">
        <f t="shared" ref="AL195:AL258" ca="1" si="107">IF($AJ195&gt;0,AB195-($B$26/$B$25*$AJ195),AB195)</f>
        <v>6.1595115068982986E-4</v>
      </c>
      <c r="AM195" s="2">
        <f t="shared" ref="AM195:AM258" ca="1" si="108">AC195</f>
        <v>-6.140878915851882E-6</v>
      </c>
      <c r="AN195" s="2">
        <f t="shared" ref="AN195:AN258" ca="1" si="109">AD195</f>
        <v>0.35609080871491305</v>
      </c>
      <c r="AO195" s="2">
        <f t="shared" ref="AO195:AO258" ca="1" si="110">AE195</f>
        <v>2.7388930049328258E-5</v>
      </c>
      <c r="AP195" s="2">
        <f t="shared" ref="AP195:AP258" ca="1" si="111">AF195</f>
        <v>0.25750802041346632</v>
      </c>
      <c r="AQ195" s="2">
        <f t="shared" ref="AQ195:AQ258" ca="1" si="112">AG195</f>
        <v>3.0972750249513887</v>
      </c>
      <c r="AS195" s="2">
        <f t="shared" ref="AS195:AS258" ca="1" si="113">IF(AND(T195&gt;0,W195&gt;0),W195/T195, #N/A)</f>
        <v>8.6971532509166263</v>
      </c>
      <c r="AT195" s="2">
        <f t="shared" ref="AT195:AT258" ca="1" si="114">$B$8*((AS195/$B$10)^$B$11)</f>
        <v>0.40067388684156147</v>
      </c>
      <c r="AU195" s="2">
        <f t="shared" ref="AU195:AU258" ca="1" si="115">AT195*R195</f>
        <v>2.5488763236904447E-4</v>
      </c>
      <c r="AV195" s="2">
        <f t="shared" ref="AV195:AV258" ca="1" si="116">V195-AU195</f>
        <v>0.25730760278574422</v>
      </c>
      <c r="AW195" s="2">
        <f t="shared" ref="AW195:AW258" ca="1" si="117">(AV195/T195)/((AS195/$B$10)^$B$12)</f>
        <v>0.70892007316399364</v>
      </c>
      <c r="AX195" s="2">
        <f t="shared" ref="AX195:AX258" ca="1" si="118">(Q195/T195)/((AS195/$B$10)^$B$13)</f>
        <v>5.2834471260146884E-2</v>
      </c>
      <c r="AY195" s="9">
        <f t="shared" ref="AY195:AY258" ca="1" si="119">IF(AND(AW195&lt;$M$3,AW195&gt;$M$4),AW195,"rejected")</f>
        <v>0.70892007316399364</v>
      </c>
      <c r="AZ195" s="9">
        <f t="shared" ref="AZ195:AZ258" ca="1" si="120">IF(AND(AW195&lt;$M$3,AW195&gt;$M$4),AW195,#N/A)</f>
        <v>0.70892007316399364</v>
      </c>
      <c r="BB195" s="2">
        <f t="shared" ref="BB195:BB258" ca="1" si="121">IF(AND(AQ195&gt;0, AN195&gt;0),AQ195/AN195, #N/A)</f>
        <v>8.6979920546926355</v>
      </c>
      <c r="BC195" s="2">
        <f t="shared" ref="BC195:BC258" ca="1" si="122">$B$8*((BB195/$B$10)^$B$11)</f>
        <v>0.40071299886857431</v>
      </c>
      <c r="BD195" s="2">
        <f t="shared" ref="BD195:BD258" ca="1" si="123">BC195*AL195</f>
        <v>2.4681963274947083E-4</v>
      </c>
      <c r="BE195" s="2">
        <f t="shared" ref="BE195:BE258" ca="1" si="124">AP195-BD195</f>
        <v>0.25726120078071685</v>
      </c>
      <c r="BF195" s="2">
        <f t="shared" ref="BF195:BF258" ca="1" si="125">(BE195/AN195)/((BB195/$B$10)^$B$12)</f>
        <v>0.70883122070380178</v>
      </c>
      <c r="BG195" s="2">
        <f t="shared" ref="BG195:BG258" ca="1" si="126">(AK195/AN195)/((BB195/$B$10)^$B$13)</f>
        <v>5.2750220567063098E-2</v>
      </c>
      <c r="BH195" s="2">
        <f t="shared" ref="BH195:BH258" ca="1" si="127">IF(AND(BF195&lt;$P$3,BF195&gt;$P$4),BF195,"rejected")</f>
        <v>0.70883122070380178</v>
      </c>
      <c r="BI195" s="2">
        <f t="shared" ref="BI195:BI258" ca="1" si="128">IF(AND(BF195&lt;$P$3,BF195&gt;$P$4),BF195,#N/A)</f>
        <v>0.70883122070380178</v>
      </c>
    </row>
    <row r="196" spans="1:61" ht="15" x14ac:dyDescent="0.25">
      <c r="A196" s="66">
        <v>130</v>
      </c>
      <c r="B196" s="66">
        <v>1498730187.9649999</v>
      </c>
      <c r="C196" s="67">
        <v>-6.6376957368570897E-5</v>
      </c>
      <c r="D196" s="67">
        <v>8.9462013923259594E-6</v>
      </c>
      <c r="E196" s="67">
        <v>1.8907800670373301E-2</v>
      </c>
      <c r="F196" s="67">
        <v>5.53276746170315E-4</v>
      </c>
      <c r="G196" s="67">
        <v>-1.8681054407997299E-5</v>
      </c>
      <c r="H196" s="67">
        <v>0.356516042475503</v>
      </c>
      <c r="I196" s="67">
        <v>8.9462013923259594E-6</v>
      </c>
      <c r="J196" s="67">
        <v>0.25763583970924597</v>
      </c>
      <c r="K196" s="67">
        <v>3.09628277776268</v>
      </c>
      <c r="L196" s="67"/>
      <c r="M196" s="67"/>
      <c r="O196" s="11">
        <f t="shared" ca="1" si="86"/>
        <v>-7.9180888078530918E-5</v>
      </c>
      <c r="P196" s="11">
        <f t="shared" ca="1" si="87"/>
        <v>8.1811011620212191E-6</v>
      </c>
      <c r="Q196" s="11">
        <f t="shared" ca="1" si="88"/>
        <v>1.8071309058105018E-2</v>
      </c>
      <c r="R196" s="11">
        <f t="shared" ca="1" si="89"/>
        <v>5.4163025852396783E-4</v>
      </c>
      <c r="S196" s="11">
        <f t="shared" ca="1" si="90"/>
        <v>-2.960870645496742E-5</v>
      </c>
      <c r="T196" s="11">
        <f t="shared" ca="1" si="91"/>
        <v>0.35537748743692071</v>
      </c>
      <c r="U196" s="11">
        <f t="shared" ca="1" si="92"/>
        <v>8.1811011620212191E-6</v>
      </c>
      <c r="V196" s="11">
        <f t="shared" ca="1" si="93"/>
        <v>0.2569856437035522</v>
      </c>
      <c r="W196" s="11">
        <f t="shared" ca="1" si="94"/>
        <v>3.089159929499175</v>
      </c>
      <c r="X196" s="11"/>
      <c r="Y196" s="2">
        <f t="shared" ca="1" si="95"/>
        <v>-7.9180888078530918E-5</v>
      </c>
      <c r="Z196" s="11">
        <f t="shared" ca="1" si="96"/>
        <v>8.1811011620212191E-6</v>
      </c>
      <c r="AA196" s="2">
        <f t="shared" ca="1" si="97"/>
        <v>1.8071246466559148E-2</v>
      </c>
      <c r="AB196" s="2">
        <f t="shared" ca="1" si="98"/>
        <v>5.4011525860686246E-4</v>
      </c>
      <c r="AC196" s="2">
        <f t="shared" ca="1" si="99"/>
        <v>-2.960870645496742E-5</v>
      </c>
      <c r="AD196" s="2">
        <f t="shared" ca="1" si="100"/>
        <v>0.3553664699023123</v>
      </c>
      <c r="AE196" s="2">
        <f t="shared" ca="1" si="101"/>
        <v>8.1811011620212191E-6</v>
      </c>
      <c r="AF196" s="2">
        <f t="shared" ca="1" si="102"/>
        <v>0.25696937345796356</v>
      </c>
      <c r="AG196" s="2">
        <f t="shared" ca="1" si="103"/>
        <v>3.0891533274120109</v>
      </c>
      <c r="AI196" s="2">
        <f t="shared" ca="1" si="104"/>
        <v>-7.9180888078530918E-5</v>
      </c>
      <c r="AJ196" s="11">
        <f t="shared" ca="1" si="105"/>
        <v>8.1811011620212191E-6</v>
      </c>
      <c r="AK196" s="2">
        <f t="shared" ca="1" si="106"/>
        <v>1.8061594280908436E-2</v>
      </c>
      <c r="AL196" s="2">
        <f t="shared" ca="1" si="107"/>
        <v>5.355976325471843E-4</v>
      </c>
      <c r="AM196" s="2">
        <f t="shared" ca="1" si="108"/>
        <v>-2.960870645496742E-5</v>
      </c>
      <c r="AN196" s="2">
        <f t="shared" ca="1" si="109"/>
        <v>0.3553664699023123</v>
      </c>
      <c r="AO196" s="2">
        <f t="shared" ca="1" si="110"/>
        <v>8.1811011620212191E-6</v>
      </c>
      <c r="AP196" s="2">
        <f t="shared" ca="1" si="111"/>
        <v>0.25696937345796356</v>
      </c>
      <c r="AQ196" s="2">
        <f t="shared" ca="1" si="112"/>
        <v>3.0891533274120109</v>
      </c>
      <c r="AS196" s="2">
        <f t="shared" ca="1" si="113"/>
        <v>8.6926157078182928</v>
      </c>
      <c r="AT196" s="2">
        <f t="shared" ca="1" si="114"/>
        <v>0.40046230953599865</v>
      </c>
      <c r="AU196" s="2">
        <f t="shared" ca="1" si="115"/>
        <v>2.1690250424308817E-4</v>
      </c>
      <c r="AV196" s="2">
        <f t="shared" ca="1" si="116"/>
        <v>0.25676874119930909</v>
      </c>
      <c r="AW196" s="2">
        <f t="shared" ca="1" si="117"/>
        <v>0.70911517123119494</v>
      </c>
      <c r="AX196" s="2">
        <f t="shared" ca="1" si="118"/>
        <v>5.2823860202787391E-2</v>
      </c>
      <c r="AY196" s="9">
        <f t="shared" ca="1" si="119"/>
        <v>0.70911517123119494</v>
      </c>
      <c r="AZ196" s="9">
        <f t="shared" ca="1" si="120"/>
        <v>0.70911517123119494</v>
      </c>
      <c r="BB196" s="2">
        <f t="shared" ca="1" si="121"/>
        <v>8.6928666293733254</v>
      </c>
      <c r="BC196" s="2">
        <f t="shared" ca="1" si="122"/>
        <v>0.40047400951253526</v>
      </c>
      <c r="BD196" s="2">
        <f t="shared" ca="1" si="123"/>
        <v>2.1449293139159245E-4</v>
      </c>
      <c r="BE196" s="2">
        <f t="shared" ca="1" si="124"/>
        <v>0.25675488052657197</v>
      </c>
      <c r="BF196" s="2">
        <f t="shared" ca="1" si="125"/>
        <v>0.7090885683309156</v>
      </c>
      <c r="BG196" s="2">
        <f t="shared" ca="1" si="126"/>
        <v>5.2798659456851235E-2</v>
      </c>
      <c r="BH196" s="2">
        <f t="shared" ca="1" si="127"/>
        <v>0.7090885683309156</v>
      </c>
      <c r="BI196" s="2">
        <f t="shared" ca="1" si="128"/>
        <v>0.7090885683309156</v>
      </c>
    </row>
    <row r="197" spans="1:61" ht="15" x14ac:dyDescent="0.25">
      <c r="A197" s="66">
        <v>131</v>
      </c>
      <c r="B197" s="66">
        <v>1498730188.4920001</v>
      </c>
      <c r="C197" s="67">
        <v>-2.4567774478899399E-5</v>
      </c>
      <c r="D197" s="67">
        <v>8.7572129459349495E-6</v>
      </c>
      <c r="E197" s="67">
        <v>1.8357691237658701E-2</v>
      </c>
      <c r="F197" s="67">
        <v>5.8946359468030904E-4</v>
      </c>
      <c r="G197" s="67">
        <v>2.86133746504204E-5</v>
      </c>
      <c r="H197" s="67">
        <v>0.345225869966998</v>
      </c>
      <c r="I197" s="67">
        <v>8.7572129459349495E-6</v>
      </c>
      <c r="J197" s="67">
        <v>0.24938433430520601</v>
      </c>
      <c r="K197" s="67">
        <v>2.99861380733604</v>
      </c>
      <c r="L197" s="67"/>
      <c r="M197" s="67"/>
      <c r="O197" s="11">
        <f t="shared" ca="1" si="86"/>
        <v>-3.7371705188859426E-5</v>
      </c>
      <c r="P197" s="11">
        <f t="shared" ca="1" si="87"/>
        <v>7.9921127156302092E-6</v>
      </c>
      <c r="Q197" s="11">
        <f t="shared" ca="1" si="88"/>
        <v>1.7521199625390418E-2</v>
      </c>
      <c r="R197" s="11">
        <f t="shared" ca="1" si="89"/>
        <v>5.7781710703396188E-4</v>
      </c>
      <c r="S197" s="11">
        <f t="shared" ca="1" si="90"/>
        <v>1.7685722603450279E-5</v>
      </c>
      <c r="T197" s="11">
        <f t="shared" ca="1" si="91"/>
        <v>0.34408731492841571</v>
      </c>
      <c r="U197" s="11">
        <f t="shared" ca="1" si="92"/>
        <v>7.9921127156302092E-6</v>
      </c>
      <c r="V197" s="11">
        <f t="shared" ca="1" si="93"/>
        <v>0.24873413829951224</v>
      </c>
      <c r="W197" s="11">
        <f t="shared" ca="1" si="94"/>
        <v>2.9914909590725349</v>
      </c>
      <c r="X197" s="11"/>
      <c r="Y197" s="2">
        <f t="shared" ca="1" si="95"/>
        <v>-3.7371705188859426E-5</v>
      </c>
      <c r="Z197" s="11">
        <f t="shared" ca="1" si="96"/>
        <v>7.9921127156302092E-6</v>
      </c>
      <c r="AA197" s="2">
        <f t="shared" ca="1" si="97"/>
        <v>1.7521138479747584E-2</v>
      </c>
      <c r="AB197" s="2">
        <f t="shared" ca="1" si="98"/>
        <v>5.7633710454262424E-4</v>
      </c>
      <c r="AC197" s="2">
        <f t="shared" ca="1" si="99"/>
        <v>1.7685722603450279E-5</v>
      </c>
      <c r="AD197" s="2">
        <f t="shared" ca="1" si="100"/>
        <v>0.3440765519056031</v>
      </c>
      <c r="AE197" s="2">
        <f t="shared" ca="1" si="101"/>
        <v>7.9921127156302092E-6</v>
      </c>
      <c r="AF197" s="2">
        <f t="shared" ca="1" si="102"/>
        <v>0.2487182439065595</v>
      </c>
      <c r="AG197" s="2">
        <f t="shared" ca="1" si="103"/>
        <v>2.991484509497627</v>
      </c>
      <c r="AI197" s="2">
        <f t="shared" ca="1" si="104"/>
        <v>-3.7371705188859426E-5</v>
      </c>
      <c r="AJ197" s="11">
        <f t="shared" ca="1" si="105"/>
        <v>7.9921127156302092E-6</v>
      </c>
      <c r="AK197" s="2">
        <f t="shared" ca="1" si="106"/>
        <v>1.7511709265495744E-2</v>
      </c>
      <c r="AL197" s="2">
        <f t="shared" ca="1" si="107"/>
        <v>5.7192383841121069E-4</v>
      </c>
      <c r="AM197" s="2">
        <f t="shared" ca="1" si="108"/>
        <v>1.7685722603450279E-5</v>
      </c>
      <c r="AN197" s="2">
        <f t="shared" ca="1" si="109"/>
        <v>0.3440765519056031</v>
      </c>
      <c r="AO197" s="2">
        <f t="shared" ca="1" si="110"/>
        <v>7.9921127156302092E-6</v>
      </c>
      <c r="AP197" s="2">
        <f t="shared" ca="1" si="111"/>
        <v>0.2487182439065595</v>
      </c>
      <c r="AQ197" s="2">
        <f t="shared" ca="1" si="112"/>
        <v>2.991484509497627</v>
      </c>
      <c r="AS197" s="2">
        <f t="shared" ca="1" si="113"/>
        <v>8.6939879190108709</v>
      </c>
      <c r="AT197" s="2">
        <f t="shared" ca="1" si="114"/>
        <v>0.40052629308381571</v>
      </c>
      <c r="AU197" s="2">
        <f t="shared" ca="1" si="115"/>
        <v>2.3143094396072713E-4</v>
      </c>
      <c r="AV197" s="2">
        <f t="shared" ca="1" si="116"/>
        <v>0.24850270735555152</v>
      </c>
      <c r="AW197" s="2">
        <f t="shared" ca="1" si="117"/>
        <v>0.70874902998614997</v>
      </c>
      <c r="AX197" s="2">
        <f t="shared" ca="1" si="118"/>
        <v>5.2904882659066219E-2</v>
      </c>
      <c r="AY197" s="9">
        <f t="shared" ca="1" si="119"/>
        <v>0.70874902998614997</v>
      </c>
      <c r="AZ197" s="9">
        <f t="shared" ca="1" si="120"/>
        <v>0.70874902998614997</v>
      </c>
      <c r="BB197" s="2">
        <f t="shared" ca="1" si="121"/>
        <v>8.6942411301492477</v>
      </c>
      <c r="BC197" s="2">
        <f t="shared" ca="1" si="122"/>
        <v>0.40053809984172417</v>
      </c>
      <c r="BD197" s="2">
        <f t="shared" ca="1" si="123"/>
        <v>2.2907728749141162E-4</v>
      </c>
      <c r="BE197" s="2">
        <f t="shared" ca="1" si="124"/>
        <v>0.24848916661906809</v>
      </c>
      <c r="BF197" s="2">
        <f t="shared" ca="1" si="125"/>
        <v>0.70872218503914686</v>
      </c>
      <c r="BG197" s="2">
        <f t="shared" ca="1" si="126"/>
        <v>5.2879456607003494E-2</v>
      </c>
      <c r="BH197" s="2">
        <f t="shared" ca="1" si="127"/>
        <v>0.70872218503914686</v>
      </c>
      <c r="BI197" s="2">
        <f t="shared" ca="1" si="128"/>
        <v>0.70872218503914686</v>
      </c>
    </row>
    <row r="198" spans="1:61" ht="15" x14ac:dyDescent="0.25">
      <c r="A198" s="66">
        <v>132</v>
      </c>
      <c r="B198" s="66">
        <v>1498730189.0190001</v>
      </c>
      <c r="C198" s="67">
        <v>-6.3542492168666007E-5</v>
      </c>
      <c r="D198" s="67">
        <v>3.3777690223085201E-5</v>
      </c>
      <c r="E198" s="67">
        <v>1.7722193831333E-2</v>
      </c>
      <c r="F198" s="67">
        <v>5.3304125106454496E-4</v>
      </c>
      <c r="G198" s="67">
        <v>3.8668416039427399E-5</v>
      </c>
      <c r="H198" s="67">
        <v>0.33247826765341798</v>
      </c>
      <c r="I198" s="67">
        <v>3.3777690223085201E-5</v>
      </c>
      <c r="J198" s="67">
        <v>0.24026541962570599</v>
      </c>
      <c r="K198" s="67">
        <v>2.88773220220722</v>
      </c>
      <c r="L198" s="67"/>
      <c r="M198" s="67"/>
      <c r="O198" s="11">
        <f t="shared" ca="1" si="86"/>
        <v>-7.6346422878626028E-5</v>
      </c>
      <c r="P198" s="11">
        <f t="shared" ca="1" si="87"/>
        <v>3.3012589992780463E-5</v>
      </c>
      <c r="Q198" s="11">
        <f t="shared" ca="1" si="88"/>
        <v>1.6885702219064717E-2</v>
      </c>
      <c r="R198" s="11">
        <f t="shared" ca="1" si="89"/>
        <v>5.213947634181978E-4</v>
      </c>
      <c r="S198" s="11">
        <f t="shared" ca="1" si="90"/>
        <v>2.7740763992457279E-5</v>
      </c>
      <c r="T198" s="11">
        <f t="shared" ca="1" si="91"/>
        <v>0.33133971261483569</v>
      </c>
      <c r="U198" s="11">
        <f t="shared" ca="1" si="92"/>
        <v>3.3012589992780463E-5</v>
      </c>
      <c r="V198" s="11">
        <f t="shared" ca="1" si="93"/>
        <v>0.23961522362001222</v>
      </c>
      <c r="W198" s="11">
        <f t="shared" ca="1" si="94"/>
        <v>2.880609353943715</v>
      </c>
      <c r="X198" s="11"/>
      <c r="Y198" s="2">
        <f t="shared" ca="1" si="95"/>
        <v>-7.6346422878626028E-5</v>
      </c>
      <c r="Z198" s="11">
        <f t="shared" ca="1" si="96"/>
        <v>3.3012589992780463E-5</v>
      </c>
      <c r="AA198" s="2">
        <f t="shared" ca="1" si="97"/>
        <v>1.6885449648047696E-2</v>
      </c>
      <c r="AB198" s="2">
        <f t="shared" ca="1" si="98"/>
        <v>5.1528139675618013E-4</v>
      </c>
      <c r="AC198" s="2">
        <f t="shared" ca="1" si="99"/>
        <v>2.7740763992457279E-5</v>
      </c>
      <c r="AD198" s="2">
        <f t="shared" ca="1" si="100"/>
        <v>0.33129525437558938</v>
      </c>
      <c r="AE198" s="2">
        <f t="shared" ca="1" si="101"/>
        <v>3.3012589992780463E-5</v>
      </c>
      <c r="AF198" s="2">
        <f t="shared" ca="1" si="102"/>
        <v>0.2395495695062124</v>
      </c>
      <c r="AG198" s="2">
        <f t="shared" ca="1" si="103"/>
        <v>2.8805827130316515</v>
      </c>
      <c r="AI198" s="2">
        <f t="shared" ca="1" si="104"/>
        <v>-7.6346422878626028E-5</v>
      </c>
      <c r="AJ198" s="11">
        <f t="shared" ca="1" si="105"/>
        <v>3.3012589992780463E-5</v>
      </c>
      <c r="AK198" s="2">
        <f t="shared" ca="1" si="106"/>
        <v>1.6846500900060027E-2</v>
      </c>
      <c r="AL198" s="2">
        <f t="shared" ca="1" si="107"/>
        <v>4.9705175579523042E-4</v>
      </c>
      <c r="AM198" s="2">
        <f t="shared" ca="1" si="108"/>
        <v>2.7740763992457279E-5</v>
      </c>
      <c r="AN198" s="2">
        <f t="shared" ca="1" si="109"/>
        <v>0.33129525437558938</v>
      </c>
      <c r="AO198" s="2">
        <f t="shared" ca="1" si="110"/>
        <v>3.3012589992780463E-5</v>
      </c>
      <c r="AP198" s="2">
        <f t="shared" ca="1" si="111"/>
        <v>0.2395495695062124</v>
      </c>
      <c r="AQ198" s="2">
        <f t="shared" ca="1" si="112"/>
        <v>2.8805827130316515</v>
      </c>
      <c r="AS198" s="2">
        <f t="shared" ca="1" si="113"/>
        <v>8.6938246285384633</v>
      </c>
      <c r="AT198" s="2">
        <f t="shared" ca="1" si="114"/>
        <v>0.4005186791592123</v>
      </c>
      <c r="AU198" s="2">
        <f t="shared" ca="1" si="115"/>
        <v>2.0882834196478658E-4</v>
      </c>
      <c r="AV198" s="2">
        <f t="shared" ca="1" si="116"/>
        <v>0.23940639527804744</v>
      </c>
      <c r="AW198" s="2">
        <f t="shared" ca="1" si="117"/>
        <v>0.70908186671673157</v>
      </c>
      <c r="AX198" s="2">
        <f t="shared" ca="1" si="118"/>
        <v>5.2946574580546239E-2</v>
      </c>
      <c r="AY198" s="9">
        <f t="shared" ca="1" si="119"/>
        <v>0.70908186671673157</v>
      </c>
      <c r="AZ198" s="9">
        <f t="shared" ca="1" si="120"/>
        <v>0.70908186671673157</v>
      </c>
      <c r="BB198" s="2">
        <f t="shared" ca="1" si="121"/>
        <v>8.6949108838303353</v>
      </c>
      <c r="BC198" s="2">
        <f t="shared" ca="1" si="122"/>
        <v>0.4005693292130395</v>
      </c>
      <c r="BD198" s="2">
        <f t="shared" ca="1" si="123"/>
        <v>1.9910368840305896E-4</v>
      </c>
      <c r="BE198" s="2">
        <f t="shared" ca="1" si="124"/>
        <v>0.23935046581780933</v>
      </c>
      <c r="BF198" s="2">
        <f t="shared" ca="1" si="125"/>
        <v>0.70896673807532407</v>
      </c>
      <c r="BG198" s="2">
        <f t="shared" ca="1" si="126"/>
        <v>5.2837498603744905E-2</v>
      </c>
      <c r="BH198" s="2">
        <f t="shared" ca="1" si="127"/>
        <v>0.70896673807532407</v>
      </c>
      <c r="BI198" s="2">
        <f t="shared" ca="1" si="128"/>
        <v>0.70896673807532407</v>
      </c>
    </row>
    <row r="199" spans="1:61" ht="15" x14ac:dyDescent="0.25">
      <c r="A199" s="66">
        <v>133</v>
      </c>
      <c r="B199" s="66">
        <v>1498730189.5469999</v>
      </c>
      <c r="C199" s="67">
        <v>3.7558728675200001E-5</v>
      </c>
      <c r="D199" s="67">
        <v>2.49717418570679E-6</v>
      </c>
      <c r="E199" s="67">
        <v>1.7856560230672398E-2</v>
      </c>
      <c r="F199" s="67">
        <v>5.4161152836150104E-4</v>
      </c>
      <c r="G199" s="67">
        <v>-7.3645049991747494E-5</v>
      </c>
      <c r="H199" s="67">
        <v>0.33456984061462203</v>
      </c>
      <c r="I199" s="67">
        <v>2.49717418570679E-6</v>
      </c>
      <c r="J199" s="67">
        <v>0.241816927229491</v>
      </c>
      <c r="K199" s="67">
        <v>2.9058268170271999</v>
      </c>
      <c r="L199" s="67"/>
      <c r="M199" s="67"/>
      <c r="O199" s="11">
        <f t="shared" ca="1" si="86"/>
        <v>2.4754797965239974E-5</v>
      </c>
      <c r="P199" s="11">
        <f t="shared" ca="1" si="87"/>
        <v>1.7320739554020497E-6</v>
      </c>
      <c r="Q199" s="11">
        <f t="shared" ca="1" si="88"/>
        <v>1.7020068618404115E-2</v>
      </c>
      <c r="R199" s="11">
        <f t="shared" ca="1" si="89"/>
        <v>5.2996504071515388E-4</v>
      </c>
      <c r="S199" s="11">
        <f t="shared" ca="1" si="90"/>
        <v>-8.4572702038717622E-5</v>
      </c>
      <c r="T199" s="11">
        <f t="shared" ca="1" si="91"/>
        <v>0.33343128557603974</v>
      </c>
      <c r="U199" s="11">
        <f t="shared" ca="1" si="92"/>
        <v>1.7320739554020497E-6</v>
      </c>
      <c r="V199" s="11">
        <f t="shared" ca="1" si="93"/>
        <v>0.24116673122379723</v>
      </c>
      <c r="W199" s="11">
        <f t="shared" ca="1" si="94"/>
        <v>2.8987039687636948</v>
      </c>
      <c r="X199" s="11"/>
      <c r="Y199" s="2">
        <f t="shared" ca="1" si="95"/>
        <v>2.4754797965239974E-5</v>
      </c>
      <c r="Z199" s="11">
        <f t="shared" ca="1" si="96"/>
        <v>1.7320739554020497E-6</v>
      </c>
      <c r="AA199" s="2">
        <f t="shared" ca="1" si="97"/>
        <v>1.7020055366742233E-2</v>
      </c>
      <c r="AB199" s="2">
        <f t="shared" ca="1" si="98"/>
        <v>5.2964429026275319E-4</v>
      </c>
      <c r="AC199" s="2">
        <f t="shared" ca="1" si="99"/>
        <v>-8.4572702038717622E-5</v>
      </c>
      <c r="AD199" s="2">
        <f t="shared" ca="1" si="100"/>
        <v>0.33342895298237418</v>
      </c>
      <c r="AE199" s="2">
        <f t="shared" ca="1" si="101"/>
        <v>1.7320739554020497E-6</v>
      </c>
      <c r="AF199" s="2">
        <f t="shared" ca="1" si="102"/>
        <v>0.24116328654464292</v>
      </c>
      <c r="AG199" s="2">
        <f t="shared" ca="1" si="103"/>
        <v>2.8987025709930281</v>
      </c>
      <c r="AI199" s="2">
        <f t="shared" ca="1" si="104"/>
        <v>2.4754797965239974E-5</v>
      </c>
      <c r="AJ199" s="11">
        <f t="shared" ca="1" si="105"/>
        <v>1.7320739554020497E-6</v>
      </c>
      <c r="AK199" s="2">
        <f t="shared" ca="1" si="106"/>
        <v>1.7018011839954432E-2</v>
      </c>
      <c r="AL199" s="2">
        <f t="shared" ca="1" si="107"/>
        <v>5.2868783436723884E-4</v>
      </c>
      <c r="AM199" s="2">
        <f t="shared" ca="1" si="108"/>
        <v>-8.4572702038717622E-5</v>
      </c>
      <c r="AN199" s="2">
        <f t="shared" ca="1" si="109"/>
        <v>0.33342895298237418</v>
      </c>
      <c r="AO199" s="2">
        <f t="shared" ca="1" si="110"/>
        <v>1.7320739554020497E-6</v>
      </c>
      <c r="AP199" s="2">
        <f t="shared" ca="1" si="111"/>
        <v>0.24116328654464292</v>
      </c>
      <c r="AQ199" s="2">
        <f t="shared" ca="1" si="112"/>
        <v>2.8987025709930281</v>
      </c>
      <c r="AS199" s="2">
        <f t="shared" ca="1" si="113"/>
        <v>8.6935572460030563</v>
      </c>
      <c r="AT199" s="2">
        <f t="shared" ca="1" si="114"/>
        <v>0.40050621162315075</v>
      </c>
      <c r="AU199" s="2">
        <f t="shared" ca="1" si="115"/>
        <v>2.1225429074953512E-4</v>
      </c>
      <c r="AV199" s="2">
        <f t="shared" ca="1" si="116"/>
        <v>0.2409544769330477</v>
      </c>
      <c r="AW199" s="2">
        <f t="shared" ca="1" si="117"/>
        <v>0.709201266642981</v>
      </c>
      <c r="AX199" s="2">
        <f t="shared" ca="1" si="118"/>
        <v>5.3031452880509429E-2</v>
      </c>
      <c r="AY199" s="9">
        <f t="shared" ca="1" si="119"/>
        <v>0.709201266642981</v>
      </c>
      <c r="AZ199" s="9">
        <f t="shared" ca="1" si="120"/>
        <v>0.709201266642981</v>
      </c>
      <c r="BB199" s="2">
        <f t="shared" ca="1" si="121"/>
        <v>8.6936138720570568</v>
      </c>
      <c r="BC199" s="2">
        <f t="shared" ca="1" si="122"/>
        <v>0.40050885198732183</v>
      </c>
      <c r="BD199" s="2">
        <f t="shared" ca="1" si="123"/>
        <v>2.1174415760208618E-4</v>
      </c>
      <c r="BE199" s="2">
        <f t="shared" ca="1" si="124"/>
        <v>0.24095154238704083</v>
      </c>
      <c r="BF199" s="2">
        <f t="shared" ca="1" si="125"/>
        <v>0.70919526445582537</v>
      </c>
      <c r="BG199" s="2">
        <f t="shared" ca="1" si="126"/>
        <v>5.3025768697301086E-2</v>
      </c>
      <c r="BH199" s="2">
        <f t="shared" ca="1" si="127"/>
        <v>0.70919526445582537</v>
      </c>
      <c r="BI199" s="2">
        <f t="shared" ca="1" si="128"/>
        <v>0.70919526445582537</v>
      </c>
    </row>
    <row r="200" spans="1:61" ht="15" x14ac:dyDescent="0.25">
      <c r="A200" s="66">
        <v>134</v>
      </c>
      <c r="B200" s="66">
        <v>1498730190.0739999</v>
      </c>
      <c r="C200" s="67">
        <v>-8.5050210651390103E-6</v>
      </c>
      <c r="D200" s="67">
        <v>-7.5889249871456799E-6</v>
      </c>
      <c r="E200" s="67">
        <v>1.8080140912618899E-2</v>
      </c>
      <c r="F200" s="67">
        <v>4.4567623077653698E-4</v>
      </c>
      <c r="G200" s="67">
        <v>-3.2683774305574003E-5</v>
      </c>
      <c r="H200" s="67">
        <v>0.33870799957561698</v>
      </c>
      <c r="I200" s="67">
        <v>-7.5889249871456799E-6</v>
      </c>
      <c r="J200" s="67">
        <v>0.244516847670463</v>
      </c>
      <c r="K200" s="67">
        <v>2.94158084387501</v>
      </c>
      <c r="L200" s="67"/>
      <c r="M200" s="67"/>
      <c r="O200" s="11">
        <f t="shared" ca="1" si="86"/>
        <v>-2.1308951775099038E-5</v>
      </c>
      <c r="P200" s="11">
        <f t="shared" ca="1" si="87"/>
        <v>-8.3540252174504202E-6</v>
      </c>
      <c r="Q200" s="11">
        <f t="shared" ca="1" si="88"/>
        <v>1.7243649300350616E-2</v>
      </c>
      <c r="R200" s="11">
        <f t="shared" ca="1" si="89"/>
        <v>4.3402974313018987E-4</v>
      </c>
      <c r="S200" s="11">
        <f t="shared" ca="1" si="90"/>
        <v>-4.3611426352544123E-5</v>
      </c>
      <c r="T200" s="11">
        <f t="shared" ca="1" si="91"/>
        <v>0.33756944453703469</v>
      </c>
      <c r="U200" s="11">
        <f t="shared" ca="1" si="92"/>
        <v>-8.3540252174504202E-6</v>
      </c>
      <c r="V200" s="11">
        <f t="shared" ca="1" si="93"/>
        <v>0.24386665166476923</v>
      </c>
      <c r="W200" s="11">
        <f t="shared" ca="1" si="94"/>
        <v>2.9344579956115049</v>
      </c>
      <c r="X200" s="11"/>
      <c r="Y200" s="2">
        <f t="shared" ca="1" si="95"/>
        <v>-2.1308951775099038E-5</v>
      </c>
      <c r="Z200" s="11">
        <f t="shared" ca="1" si="96"/>
        <v>-8.3540252174504202E-6</v>
      </c>
      <c r="AA200" s="2">
        <f t="shared" ca="1" si="97"/>
        <v>1.7243649300350616E-2</v>
      </c>
      <c r="AB200" s="2">
        <f t="shared" ca="1" si="98"/>
        <v>4.3402974313018987E-4</v>
      </c>
      <c r="AC200" s="2">
        <f t="shared" ca="1" si="99"/>
        <v>-4.3611426352544123E-5</v>
      </c>
      <c r="AD200" s="2">
        <f t="shared" ca="1" si="100"/>
        <v>0.33756944453703469</v>
      </c>
      <c r="AE200" s="2">
        <f t="shared" ca="1" si="101"/>
        <v>-8.3540252174504202E-6</v>
      </c>
      <c r="AF200" s="2">
        <f t="shared" ca="1" si="102"/>
        <v>0.24386665166476923</v>
      </c>
      <c r="AG200" s="2">
        <f t="shared" ca="1" si="103"/>
        <v>2.9344579956115049</v>
      </c>
      <c r="AI200" s="2">
        <f t="shared" ca="1" si="104"/>
        <v>-2.1308951775099038E-5</v>
      </c>
      <c r="AJ200" s="11">
        <f t="shared" ca="1" si="105"/>
        <v>-8.3540252174504202E-6</v>
      </c>
      <c r="AK200" s="2">
        <f t="shared" ca="1" si="106"/>
        <v>1.7243649300350616E-2</v>
      </c>
      <c r="AL200" s="2">
        <f t="shared" ca="1" si="107"/>
        <v>4.3402974313018987E-4</v>
      </c>
      <c r="AM200" s="2">
        <f t="shared" ca="1" si="108"/>
        <v>-4.3611426352544123E-5</v>
      </c>
      <c r="AN200" s="2">
        <f t="shared" ca="1" si="109"/>
        <v>0.33756944453703469</v>
      </c>
      <c r="AO200" s="2">
        <f t="shared" ca="1" si="110"/>
        <v>-8.3540252174504202E-6</v>
      </c>
      <c r="AP200" s="2">
        <f t="shared" ca="1" si="111"/>
        <v>0.24386665166476923</v>
      </c>
      <c r="AQ200" s="2">
        <f t="shared" ca="1" si="112"/>
        <v>2.9344579956115049</v>
      </c>
      <c r="AS200" s="2">
        <f t="shared" ca="1" si="113"/>
        <v>8.6929016920829927</v>
      </c>
      <c r="AT200" s="2">
        <f t="shared" ca="1" si="114"/>
        <v>0.40047564441776373</v>
      </c>
      <c r="AU200" s="2">
        <f t="shared" ca="1" si="115"/>
        <v>1.7381834107653925E-4</v>
      </c>
      <c r="AV200" s="2">
        <f t="shared" ca="1" si="116"/>
        <v>0.24369283332369268</v>
      </c>
      <c r="AW200" s="2">
        <f t="shared" ca="1" si="117"/>
        <v>0.708495295015239</v>
      </c>
      <c r="AX200" s="2">
        <f t="shared" ca="1" si="118"/>
        <v>5.3065359008537663E-2</v>
      </c>
      <c r="AY200" s="9">
        <f t="shared" ca="1" si="119"/>
        <v>0.708495295015239</v>
      </c>
      <c r="AZ200" s="9">
        <f t="shared" ca="1" si="120"/>
        <v>0.708495295015239</v>
      </c>
      <c r="BB200" s="2">
        <f t="shared" ca="1" si="121"/>
        <v>8.6929016920829927</v>
      </c>
      <c r="BC200" s="2">
        <f t="shared" ca="1" si="122"/>
        <v>0.40047564441776373</v>
      </c>
      <c r="BD200" s="2">
        <f t="shared" ca="1" si="123"/>
        <v>1.7381834107653925E-4</v>
      </c>
      <c r="BE200" s="2">
        <f t="shared" ca="1" si="124"/>
        <v>0.24369283332369268</v>
      </c>
      <c r="BF200" s="2">
        <f t="shared" ca="1" si="125"/>
        <v>0.708495295015239</v>
      </c>
      <c r="BG200" s="2">
        <f t="shared" ca="1" si="126"/>
        <v>5.3065359008537663E-2</v>
      </c>
      <c r="BH200" s="2">
        <f t="shared" ca="1" si="127"/>
        <v>0.708495295015239</v>
      </c>
      <c r="BI200" s="2">
        <f t="shared" ca="1" si="128"/>
        <v>0.708495295015239</v>
      </c>
    </row>
    <row r="201" spans="1:61" ht="15" x14ac:dyDescent="0.25">
      <c r="A201" s="66">
        <v>135</v>
      </c>
      <c r="B201" s="66">
        <v>1498730190.6010001</v>
      </c>
      <c r="C201" s="67">
        <v>2.99994025504242E-5</v>
      </c>
      <c r="D201" s="67">
        <v>1.91521122878158E-5</v>
      </c>
      <c r="E201" s="67">
        <v>1.8167894693818E-2</v>
      </c>
      <c r="F201" s="67">
        <v>5.89225519024558E-4</v>
      </c>
      <c r="G201" s="67">
        <v>4.3284187220359503E-5</v>
      </c>
      <c r="H201" s="67">
        <v>0.341306333425827</v>
      </c>
      <c r="I201" s="67">
        <v>1.91521122878158E-5</v>
      </c>
      <c r="J201" s="67">
        <v>0.246366383289777</v>
      </c>
      <c r="K201" s="67">
        <v>2.9627069629634799</v>
      </c>
      <c r="L201" s="67"/>
      <c r="M201" s="67"/>
      <c r="O201" s="11">
        <f t="shared" ca="1" si="86"/>
        <v>1.7195471840464172E-5</v>
      </c>
      <c r="P201" s="11">
        <f t="shared" ca="1" si="87"/>
        <v>1.8387012057511058E-5</v>
      </c>
      <c r="Q201" s="11">
        <f t="shared" ca="1" si="88"/>
        <v>1.7331403081549717E-2</v>
      </c>
      <c r="R201" s="11">
        <f t="shared" ca="1" si="89"/>
        <v>5.7757903137821084E-4</v>
      </c>
      <c r="S201" s="11">
        <f t="shared" ca="1" si="90"/>
        <v>3.2356535173389382E-5</v>
      </c>
      <c r="T201" s="11">
        <f t="shared" ca="1" si="91"/>
        <v>0.34016777838724471</v>
      </c>
      <c r="U201" s="11">
        <f t="shared" ca="1" si="92"/>
        <v>1.8387012057511058E-5</v>
      </c>
      <c r="V201" s="11">
        <f t="shared" ca="1" si="93"/>
        <v>0.24571618728408323</v>
      </c>
      <c r="W201" s="11">
        <f t="shared" ca="1" si="94"/>
        <v>2.9555841146999748</v>
      </c>
      <c r="X201" s="11"/>
      <c r="Y201" s="2">
        <f t="shared" ca="1" si="95"/>
        <v>1.7195471840464172E-5</v>
      </c>
      <c r="Z201" s="11">
        <f t="shared" ca="1" si="96"/>
        <v>1.8387012057511058E-5</v>
      </c>
      <c r="AA201" s="2">
        <f t="shared" ca="1" si="97"/>
        <v>1.7331262407148332E-2</v>
      </c>
      <c r="AB201" s="2">
        <f t="shared" ca="1" si="98"/>
        <v>5.741740714356226E-4</v>
      </c>
      <c r="AC201" s="2">
        <f t="shared" ca="1" si="99"/>
        <v>3.2356535173389382E-5</v>
      </c>
      <c r="AD201" s="2">
        <f t="shared" ca="1" si="100"/>
        <v>0.34014301649545564</v>
      </c>
      <c r="AE201" s="2">
        <f t="shared" ca="1" si="101"/>
        <v>1.8387012057511058E-5</v>
      </c>
      <c r="AF201" s="2">
        <f t="shared" ca="1" si="102"/>
        <v>0.24567961993258713</v>
      </c>
      <c r="AG201" s="2">
        <f t="shared" ca="1" si="103"/>
        <v>2.9555692765194066</v>
      </c>
      <c r="AI201" s="2">
        <f t="shared" ca="1" si="104"/>
        <v>1.7195471840464172E-5</v>
      </c>
      <c r="AJ201" s="11">
        <f t="shared" ca="1" si="105"/>
        <v>1.8387012057511058E-5</v>
      </c>
      <c r="AK201" s="2">
        <f t="shared" ca="1" si="106"/>
        <v>1.7309569135004862E-2</v>
      </c>
      <c r="AL201" s="2">
        <f t="shared" ca="1" si="107"/>
        <v>5.6402071393697186E-4</v>
      </c>
      <c r="AM201" s="2">
        <f t="shared" ca="1" si="108"/>
        <v>3.2356535173389382E-5</v>
      </c>
      <c r="AN201" s="2">
        <f t="shared" ca="1" si="109"/>
        <v>0.34014301649545564</v>
      </c>
      <c r="AO201" s="2">
        <f t="shared" ca="1" si="110"/>
        <v>1.8387012057511058E-5</v>
      </c>
      <c r="AP201" s="2">
        <f t="shared" ca="1" si="111"/>
        <v>0.24567961993258713</v>
      </c>
      <c r="AQ201" s="2">
        <f t="shared" ca="1" si="112"/>
        <v>2.9555692765194066</v>
      </c>
      <c r="AS201" s="2">
        <f t="shared" ca="1" si="113"/>
        <v>8.6886069242435937</v>
      </c>
      <c r="AT201" s="2">
        <f t="shared" ca="1" si="114"/>
        <v>0.40027538843089916</v>
      </c>
      <c r="AU201" s="2">
        <f t="shared" ca="1" si="115"/>
        <v>2.3119067113445583E-4</v>
      </c>
      <c r="AV201" s="2">
        <f t="shared" ca="1" si="116"/>
        <v>0.24548499661294879</v>
      </c>
      <c r="AW201" s="2">
        <f t="shared" ca="1" si="117"/>
        <v>0.70843042277500501</v>
      </c>
      <c r="AX201" s="2">
        <f t="shared" ca="1" si="118"/>
        <v>5.2901257454166795E-2</v>
      </c>
      <c r="AY201" s="9">
        <f t="shared" ca="1" si="119"/>
        <v>0.70843042277500501</v>
      </c>
      <c r="AZ201" s="9">
        <f t="shared" ca="1" si="120"/>
        <v>0.70843042277500501</v>
      </c>
      <c r="BB201" s="2">
        <f t="shared" ca="1" si="121"/>
        <v>8.6891958181916493</v>
      </c>
      <c r="BC201" s="2">
        <f t="shared" ca="1" si="122"/>
        <v>0.40030284724547499</v>
      </c>
      <c r="BD201" s="2">
        <f t="shared" ca="1" si="123"/>
        <v>2.2577909769439539E-4</v>
      </c>
      <c r="BE201" s="2">
        <f t="shared" ca="1" si="124"/>
        <v>0.24545384083489274</v>
      </c>
      <c r="BF201" s="2">
        <f t="shared" ca="1" si="125"/>
        <v>0.70836790039852748</v>
      </c>
      <c r="BG201" s="2">
        <f t="shared" ca="1" si="126"/>
        <v>5.2842123741662257E-2</v>
      </c>
      <c r="BH201" s="2">
        <f t="shared" ca="1" si="127"/>
        <v>0.70836790039852748</v>
      </c>
      <c r="BI201" s="2">
        <f t="shared" ca="1" si="128"/>
        <v>0.70836790039852748</v>
      </c>
    </row>
    <row r="202" spans="1:61" ht="15" x14ac:dyDescent="0.25">
      <c r="A202" s="66">
        <v>136</v>
      </c>
      <c r="B202" s="66">
        <v>1498730191.128</v>
      </c>
      <c r="C202" s="67">
        <v>-8.8816187722212203E-5</v>
      </c>
      <c r="D202" s="67">
        <v>-7.3961515853535701E-5</v>
      </c>
      <c r="E202" s="67">
        <v>1.85642392268154E-2</v>
      </c>
      <c r="F202" s="67">
        <v>6.8874608845437898E-4</v>
      </c>
      <c r="G202" s="67">
        <v>1.12843678516864E-5</v>
      </c>
      <c r="H202" s="67">
        <v>0.34835761378814101</v>
      </c>
      <c r="I202" s="67">
        <v>-7.3961515853535701E-5</v>
      </c>
      <c r="J202" s="67">
        <v>0.25166862356424902</v>
      </c>
      <c r="K202" s="67">
        <v>3.02568377664049</v>
      </c>
      <c r="L202" s="67"/>
      <c r="M202" s="67"/>
      <c r="O202" s="11">
        <f t="shared" ca="1" si="86"/>
        <v>-1.0162011843217224E-4</v>
      </c>
      <c r="P202" s="11">
        <f t="shared" ca="1" si="87"/>
        <v>-7.472661608384044E-5</v>
      </c>
      <c r="Q202" s="11">
        <f t="shared" ca="1" si="88"/>
        <v>1.7727747614547117E-2</v>
      </c>
      <c r="R202" s="11">
        <f t="shared" ca="1" si="89"/>
        <v>6.7709960080803181E-4</v>
      </c>
      <c r="S202" s="11">
        <f t="shared" ca="1" si="90"/>
        <v>3.567158047162778E-7</v>
      </c>
      <c r="T202" s="11">
        <f t="shared" ca="1" si="91"/>
        <v>0.34721905874955872</v>
      </c>
      <c r="U202" s="11">
        <f t="shared" ca="1" si="92"/>
        <v>-7.472661608384044E-5</v>
      </c>
      <c r="V202" s="11">
        <f t="shared" ca="1" si="93"/>
        <v>0.25101842755855525</v>
      </c>
      <c r="W202" s="11">
        <f t="shared" ca="1" si="94"/>
        <v>3.018560928376985</v>
      </c>
      <c r="X202" s="11"/>
      <c r="Y202" s="2">
        <f t="shared" ca="1" si="95"/>
        <v>-1.0162011843217224E-4</v>
      </c>
      <c r="Z202" s="11">
        <f t="shared" ca="1" si="96"/>
        <v>-7.472661608384044E-5</v>
      </c>
      <c r="AA202" s="2">
        <f t="shared" ca="1" si="97"/>
        <v>1.7727747614547117E-2</v>
      </c>
      <c r="AB202" s="2">
        <f t="shared" ca="1" si="98"/>
        <v>6.7709960080803181E-4</v>
      </c>
      <c r="AC202" s="2">
        <f t="shared" ca="1" si="99"/>
        <v>3.567158047162778E-7</v>
      </c>
      <c r="AD202" s="2">
        <f t="shared" ca="1" si="100"/>
        <v>0.34721905874955872</v>
      </c>
      <c r="AE202" s="2">
        <f t="shared" ca="1" si="101"/>
        <v>-7.472661608384044E-5</v>
      </c>
      <c r="AF202" s="2">
        <f t="shared" ca="1" si="102"/>
        <v>0.25101842755855525</v>
      </c>
      <c r="AG202" s="2">
        <f t="shared" ca="1" si="103"/>
        <v>3.018560928376985</v>
      </c>
      <c r="AI202" s="2">
        <f t="shared" ca="1" si="104"/>
        <v>-1.0162011843217224E-4</v>
      </c>
      <c r="AJ202" s="11">
        <f t="shared" ca="1" si="105"/>
        <v>-7.472661608384044E-5</v>
      </c>
      <c r="AK202" s="2">
        <f t="shared" ca="1" si="106"/>
        <v>1.7727747614547117E-2</v>
      </c>
      <c r="AL202" s="2">
        <f t="shared" ca="1" si="107"/>
        <v>6.7709960080803181E-4</v>
      </c>
      <c r="AM202" s="2">
        <f t="shared" ca="1" si="108"/>
        <v>3.567158047162778E-7</v>
      </c>
      <c r="AN202" s="2">
        <f t="shared" ca="1" si="109"/>
        <v>0.34721905874955872</v>
      </c>
      <c r="AO202" s="2">
        <f t="shared" ca="1" si="110"/>
        <v>-7.472661608384044E-5</v>
      </c>
      <c r="AP202" s="2">
        <f t="shared" ca="1" si="111"/>
        <v>0.25101842755855525</v>
      </c>
      <c r="AQ202" s="2">
        <f t="shared" ca="1" si="112"/>
        <v>3.018560928376985</v>
      </c>
      <c r="AS202" s="2">
        <f t="shared" ca="1" si="113"/>
        <v>8.693534678792517</v>
      </c>
      <c r="AT202" s="2">
        <f t="shared" ca="1" si="114"/>
        <v>0.4005051593575123</v>
      </c>
      <c r="AU202" s="2">
        <f t="shared" ca="1" si="115"/>
        <v>2.7118188352252874E-4</v>
      </c>
      <c r="AV202" s="2">
        <f t="shared" ca="1" si="116"/>
        <v>0.2507472456750327</v>
      </c>
      <c r="AW202" s="2">
        <f t="shared" ca="1" si="117"/>
        <v>0.70871893013963438</v>
      </c>
      <c r="AX202" s="2">
        <f t="shared" ca="1" si="118"/>
        <v>5.3042919139225223E-2</v>
      </c>
      <c r="AY202" s="9">
        <f t="shared" ca="1" si="119"/>
        <v>0.70871893013963438</v>
      </c>
      <c r="AZ202" s="9">
        <f t="shared" ca="1" si="120"/>
        <v>0.70871893013963438</v>
      </c>
      <c r="BB202" s="2">
        <f t="shared" ca="1" si="121"/>
        <v>8.693534678792517</v>
      </c>
      <c r="BC202" s="2">
        <f t="shared" ca="1" si="122"/>
        <v>0.4005051593575123</v>
      </c>
      <c r="BD202" s="2">
        <f t="shared" ca="1" si="123"/>
        <v>2.7118188352252874E-4</v>
      </c>
      <c r="BE202" s="2">
        <f t="shared" ca="1" si="124"/>
        <v>0.2507472456750327</v>
      </c>
      <c r="BF202" s="2">
        <f t="shared" ca="1" si="125"/>
        <v>0.70871893013963438</v>
      </c>
      <c r="BG202" s="2">
        <f t="shared" ca="1" si="126"/>
        <v>5.3042919139225223E-2</v>
      </c>
      <c r="BH202" s="2">
        <f t="shared" ca="1" si="127"/>
        <v>0.70871893013963438</v>
      </c>
      <c r="BI202" s="2">
        <f t="shared" ca="1" si="128"/>
        <v>0.70871893013963438</v>
      </c>
    </row>
    <row r="203" spans="1:61" ht="15" x14ac:dyDescent="0.25">
      <c r="A203" s="66">
        <v>137</v>
      </c>
      <c r="B203" s="66">
        <v>1498730191.655</v>
      </c>
      <c r="C203" s="67">
        <v>-9.9223332974867194E-6</v>
      </c>
      <c r="D203" s="67">
        <v>2.0994958127649501E-5</v>
      </c>
      <c r="E203" s="67">
        <v>1.8455376499769E-2</v>
      </c>
      <c r="F203" s="67">
        <v>5.8327364607453397E-4</v>
      </c>
      <c r="G203" s="67">
        <v>7.6990555942156995E-5</v>
      </c>
      <c r="H203" s="67">
        <v>0.346339604853381</v>
      </c>
      <c r="I203" s="67">
        <v>2.0994958127649501E-5</v>
      </c>
      <c r="J203" s="67">
        <v>0.25018597825423899</v>
      </c>
      <c r="K203" s="67">
        <v>3.0081183134302401</v>
      </c>
      <c r="L203" s="67"/>
      <c r="M203" s="67"/>
      <c r="O203" s="11">
        <f t="shared" ca="1" si="86"/>
        <v>-2.2726264007446749E-5</v>
      </c>
      <c r="P203" s="11">
        <f t="shared" ca="1" si="87"/>
        <v>2.0229857897344759E-5</v>
      </c>
      <c r="Q203" s="11">
        <f t="shared" ca="1" si="88"/>
        <v>1.7618884887500717E-2</v>
      </c>
      <c r="R203" s="11">
        <f t="shared" ca="1" si="89"/>
        <v>5.7162715842818681E-4</v>
      </c>
      <c r="S203" s="11">
        <f t="shared" ca="1" si="90"/>
        <v>6.6062903895186867E-5</v>
      </c>
      <c r="T203" s="11">
        <f t="shared" ca="1" si="91"/>
        <v>0.34520104981479871</v>
      </c>
      <c r="U203" s="11">
        <f t="shared" ca="1" si="92"/>
        <v>2.0229857897344759E-5</v>
      </c>
      <c r="V203" s="11">
        <f t="shared" ca="1" si="93"/>
        <v>0.24953578224854522</v>
      </c>
      <c r="W203" s="11">
        <f t="shared" ca="1" si="94"/>
        <v>3.000995465166735</v>
      </c>
      <c r="X203" s="11"/>
      <c r="Y203" s="2">
        <f t="shared" ca="1" si="95"/>
        <v>-2.2726264007446749E-5</v>
      </c>
      <c r="Z203" s="11">
        <f t="shared" ca="1" si="96"/>
        <v>2.0229857897344759E-5</v>
      </c>
      <c r="AA203" s="2">
        <f t="shared" ca="1" si="97"/>
        <v>1.7618730113949641E-2</v>
      </c>
      <c r="AB203" s="2">
        <f t="shared" ca="1" si="98"/>
        <v>5.6788093497604233E-4</v>
      </c>
      <c r="AC203" s="2">
        <f t="shared" ca="1" si="99"/>
        <v>6.6062903895186867E-5</v>
      </c>
      <c r="AD203" s="2">
        <f t="shared" ca="1" si="100"/>
        <v>0.34517380615222887</v>
      </c>
      <c r="AE203" s="2">
        <f t="shared" ca="1" si="101"/>
        <v>2.0229857897344759E-5</v>
      </c>
      <c r="AF203" s="2">
        <f t="shared" ca="1" si="102"/>
        <v>0.24949554991921763</v>
      </c>
      <c r="AG203" s="2">
        <f t="shared" ca="1" si="103"/>
        <v>3.0009791398234213</v>
      </c>
      <c r="AI203" s="2">
        <f t="shared" ca="1" si="104"/>
        <v>-2.2726264007446749E-5</v>
      </c>
      <c r="AJ203" s="11">
        <f t="shared" ca="1" si="105"/>
        <v>2.0229857897344759E-5</v>
      </c>
      <c r="AK203" s="2">
        <f t="shared" ca="1" si="106"/>
        <v>1.7594862624690472E-2</v>
      </c>
      <c r="AL203" s="2">
        <f t="shared" ca="1" si="107"/>
        <v>5.5670995304944173E-4</v>
      </c>
      <c r="AM203" s="2">
        <f t="shared" ca="1" si="108"/>
        <v>6.6062903895186867E-5</v>
      </c>
      <c r="AN203" s="2">
        <f t="shared" ca="1" si="109"/>
        <v>0.34517380615222887</v>
      </c>
      <c r="AO203" s="2">
        <f t="shared" ca="1" si="110"/>
        <v>2.0229857897344759E-5</v>
      </c>
      <c r="AP203" s="2">
        <f t="shared" ca="1" si="111"/>
        <v>0.24949554991921763</v>
      </c>
      <c r="AQ203" s="2">
        <f t="shared" ca="1" si="112"/>
        <v>3.0009791398234213</v>
      </c>
      <c r="AS203" s="2">
        <f t="shared" ca="1" si="113"/>
        <v>8.6934714328846248</v>
      </c>
      <c r="AT203" s="2">
        <f t="shared" ca="1" si="114"/>
        <v>0.4005022103226043</v>
      </c>
      <c r="AU203" s="2">
        <f t="shared" ca="1" si="115"/>
        <v>2.2893794043091833E-4</v>
      </c>
      <c r="AV203" s="2">
        <f t="shared" ca="1" si="116"/>
        <v>0.24930684430811431</v>
      </c>
      <c r="AW203" s="2">
        <f t="shared" ca="1" si="117"/>
        <v>0.70876963307497354</v>
      </c>
      <c r="AX203" s="2">
        <f t="shared" ca="1" si="118"/>
        <v>5.3024977076972894E-2</v>
      </c>
      <c r="AY203" s="9">
        <f t="shared" ca="1" si="119"/>
        <v>0.70876963307497354</v>
      </c>
      <c r="AZ203" s="9">
        <f t="shared" ca="1" si="120"/>
        <v>0.70876963307497354</v>
      </c>
      <c r="BB203" s="2">
        <f t="shared" ca="1" si="121"/>
        <v>8.6941102897591449</v>
      </c>
      <c r="BC203" s="2">
        <f t="shared" ca="1" si="122"/>
        <v>0.40053199900053538</v>
      </c>
      <c r="BD203" s="2">
        <f t="shared" ca="1" si="123"/>
        <v>2.229801503583871E-4</v>
      </c>
      <c r="BE203" s="2">
        <f t="shared" ca="1" si="124"/>
        <v>0.24927256976885925</v>
      </c>
      <c r="BF203" s="2">
        <f t="shared" ca="1" si="125"/>
        <v>0.70870189869379385</v>
      </c>
      <c r="BG203" s="2">
        <f t="shared" ca="1" si="126"/>
        <v>5.2960842332459374E-2</v>
      </c>
      <c r="BH203" s="2">
        <f t="shared" ca="1" si="127"/>
        <v>0.70870189869379385</v>
      </c>
      <c r="BI203" s="2">
        <f t="shared" ca="1" si="128"/>
        <v>0.70870189869379385</v>
      </c>
    </row>
    <row r="204" spans="1:61" ht="15" x14ac:dyDescent="0.25">
      <c r="A204" s="66">
        <v>138</v>
      </c>
      <c r="B204" s="66">
        <v>1498730192.181</v>
      </c>
      <c r="C204" s="67">
        <v>-6.1889050395655602E-5</v>
      </c>
      <c r="D204" s="67">
        <v>-2.1562589732927699E-6</v>
      </c>
      <c r="E204" s="67">
        <v>1.8431481367451E-2</v>
      </c>
      <c r="F204" s="67">
        <v>8.1280355059114404E-4</v>
      </c>
      <c r="G204" s="67">
        <v>1.3439554188907001E-4</v>
      </c>
      <c r="H204" s="67">
        <v>0.34506768907954799</v>
      </c>
      <c r="I204" s="67">
        <v>-2.1562589732927699E-6</v>
      </c>
      <c r="J204" s="67">
        <v>0.249457576192126</v>
      </c>
      <c r="K204" s="67">
        <v>2.9981909874800801</v>
      </c>
      <c r="L204" s="67"/>
      <c r="M204" s="67"/>
      <c r="O204" s="11">
        <f t="shared" ca="1" si="86"/>
        <v>-7.4692981105615623E-5</v>
      </c>
      <c r="P204" s="11">
        <f t="shared" ca="1" si="87"/>
        <v>-2.9213592035975102E-6</v>
      </c>
      <c r="Q204" s="11">
        <f t="shared" ca="1" si="88"/>
        <v>1.7594989755182717E-2</v>
      </c>
      <c r="R204" s="11">
        <f t="shared" ca="1" si="89"/>
        <v>8.0115706294479688E-4</v>
      </c>
      <c r="S204" s="11">
        <f t="shared" ca="1" si="90"/>
        <v>1.234678898420999E-4</v>
      </c>
      <c r="T204" s="11">
        <f t="shared" ca="1" si="91"/>
        <v>0.3439291340409657</v>
      </c>
      <c r="U204" s="11">
        <f t="shared" ca="1" si="92"/>
        <v>-2.9213592035975102E-6</v>
      </c>
      <c r="V204" s="11">
        <f t="shared" ca="1" si="93"/>
        <v>0.24880738018643223</v>
      </c>
      <c r="W204" s="11">
        <f t="shared" ca="1" si="94"/>
        <v>2.991068139216575</v>
      </c>
      <c r="X204" s="11"/>
      <c r="Y204" s="2">
        <f t="shared" ca="1" si="95"/>
        <v>-7.4692981105615623E-5</v>
      </c>
      <c r="Z204" s="11">
        <f t="shared" ca="1" si="96"/>
        <v>-2.9213592035975102E-6</v>
      </c>
      <c r="AA204" s="2">
        <f t="shared" ca="1" si="97"/>
        <v>1.7594989755182717E-2</v>
      </c>
      <c r="AB204" s="2">
        <f t="shared" ca="1" si="98"/>
        <v>8.0115706294479688E-4</v>
      </c>
      <c r="AC204" s="2">
        <f t="shared" ca="1" si="99"/>
        <v>1.234678898420999E-4</v>
      </c>
      <c r="AD204" s="2">
        <f t="shared" ca="1" si="100"/>
        <v>0.3439291340409657</v>
      </c>
      <c r="AE204" s="2">
        <f t="shared" ca="1" si="101"/>
        <v>-2.9213592035975102E-6</v>
      </c>
      <c r="AF204" s="2">
        <f t="shared" ca="1" si="102"/>
        <v>0.24880738018643223</v>
      </c>
      <c r="AG204" s="2">
        <f t="shared" ca="1" si="103"/>
        <v>2.991068139216575</v>
      </c>
      <c r="AI204" s="2">
        <f t="shared" ca="1" si="104"/>
        <v>-7.4692981105615623E-5</v>
      </c>
      <c r="AJ204" s="11">
        <f t="shared" ca="1" si="105"/>
        <v>-2.9213592035975102E-6</v>
      </c>
      <c r="AK204" s="2">
        <f t="shared" ca="1" si="106"/>
        <v>1.7594989755182717E-2</v>
      </c>
      <c r="AL204" s="2">
        <f t="shared" ca="1" si="107"/>
        <v>8.0115706294479688E-4</v>
      </c>
      <c r="AM204" s="2">
        <f t="shared" ca="1" si="108"/>
        <v>1.234678898420999E-4</v>
      </c>
      <c r="AN204" s="2">
        <f t="shared" ca="1" si="109"/>
        <v>0.3439291340409657</v>
      </c>
      <c r="AO204" s="2">
        <f t="shared" ca="1" si="110"/>
        <v>-2.9213592035975102E-6</v>
      </c>
      <c r="AP204" s="2">
        <f t="shared" ca="1" si="111"/>
        <v>0.24880738018643223</v>
      </c>
      <c r="AQ204" s="2">
        <f t="shared" ca="1" si="112"/>
        <v>2.991068139216575</v>
      </c>
      <c r="AS204" s="2">
        <f t="shared" ca="1" si="113"/>
        <v>8.6967571024683998</v>
      </c>
      <c r="AT204" s="2">
        <f t="shared" ca="1" si="114"/>
        <v>0.40065541511323927</v>
      </c>
      <c r="AU204" s="2">
        <f t="shared" ca="1" si="115"/>
        <v>3.2098791562505116E-4</v>
      </c>
      <c r="AV204" s="2">
        <f t="shared" ca="1" si="116"/>
        <v>0.24848639227080718</v>
      </c>
      <c r="AW204" s="2">
        <f t="shared" ca="1" si="117"/>
        <v>0.70891474350871808</v>
      </c>
      <c r="AX204" s="2">
        <f t="shared" ca="1" si="118"/>
        <v>5.3169448548871914E-2</v>
      </c>
      <c r="AY204" s="9">
        <f t="shared" ca="1" si="119"/>
        <v>0.70891474350871808</v>
      </c>
      <c r="AZ204" s="9">
        <f t="shared" ca="1" si="120"/>
        <v>0.70891474350871808</v>
      </c>
      <c r="BB204" s="2">
        <f t="shared" ca="1" si="121"/>
        <v>8.6967571024683998</v>
      </c>
      <c r="BC204" s="2">
        <f t="shared" ca="1" si="122"/>
        <v>0.40065541511323927</v>
      </c>
      <c r="BD204" s="2">
        <f t="shared" ca="1" si="123"/>
        <v>3.2098791562505116E-4</v>
      </c>
      <c r="BE204" s="2">
        <f t="shared" ca="1" si="124"/>
        <v>0.24848639227080718</v>
      </c>
      <c r="BF204" s="2">
        <f t="shared" ca="1" si="125"/>
        <v>0.70891474350871808</v>
      </c>
      <c r="BG204" s="2">
        <f t="shared" ca="1" si="126"/>
        <v>5.3169448548871914E-2</v>
      </c>
      <c r="BH204" s="2">
        <f t="shared" ca="1" si="127"/>
        <v>0.70891474350871808</v>
      </c>
      <c r="BI204" s="2">
        <f t="shared" ca="1" si="128"/>
        <v>0.70891474350871808</v>
      </c>
    </row>
    <row r="205" spans="1:61" ht="15" x14ac:dyDescent="0.25">
      <c r="A205" s="66">
        <v>139</v>
      </c>
      <c r="B205" s="66">
        <v>1498730192.7079999</v>
      </c>
      <c r="C205" s="67">
        <v>3.0708086927977103E-5</v>
      </c>
      <c r="D205" s="67">
        <v>8.8044600237729494E-6</v>
      </c>
      <c r="E205" s="67">
        <v>1.8726951646394301E-2</v>
      </c>
      <c r="F205" s="67">
        <v>6.5850792907345003E-4</v>
      </c>
      <c r="G205" s="67">
        <v>5.6355524349601402E-5</v>
      </c>
      <c r="H205" s="67">
        <v>0.35077299709769399</v>
      </c>
      <c r="I205" s="67">
        <v>8.8044600237729494E-6</v>
      </c>
      <c r="J205" s="67">
        <v>0.253580741502758</v>
      </c>
      <c r="K205" s="67">
        <v>3.0463798330104899</v>
      </c>
      <c r="L205" s="67"/>
      <c r="M205" s="67"/>
      <c r="O205" s="11">
        <f t="shared" ca="1" si="86"/>
        <v>1.7904156218017075E-5</v>
      </c>
      <c r="P205" s="11">
        <f t="shared" ca="1" si="87"/>
        <v>8.0393597934682091E-6</v>
      </c>
      <c r="Q205" s="11">
        <f t="shared" ca="1" si="88"/>
        <v>1.7890460034126018E-2</v>
      </c>
      <c r="R205" s="11">
        <f t="shared" ca="1" si="89"/>
        <v>6.4686144142710286E-4</v>
      </c>
      <c r="S205" s="11">
        <f t="shared" ca="1" si="90"/>
        <v>4.5427872302631282E-5</v>
      </c>
      <c r="T205" s="11">
        <f t="shared" ca="1" si="91"/>
        <v>0.34963444205911171</v>
      </c>
      <c r="U205" s="11">
        <f t="shared" ca="1" si="92"/>
        <v>8.0393597934682091E-6</v>
      </c>
      <c r="V205" s="11">
        <f t="shared" ca="1" si="93"/>
        <v>0.25293054549706423</v>
      </c>
      <c r="W205" s="11">
        <f t="shared" ca="1" si="94"/>
        <v>3.0392569847469848</v>
      </c>
      <c r="X205" s="11"/>
      <c r="Y205" s="2">
        <f t="shared" ca="1" si="95"/>
        <v>1.7904156218017075E-5</v>
      </c>
      <c r="Z205" s="11">
        <f t="shared" ca="1" si="96"/>
        <v>8.0393597934682091E-6</v>
      </c>
      <c r="AA205" s="2">
        <f t="shared" ca="1" si="97"/>
        <v>1.7890398527007682E-2</v>
      </c>
      <c r="AB205" s="2">
        <f t="shared" ca="1" si="98"/>
        <v>6.4537268958557502E-4</v>
      </c>
      <c r="AC205" s="2">
        <f t="shared" ca="1" si="99"/>
        <v>4.5427872302631282E-5</v>
      </c>
      <c r="AD205" s="2">
        <f t="shared" ca="1" si="100"/>
        <v>0.34962361540839559</v>
      </c>
      <c r="AE205" s="2">
        <f t="shared" ca="1" si="101"/>
        <v>8.0393597934682091E-6</v>
      </c>
      <c r="AF205" s="2">
        <f t="shared" ca="1" si="102"/>
        <v>0.25291455714101968</v>
      </c>
      <c r="AG205" s="2">
        <f t="shared" ca="1" si="103"/>
        <v>3.0392504970440402</v>
      </c>
      <c r="AI205" s="2">
        <f t="shared" ca="1" si="104"/>
        <v>1.7904156218017075E-5</v>
      </c>
      <c r="AJ205" s="11">
        <f t="shared" ca="1" si="105"/>
        <v>8.0393597934682091E-6</v>
      </c>
      <c r="AK205" s="2">
        <f t="shared" ca="1" si="106"/>
        <v>1.7880913569945953E-2</v>
      </c>
      <c r="AL205" s="2">
        <f t="shared" ca="1" si="107"/>
        <v>6.4093333349073752E-4</v>
      </c>
      <c r="AM205" s="2">
        <f t="shared" ca="1" si="108"/>
        <v>4.5427872302631282E-5</v>
      </c>
      <c r="AN205" s="2">
        <f t="shared" ca="1" si="109"/>
        <v>0.34962361540839559</v>
      </c>
      <c r="AO205" s="2">
        <f t="shared" ca="1" si="110"/>
        <v>8.0393597934682091E-6</v>
      </c>
      <c r="AP205" s="2">
        <f t="shared" ca="1" si="111"/>
        <v>0.25291455714101968</v>
      </c>
      <c r="AQ205" s="2">
        <f t="shared" ca="1" si="112"/>
        <v>3.0392504970440402</v>
      </c>
      <c r="AS205" s="2">
        <f t="shared" ca="1" si="113"/>
        <v>8.6926704555987264</v>
      </c>
      <c r="AT205" s="2">
        <f t="shared" ca="1" si="114"/>
        <v>0.40046486231652312</v>
      </c>
      <c r="AU205" s="2">
        <f t="shared" ca="1" si="115"/>
        <v>2.5904527807897246E-4</v>
      </c>
      <c r="AV205" s="2">
        <f t="shared" ca="1" si="116"/>
        <v>0.25267150021898527</v>
      </c>
      <c r="AW205" s="2">
        <f t="shared" ca="1" si="117"/>
        <v>0.70925958102441289</v>
      </c>
      <c r="AX205" s="2">
        <f t="shared" ca="1" si="118"/>
        <v>5.3154560695972686E-2</v>
      </c>
      <c r="AY205" s="9">
        <f t="shared" ca="1" si="119"/>
        <v>0.70925958102441289</v>
      </c>
      <c r="AZ205" s="9">
        <f t="shared" ca="1" si="120"/>
        <v>0.70925958102441289</v>
      </c>
      <c r="BB205" s="2">
        <f t="shared" ca="1" si="121"/>
        <v>8.6929210817006446</v>
      </c>
      <c r="BC205" s="2">
        <f t="shared" ca="1" si="122"/>
        <v>0.40047654851755471</v>
      </c>
      <c r="BD205" s="2">
        <f t="shared" ca="1" si="123"/>
        <v>2.5667876922622144E-4</v>
      </c>
      <c r="BE205" s="2">
        <f t="shared" ca="1" si="124"/>
        <v>0.25265787837179343</v>
      </c>
      <c r="BF205" s="2">
        <f t="shared" ca="1" si="125"/>
        <v>0.70923300842203718</v>
      </c>
      <c r="BG205" s="2">
        <f t="shared" ca="1" si="126"/>
        <v>5.312940960971485E-2</v>
      </c>
      <c r="BH205" s="2">
        <f t="shared" ca="1" si="127"/>
        <v>0.70923300842203718</v>
      </c>
      <c r="BI205" s="2">
        <f t="shared" ca="1" si="128"/>
        <v>0.70923300842203718</v>
      </c>
    </row>
    <row r="206" spans="1:61" ht="15" x14ac:dyDescent="0.25">
      <c r="A206" s="66">
        <v>140</v>
      </c>
      <c r="B206" s="66">
        <v>1498730193.2349999</v>
      </c>
      <c r="C206" s="67">
        <v>-9.4484965614952606E-5</v>
      </c>
      <c r="D206" s="67">
        <v>-2.75218978630674E-5</v>
      </c>
      <c r="E206" s="67">
        <v>1.86395568648281E-2</v>
      </c>
      <c r="F206" s="67">
        <v>7.0946094638516997E-4</v>
      </c>
      <c r="G206" s="67">
        <v>-3.3907447190432097E-5</v>
      </c>
      <c r="H206" s="67">
        <v>0.34723874020225098</v>
      </c>
      <c r="I206" s="67">
        <v>-2.75218978630674E-5</v>
      </c>
      <c r="J206" s="67">
        <v>0.25098284152074701</v>
      </c>
      <c r="K206" s="67">
        <v>3.0177840180448401</v>
      </c>
      <c r="L206" s="67"/>
      <c r="M206" s="67"/>
      <c r="O206" s="11">
        <f t="shared" ca="1" si="86"/>
        <v>-1.0728889632491263E-4</v>
      </c>
      <c r="P206" s="11">
        <f t="shared" ca="1" si="87"/>
        <v>-2.8286998093372142E-5</v>
      </c>
      <c r="Q206" s="11">
        <f t="shared" ca="1" si="88"/>
        <v>1.7803065252559817E-2</v>
      </c>
      <c r="R206" s="11">
        <f t="shared" ca="1" si="89"/>
        <v>6.978144587388228E-4</v>
      </c>
      <c r="S206" s="11">
        <f t="shared" ca="1" si="90"/>
        <v>-4.4835099237402218E-5</v>
      </c>
      <c r="T206" s="11">
        <f t="shared" ca="1" si="91"/>
        <v>0.34610018516366869</v>
      </c>
      <c r="U206" s="11">
        <f t="shared" ca="1" si="92"/>
        <v>-2.8286998093372142E-5</v>
      </c>
      <c r="V206" s="11">
        <f t="shared" ca="1" si="93"/>
        <v>0.25033264551505324</v>
      </c>
      <c r="W206" s="11">
        <f t="shared" ca="1" si="94"/>
        <v>3.010661169781335</v>
      </c>
      <c r="X206" s="11"/>
      <c r="Y206" s="2">
        <f t="shared" ca="1" si="95"/>
        <v>-1.0728889632491263E-4</v>
      </c>
      <c r="Z206" s="11">
        <f t="shared" ca="1" si="96"/>
        <v>-2.8286998093372142E-5</v>
      </c>
      <c r="AA206" s="2">
        <f t="shared" ca="1" si="97"/>
        <v>1.7803065252559817E-2</v>
      </c>
      <c r="AB206" s="2">
        <f t="shared" ca="1" si="98"/>
        <v>6.978144587388228E-4</v>
      </c>
      <c r="AC206" s="2">
        <f t="shared" ca="1" si="99"/>
        <v>-4.4835099237402218E-5</v>
      </c>
      <c r="AD206" s="2">
        <f t="shared" ca="1" si="100"/>
        <v>0.34610018516366869</v>
      </c>
      <c r="AE206" s="2">
        <f t="shared" ca="1" si="101"/>
        <v>-2.8286998093372142E-5</v>
      </c>
      <c r="AF206" s="2">
        <f t="shared" ca="1" si="102"/>
        <v>0.25033264551505324</v>
      </c>
      <c r="AG206" s="2">
        <f t="shared" ca="1" si="103"/>
        <v>3.010661169781335</v>
      </c>
      <c r="AI206" s="2">
        <f t="shared" ca="1" si="104"/>
        <v>-1.0728889632491263E-4</v>
      </c>
      <c r="AJ206" s="11">
        <f t="shared" ca="1" si="105"/>
        <v>-2.8286998093372142E-5</v>
      </c>
      <c r="AK206" s="2">
        <f t="shared" ca="1" si="106"/>
        <v>1.7803065252559817E-2</v>
      </c>
      <c r="AL206" s="2">
        <f t="shared" ca="1" si="107"/>
        <v>6.978144587388228E-4</v>
      </c>
      <c r="AM206" s="2">
        <f t="shared" ca="1" si="108"/>
        <v>-4.4835099237402218E-5</v>
      </c>
      <c r="AN206" s="2">
        <f t="shared" ca="1" si="109"/>
        <v>0.34610018516366869</v>
      </c>
      <c r="AO206" s="2">
        <f t="shared" ca="1" si="110"/>
        <v>-2.8286998093372142E-5</v>
      </c>
      <c r="AP206" s="2">
        <f t="shared" ca="1" si="111"/>
        <v>0.25033264551505324</v>
      </c>
      <c r="AQ206" s="2">
        <f t="shared" ca="1" si="112"/>
        <v>3.010661169781335</v>
      </c>
      <c r="AS206" s="2">
        <f t="shared" ca="1" si="113"/>
        <v>8.6988140973042576</v>
      </c>
      <c r="AT206" s="2">
        <f t="shared" ca="1" si="114"/>
        <v>0.40075132939471386</v>
      </c>
      <c r="AU206" s="2">
        <f t="shared" ca="1" si="115"/>
        <v>2.7965007201043597E-4</v>
      </c>
      <c r="AV206" s="2">
        <f t="shared" ca="1" si="116"/>
        <v>0.25005299544304282</v>
      </c>
      <c r="AW206" s="2">
        <f t="shared" ca="1" si="117"/>
        <v>0.70882474500031878</v>
      </c>
      <c r="AX206" s="2">
        <f t="shared" ca="1" si="118"/>
        <v>5.3473689880139633E-2</v>
      </c>
      <c r="AY206" s="9">
        <f t="shared" ca="1" si="119"/>
        <v>0.70882474500031878</v>
      </c>
      <c r="AZ206" s="9">
        <f t="shared" ca="1" si="120"/>
        <v>0.70882474500031878</v>
      </c>
      <c r="BB206" s="2">
        <f t="shared" ca="1" si="121"/>
        <v>8.6988140973042576</v>
      </c>
      <c r="BC206" s="2">
        <f t="shared" ca="1" si="122"/>
        <v>0.40075132939471386</v>
      </c>
      <c r="BD206" s="2">
        <f t="shared" ca="1" si="123"/>
        <v>2.7965007201043597E-4</v>
      </c>
      <c r="BE206" s="2">
        <f t="shared" ca="1" si="124"/>
        <v>0.25005299544304282</v>
      </c>
      <c r="BF206" s="2">
        <f t="shared" ca="1" si="125"/>
        <v>0.70882474500031878</v>
      </c>
      <c r="BG206" s="2">
        <f t="shared" ca="1" si="126"/>
        <v>5.3473689880139633E-2</v>
      </c>
      <c r="BH206" s="2">
        <f t="shared" ca="1" si="127"/>
        <v>0.70882474500031878</v>
      </c>
      <c r="BI206" s="2">
        <f t="shared" ca="1" si="128"/>
        <v>0.70882474500031878</v>
      </c>
    </row>
    <row r="207" spans="1:61" ht="15" x14ac:dyDescent="0.25">
      <c r="A207" s="66">
        <v>141</v>
      </c>
      <c r="B207" s="66">
        <v>1498730193.7620001</v>
      </c>
      <c r="C207" s="67">
        <v>1.7006945335011801E-5</v>
      </c>
      <c r="D207" s="67">
        <v>-1.6365970646375499E-6</v>
      </c>
      <c r="E207" s="67">
        <v>1.7953479424446799E-2</v>
      </c>
      <c r="F207" s="67">
        <v>6.10414474575002E-4</v>
      </c>
      <c r="G207" s="67">
        <v>1.14926900346808E-4</v>
      </c>
      <c r="H207" s="67">
        <v>0.33618282547168499</v>
      </c>
      <c r="I207" s="67">
        <v>-1.6365970646375499E-6</v>
      </c>
      <c r="J207" s="67">
        <v>0.24298810581739</v>
      </c>
      <c r="K207" s="67">
        <v>2.91991401507611</v>
      </c>
      <c r="L207" s="67"/>
      <c r="M207" s="67"/>
      <c r="O207" s="11">
        <f t="shared" ca="1" si="86"/>
        <v>4.2030146250517734E-6</v>
      </c>
      <c r="P207" s="11">
        <f t="shared" ca="1" si="87"/>
        <v>-2.4016972949422902E-6</v>
      </c>
      <c r="Q207" s="11">
        <f t="shared" ca="1" si="88"/>
        <v>1.7116987812178516E-2</v>
      </c>
      <c r="R207" s="11">
        <f t="shared" ca="1" si="89"/>
        <v>5.9876798692865484E-4</v>
      </c>
      <c r="S207" s="11">
        <f t="shared" ca="1" si="90"/>
        <v>1.0399924829983788E-4</v>
      </c>
      <c r="T207" s="11">
        <f t="shared" ca="1" si="91"/>
        <v>0.3350442704331027</v>
      </c>
      <c r="U207" s="11">
        <f t="shared" ca="1" si="92"/>
        <v>-2.4016972949422902E-6</v>
      </c>
      <c r="V207" s="11">
        <f t="shared" ca="1" si="93"/>
        <v>0.24233790981169623</v>
      </c>
      <c r="W207" s="11">
        <f t="shared" ca="1" si="94"/>
        <v>2.912791166812605</v>
      </c>
      <c r="X207" s="11"/>
      <c r="Y207" s="2">
        <f t="shared" ca="1" si="95"/>
        <v>4.2030146250517734E-6</v>
      </c>
      <c r="Z207" s="11">
        <f t="shared" ca="1" si="96"/>
        <v>-2.4016972949422902E-6</v>
      </c>
      <c r="AA207" s="2">
        <f t="shared" ca="1" si="97"/>
        <v>1.7116987812178516E-2</v>
      </c>
      <c r="AB207" s="2">
        <f t="shared" ca="1" si="98"/>
        <v>5.9876798692865484E-4</v>
      </c>
      <c r="AC207" s="2">
        <f t="shared" ca="1" si="99"/>
        <v>1.0399924829983788E-4</v>
      </c>
      <c r="AD207" s="2">
        <f t="shared" ca="1" si="100"/>
        <v>0.3350442704331027</v>
      </c>
      <c r="AE207" s="2">
        <f t="shared" ca="1" si="101"/>
        <v>-2.4016972949422902E-6</v>
      </c>
      <c r="AF207" s="2">
        <f t="shared" ca="1" si="102"/>
        <v>0.24233790981169623</v>
      </c>
      <c r="AG207" s="2">
        <f t="shared" ca="1" si="103"/>
        <v>2.912791166812605</v>
      </c>
      <c r="AI207" s="2">
        <f t="shared" ca="1" si="104"/>
        <v>4.2030146250517734E-6</v>
      </c>
      <c r="AJ207" s="11">
        <f t="shared" ca="1" si="105"/>
        <v>-2.4016972949422902E-6</v>
      </c>
      <c r="AK207" s="2">
        <f t="shared" ca="1" si="106"/>
        <v>1.7116987812178516E-2</v>
      </c>
      <c r="AL207" s="2">
        <f t="shared" ca="1" si="107"/>
        <v>5.9876798692865484E-4</v>
      </c>
      <c r="AM207" s="2">
        <f t="shared" ca="1" si="108"/>
        <v>1.0399924829983788E-4</v>
      </c>
      <c r="AN207" s="2">
        <f t="shared" ca="1" si="109"/>
        <v>0.3350442704331027</v>
      </c>
      <c r="AO207" s="2">
        <f t="shared" ca="1" si="110"/>
        <v>-2.4016972949422902E-6</v>
      </c>
      <c r="AP207" s="2">
        <f t="shared" ca="1" si="111"/>
        <v>0.24233790981169623</v>
      </c>
      <c r="AQ207" s="2">
        <f t="shared" ca="1" si="112"/>
        <v>2.912791166812605</v>
      </c>
      <c r="AS207" s="2">
        <f t="shared" ca="1" si="113"/>
        <v>8.6937501215804058</v>
      </c>
      <c r="AT207" s="2">
        <f t="shared" ca="1" si="114"/>
        <v>0.40051520504183963</v>
      </c>
      <c r="AU207" s="2">
        <f t="shared" ca="1" si="115"/>
        <v>2.3981568305721975E-4</v>
      </c>
      <c r="AV207" s="2">
        <f t="shared" ca="1" si="116"/>
        <v>0.242098094128639</v>
      </c>
      <c r="AW207" s="2">
        <f t="shared" ca="1" si="117"/>
        <v>0.70912887934814905</v>
      </c>
      <c r="AX207" s="2">
        <f t="shared" ca="1" si="118"/>
        <v>5.3077880314202873E-2</v>
      </c>
      <c r="AY207" s="9">
        <f t="shared" ca="1" si="119"/>
        <v>0.70912887934814905</v>
      </c>
      <c r="AZ207" s="9">
        <f t="shared" ca="1" si="120"/>
        <v>0.70912887934814905</v>
      </c>
      <c r="BB207" s="2">
        <f t="shared" ca="1" si="121"/>
        <v>8.6937501215804058</v>
      </c>
      <c r="BC207" s="2">
        <f t="shared" ca="1" si="122"/>
        <v>0.40051520504183963</v>
      </c>
      <c r="BD207" s="2">
        <f t="shared" ca="1" si="123"/>
        <v>2.3981568305721975E-4</v>
      </c>
      <c r="BE207" s="2">
        <f t="shared" ca="1" si="124"/>
        <v>0.242098094128639</v>
      </c>
      <c r="BF207" s="2">
        <f t="shared" ca="1" si="125"/>
        <v>0.70912887934814905</v>
      </c>
      <c r="BG207" s="2">
        <f t="shared" ca="1" si="126"/>
        <v>5.3077880314202873E-2</v>
      </c>
      <c r="BH207" s="2">
        <f t="shared" ca="1" si="127"/>
        <v>0.70912887934814905</v>
      </c>
      <c r="BI207" s="2">
        <f t="shared" ca="1" si="128"/>
        <v>0.70912887934814905</v>
      </c>
    </row>
    <row r="208" spans="1:61" ht="15" x14ac:dyDescent="0.25">
      <c r="A208" s="66">
        <v>142</v>
      </c>
      <c r="B208" s="66">
        <v>1498730194.289</v>
      </c>
      <c r="C208" s="67">
        <v>2.7164670101707599E-5</v>
      </c>
      <c r="D208" s="67">
        <v>-5.2928267734348701E-5</v>
      </c>
      <c r="E208" s="67">
        <v>1.8076031417543902E-2</v>
      </c>
      <c r="F208" s="67">
        <v>5.9232050697355398E-4</v>
      </c>
      <c r="G208" s="67">
        <v>5.2233745080232598E-5</v>
      </c>
      <c r="H208" s="67">
        <v>0.33577415501394697</v>
      </c>
      <c r="I208" s="67">
        <v>-5.2928267734348701E-5</v>
      </c>
      <c r="J208" s="67">
        <v>0.24279051339833099</v>
      </c>
      <c r="K208" s="67">
        <v>2.9179458693105702</v>
      </c>
      <c r="L208" s="67"/>
      <c r="M208" s="67"/>
      <c r="O208" s="11">
        <f t="shared" ca="1" si="86"/>
        <v>1.4360739391747571E-5</v>
      </c>
      <c r="P208" s="11">
        <f t="shared" ca="1" si="87"/>
        <v>-5.369336796465344E-5</v>
      </c>
      <c r="Q208" s="11">
        <f t="shared" ca="1" si="88"/>
        <v>1.7239539805275619E-2</v>
      </c>
      <c r="R208" s="11">
        <f t="shared" ca="1" si="89"/>
        <v>5.8067401932720682E-4</v>
      </c>
      <c r="S208" s="11">
        <f t="shared" ca="1" si="90"/>
        <v>4.1306093033262477E-5</v>
      </c>
      <c r="T208" s="11">
        <f t="shared" ca="1" si="91"/>
        <v>0.33463559997536468</v>
      </c>
      <c r="U208" s="11">
        <f t="shared" ca="1" si="92"/>
        <v>-5.369336796465344E-5</v>
      </c>
      <c r="V208" s="11">
        <f t="shared" ca="1" si="93"/>
        <v>0.24214031739263722</v>
      </c>
      <c r="W208" s="11">
        <f t="shared" ca="1" si="94"/>
        <v>2.9108230210470651</v>
      </c>
      <c r="X208" s="11"/>
      <c r="Y208" s="2">
        <f t="shared" ca="1" si="95"/>
        <v>1.4360739391747571E-5</v>
      </c>
      <c r="Z208" s="11">
        <f t="shared" ca="1" si="96"/>
        <v>-5.369336796465344E-5</v>
      </c>
      <c r="AA208" s="2">
        <f t="shared" ca="1" si="97"/>
        <v>1.7239539805275619E-2</v>
      </c>
      <c r="AB208" s="2">
        <f t="shared" ca="1" si="98"/>
        <v>5.8067401932720682E-4</v>
      </c>
      <c r="AC208" s="2">
        <f t="shared" ca="1" si="99"/>
        <v>4.1306093033262477E-5</v>
      </c>
      <c r="AD208" s="2">
        <f t="shared" ca="1" si="100"/>
        <v>0.33463559997536468</v>
      </c>
      <c r="AE208" s="2">
        <f t="shared" ca="1" si="101"/>
        <v>-5.369336796465344E-5</v>
      </c>
      <c r="AF208" s="2">
        <f t="shared" ca="1" si="102"/>
        <v>0.24214031739263722</v>
      </c>
      <c r="AG208" s="2">
        <f t="shared" ca="1" si="103"/>
        <v>2.9108230210470651</v>
      </c>
      <c r="AI208" s="2">
        <f t="shared" ca="1" si="104"/>
        <v>1.4360739391747571E-5</v>
      </c>
      <c r="AJ208" s="11">
        <f t="shared" ca="1" si="105"/>
        <v>-5.369336796465344E-5</v>
      </c>
      <c r="AK208" s="2">
        <f t="shared" ca="1" si="106"/>
        <v>1.7239539805275619E-2</v>
      </c>
      <c r="AL208" s="2">
        <f t="shared" ca="1" si="107"/>
        <v>5.8067401932720682E-4</v>
      </c>
      <c r="AM208" s="2">
        <f t="shared" ca="1" si="108"/>
        <v>4.1306093033262477E-5</v>
      </c>
      <c r="AN208" s="2">
        <f t="shared" ca="1" si="109"/>
        <v>0.33463559997536468</v>
      </c>
      <c r="AO208" s="2">
        <f t="shared" ca="1" si="110"/>
        <v>-5.369336796465344E-5</v>
      </c>
      <c r="AP208" s="2">
        <f t="shared" ca="1" si="111"/>
        <v>0.24214031739263722</v>
      </c>
      <c r="AQ208" s="2">
        <f t="shared" ca="1" si="112"/>
        <v>2.9108230210470651</v>
      </c>
      <c r="AS208" s="2">
        <f t="shared" ca="1" si="113"/>
        <v>8.6984858193848922</v>
      </c>
      <c r="AT208" s="2">
        <f t="shared" ca="1" si="114"/>
        <v>0.40073602231753436</v>
      </c>
      <c r="AU208" s="2">
        <f t="shared" ca="1" si="115"/>
        <v>2.3269699676831994E-4</v>
      </c>
      <c r="AV208" s="2">
        <f t="shared" ca="1" si="116"/>
        <v>0.24190762039586891</v>
      </c>
      <c r="AW208" s="2">
        <f t="shared" ca="1" si="117"/>
        <v>0.70924176602794708</v>
      </c>
      <c r="AX208" s="2">
        <f t="shared" ca="1" si="118"/>
        <v>5.3553018838298751E-2</v>
      </c>
      <c r="AY208" s="9">
        <f t="shared" ca="1" si="119"/>
        <v>0.70924176602794708</v>
      </c>
      <c r="AZ208" s="9">
        <f t="shared" ca="1" si="120"/>
        <v>0.70924176602794708</v>
      </c>
      <c r="BB208" s="2">
        <f t="shared" ca="1" si="121"/>
        <v>8.6984858193848922</v>
      </c>
      <c r="BC208" s="2">
        <f t="shared" ca="1" si="122"/>
        <v>0.40073602231753436</v>
      </c>
      <c r="BD208" s="2">
        <f t="shared" ca="1" si="123"/>
        <v>2.3269699676831994E-4</v>
      </c>
      <c r="BE208" s="2">
        <f t="shared" ca="1" si="124"/>
        <v>0.24190762039586891</v>
      </c>
      <c r="BF208" s="2">
        <f t="shared" ca="1" si="125"/>
        <v>0.70924176602794708</v>
      </c>
      <c r="BG208" s="2">
        <f t="shared" ca="1" si="126"/>
        <v>5.3553018838298751E-2</v>
      </c>
      <c r="BH208" s="2">
        <f t="shared" ca="1" si="127"/>
        <v>0.70924176602794708</v>
      </c>
      <c r="BI208" s="2">
        <f t="shared" ca="1" si="128"/>
        <v>0.70924176602794708</v>
      </c>
    </row>
    <row r="209" spans="1:61" ht="15" x14ac:dyDescent="0.25">
      <c r="A209" s="66">
        <v>143</v>
      </c>
      <c r="B209" s="66">
        <v>1498730194.816</v>
      </c>
      <c r="C209" s="67">
        <v>-1.1103425277875201E-5</v>
      </c>
      <c r="D209" s="67">
        <v>4.3962524587622802E-5</v>
      </c>
      <c r="E209" s="67">
        <v>1.7296495613123901E-2</v>
      </c>
      <c r="F209" s="67">
        <v>5.9755820073265195E-4</v>
      </c>
      <c r="G209" s="67">
        <v>-4.1225636166948397E-5</v>
      </c>
      <c r="H209" s="67">
        <v>0.32161191886281398</v>
      </c>
      <c r="I209" s="67">
        <v>4.3962524587622802E-5</v>
      </c>
      <c r="J209" s="67">
        <v>0.232590549939414</v>
      </c>
      <c r="K209" s="67">
        <v>2.7963045876572599</v>
      </c>
      <c r="L209" s="67"/>
      <c r="M209" s="67"/>
      <c r="O209" s="11">
        <f t="shared" ca="1" si="86"/>
        <v>-2.3907355987835228E-5</v>
      </c>
      <c r="P209" s="11">
        <f t="shared" ca="1" si="87"/>
        <v>4.3197424357318064E-5</v>
      </c>
      <c r="Q209" s="11">
        <f t="shared" ca="1" si="88"/>
        <v>1.6460004000855618E-2</v>
      </c>
      <c r="R209" s="11">
        <f t="shared" ca="1" si="89"/>
        <v>5.8591171308630479E-4</v>
      </c>
      <c r="S209" s="11">
        <f t="shared" ca="1" si="90"/>
        <v>-5.2153288213918518E-5</v>
      </c>
      <c r="T209" s="11">
        <f t="shared" ca="1" si="91"/>
        <v>0.32047336382423169</v>
      </c>
      <c r="U209" s="11">
        <f t="shared" ca="1" si="92"/>
        <v>4.3197424357318064E-5</v>
      </c>
      <c r="V209" s="11">
        <f t="shared" ca="1" si="93"/>
        <v>0.23194035393372023</v>
      </c>
      <c r="W209" s="11">
        <f t="shared" ca="1" si="94"/>
        <v>2.7891817393937548</v>
      </c>
      <c r="X209" s="11"/>
      <c r="Y209" s="2">
        <f t="shared" ca="1" si="95"/>
        <v>-2.3907355987835228E-5</v>
      </c>
      <c r="Z209" s="11">
        <f t="shared" ca="1" si="96"/>
        <v>4.3197424357318064E-5</v>
      </c>
      <c r="AA209" s="2">
        <f t="shared" ca="1" si="97"/>
        <v>1.6459673508234317E-2</v>
      </c>
      <c r="AB209" s="2">
        <f t="shared" ca="1" si="98"/>
        <v>5.7791228941161542E-4</v>
      </c>
      <c r="AC209" s="2">
        <f t="shared" ca="1" si="99"/>
        <v>-5.2153288213918518E-5</v>
      </c>
      <c r="AD209" s="2">
        <f t="shared" ca="1" si="100"/>
        <v>0.32041518961168663</v>
      </c>
      <c r="AE209" s="2">
        <f t="shared" ca="1" si="101"/>
        <v>4.3197424357318064E-5</v>
      </c>
      <c r="AF209" s="2">
        <f t="shared" ca="1" si="102"/>
        <v>0.23185444463017163</v>
      </c>
      <c r="AG209" s="2">
        <f t="shared" ca="1" si="103"/>
        <v>2.7891468793968892</v>
      </c>
      <c r="AI209" s="2">
        <f t="shared" ca="1" si="104"/>
        <v>-2.3907355987835228E-5</v>
      </c>
      <c r="AJ209" s="11">
        <f t="shared" ca="1" si="105"/>
        <v>4.3197424357318064E-5</v>
      </c>
      <c r="AK209" s="2">
        <f t="shared" ca="1" si="106"/>
        <v>1.6408708540160695E-2</v>
      </c>
      <c r="AL209" s="2">
        <f t="shared" ca="1" si="107"/>
        <v>5.5405855552875729E-4</v>
      </c>
      <c r="AM209" s="2">
        <f t="shared" ca="1" si="108"/>
        <v>-5.2153288213918518E-5</v>
      </c>
      <c r="AN209" s="2">
        <f t="shared" ca="1" si="109"/>
        <v>0.32041518961168663</v>
      </c>
      <c r="AO209" s="2">
        <f t="shared" ca="1" si="110"/>
        <v>4.3197424357318064E-5</v>
      </c>
      <c r="AP209" s="2">
        <f t="shared" ca="1" si="111"/>
        <v>0.23185444463017163</v>
      </c>
      <c r="AQ209" s="2">
        <f t="shared" ca="1" si="112"/>
        <v>2.7891468793968892</v>
      </c>
      <c r="AS209" s="2">
        <f t="shared" ca="1" si="113"/>
        <v>8.7033184477806476</v>
      </c>
      <c r="AT209" s="2">
        <f t="shared" ca="1" si="114"/>
        <v>0.40096136079973388</v>
      </c>
      <c r="AU209" s="2">
        <f t="shared" ca="1" si="115"/>
        <v>2.3492795778758802E-4</v>
      </c>
      <c r="AV209" s="2">
        <f t="shared" ca="1" si="116"/>
        <v>0.23170542597593263</v>
      </c>
      <c r="AW209" s="2">
        <f t="shared" ca="1" si="117"/>
        <v>0.70915257700025103</v>
      </c>
      <c r="AX209" s="2">
        <f t="shared" ca="1" si="118"/>
        <v>5.3421398187452972E-2</v>
      </c>
      <c r="AY209" s="9">
        <f t="shared" ca="1" si="119"/>
        <v>0.70915257700025103</v>
      </c>
      <c r="AZ209" s="9">
        <f t="shared" ca="1" si="120"/>
        <v>0.70915257700025103</v>
      </c>
      <c r="BB209" s="2">
        <f t="shared" ca="1" si="121"/>
        <v>8.7047898159168895</v>
      </c>
      <c r="BC209" s="2">
        <f t="shared" ca="1" si="122"/>
        <v>0.40102996887219405</v>
      </c>
      <c r="BD209" s="2">
        <f t="shared" ca="1" si="123"/>
        <v>2.2219408527707034E-4</v>
      </c>
      <c r="BE209" s="2">
        <f t="shared" ca="1" si="124"/>
        <v>0.23163225054489456</v>
      </c>
      <c r="BF209" s="2">
        <f t="shared" ca="1" si="125"/>
        <v>0.70899697105970205</v>
      </c>
      <c r="BG209" s="2">
        <f t="shared" ca="1" si="126"/>
        <v>5.3273800456872973E-2</v>
      </c>
      <c r="BH209" s="2">
        <f t="shared" ca="1" si="127"/>
        <v>0.70899697105970205</v>
      </c>
      <c r="BI209" s="2">
        <f t="shared" ca="1" si="128"/>
        <v>0.70899697105970205</v>
      </c>
    </row>
    <row r="210" spans="1:61" ht="15" x14ac:dyDescent="0.25">
      <c r="A210" s="66">
        <v>144</v>
      </c>
      <c r="B210" s="66">
        <v>1498730195.3429999</v>
      </c>
      <c r="C210" s="67">
        <v>-6.5668341827819694E-5</v>
      </c>
      <c r="D210" s="67">
        <v>-2.7639972257935501E-5</v>
      </c>
      <c r="E210" s="67">
        <v>1.6504766661422199E-2</v>
      </c>
      <c r="F210" s="67">
        <v>5.6160912800935303E-4</v>
      </c>
      <c r="G210" s="67">
        <v>-6.53591327926741E-6</v>
      </c>
      <c r="H210" s="67">
        <v>0.30849145211822399</v>
      </c>
      <c r="I210" s="67">
        <v>-2.7639972257935501E-5</v>
      </c>
      <c r="J210" s="67">
        <v>0.22274784656187199</v>
      </c>
      <c r="K210" s="67">
        <v>2.6798706759945201</v>
      </c>
      <c r="L210" s="67"/>
      <c r="M210" s="67"/>
      <c r="O210" s="11">
        <f t="shared" ca="1" si="86"/>
        <v>-7.8472272537779728E-5</v>
      </c>
      <c r="P210" s="11">
        <f t="shared" ca="1" si="87"/>
        <v>-2.8405072488240243E-5</v>
      </c>
      <c r="Q210" s="11">
        <f t="shared" ca="1" si="88"/>
        <v>1.5668275049153916E-2</v>
      </c>
      <c r="R210" s="11">
        <f t="shared" ca="1" si="89"/>
        <v>5.4996264036300587E-4</v>
      </c>
      <c r="S210" s="11">
        <f t="shared" ca="1" si="90"/>
        <v>-1.7463565326237532E-5</v>
      </c>
      <c r="T210" s="11">
        <f t="shared" ca="1" si="91"/>
        <v>0.3073528970796417</v>
      </c>
      <c r="U210" s="11">
        <f t="shared" ca="1" si="92"/>
        <v>-2.8405072488240243E-5</v>
      </c>
      <c r="V210" s="11">
        <f t="shared" ca="1" si="93"/>
        <v>0.22209765055617822</v>
      </c>
      <c r="W210" s="11">
        <f t="shared" ca="1" si="94"/>
        <v>2.672747827731015</v>
      </c>
      <c r="X210" s="11"/>
      <c r="Y210" s="2">
        <f t="shared" ca="1" si="95"/>
        <v>-7.8472272537779728E-5</v>
      </c>
      <c r="Z210" s="11">
        <f t="shared" ca="1" si="96"/>
        <v>-2.8405072488240243E-5</v>
      </c>
      <c r="AA210" s="2">
        <f t="shared" ca="1" si="97"/>
        <v>1.5668275049153916E-2</v>
      </c>
      <c r="AB210" s="2">
        <f t="shared" ca="1" si="98"/>
        <v>5.4996264036300587E-4</v>
      </c>
      <c r="AC210" s="2">
        <f t="shared" ca="1" si="99"/>
        <v>-1.7463565326237532E-5</v>
      </c>
      <c r="AD210" s="2">
        <f t="shared" ca="1" si="100"/>
        <v>0.3073528970796417</v>
      </c>
      <c r="AE210" s="2">
        <f t="shared" ca="1" si="101"/>
        <v>-2.8405072488240243E-5</v>
      </c>
      <c r="AF210" s="2">
        <f t="shared" ca="1" si="102"/>
        <v>0.22209765055617822</v>
      </c>
      <c r="AG210" s="2">
        <f t="shared" ca="1" si="103"/>
        <v>2.672747827731015</v>
      </c>
      <c r="AI210" s="2">
        <f t="shared" ca="1" si="104"/>
        <v>-7.8472272537779728E-5</v>
      </c>
      <c r="AJ210" s="11">
        <f t="shared" ca="1" si="105"/>
        <v>-2.8405072488240243E-5</v>
      </c>
      <c r="AK210" s="2">
        <f t="shared" ca="1" si="106"/>
        <v>1.5668275049153916E-2</v>
      </c>
      <c r="AL210" s="2">
        <f t="shared" ca="1" si="107"/>
        <v>5.4996264036300587E-4</v>
      </c>
      <c r="AM210" s="2">
        <f t="shared" ca="1" si="108"/>
        <v>-1.7463565326237532E-5</v>
      </c>
      <c r="AN210" s="2">
        <f t="shared" ca="1" si="109"/>
        <v>0.3073528970796417</v>
      </c>
      <c r="AO210" s="2">
        <f t="shared" ca="1" si="110"/>
        <v>-2.8405072488240243E-5</v>
      </c>
      <c r="AP210" s="2">
        <f t="shared" ca="1" si="111"/>
        <v>0.22209765055617822</v>
      </c>
      <c r="AQ210" s="2">
        <f t="shared" ca="1" si="112"/>
        <v>2.672747827731015</v>
      </c>
      <c r="AS210" s="2">
        <f t="shared" ca="1" si="113"/>
        <v>8.696022888108482</v>
      </c>
      <c r="AT210" s="2">
        <f t="shared" ca="1" si="114"/>
        <v>0.40062117997346464</v>
      </c>
      <c r="AU210" s="2">
        <f t="shared" ca="1" si="115"/>
        <v>2.2032668192354957E-4</v>
      </c>
      <c r="AV210" s="2">
        <f t="shared" ca="1" si="116"/>
        <v>0.22187732387425468</v>
      </c>
      <c r="AW210" s="2">
        <f t="shared" ca="1" si="117"/>
        <v>0.70836066515811991</v>
      </c>
      <c r="AX210" s="2">
        <f t="shared" ca="1" si="118"/>
        <v>5.2977134113915345E-2</v>
      </c>
      <c r="AY210" s="9">
        <f t="shared" ca="1" si="119"/>
        <v>0.70836066515811991</v>
      </c>
      <c r="AZ210" s="9">
        <f t="shared" ca="1" si="120"/>
        <v>0.70836066515811991</v>
      </c>
      <c r="BB210" s="2">
        <f t="shared" ca="1" si="121"/>
        <v>8.696022888108482</v>
      </c>
      <c r="BC210" s="2">
        <f t="shared" ca="1" si="122"/>
        <v>0.40062117997346464</v>
      </c>
      <c r="BD210" s="2">
        <f t="shared" ca="1" si="123"/>
        <v>2.2032668192354957E-4</v>
      </c>
      <c r="BE210" s="2">
        <f t="shared" ca="1" si="124"/>
        <v>0.22187732387425468</v>
      </c>
      <c r="BF210" s="2">
        <f t="shared" ca="1" si="125"/>
        <v>0.70836066515811991</v>
      </c>
      <c r="BG210" s="2">
        <f t="shared" ca="1" si="126"/>
        <v>5.2977134113915345E-2</v>
      </c>
      <c r="BH210" s="2">
        <f t="shared" ca="1" si="127"/>
        <v>0.70836066515811991</v>
      </c>
      <c r="BI210" s="2">
        <f t="shared" ca="1" si="128"/>
        <v>0.70836066515811991</v>
      </c>
    </row>
    <row r="211" spans="1:61" ht="15" x14ac:dyDescent="0.25">
      <c r="A211" s="66">
        <v>145</v>
      </c>
      <c r="B211" s="66">
        <v>1498730195.8699999</v>
      </c>
      <c r="C211" s="67">
        <v>-9.6846946844122002E-5</v>
      </c>
      <c r="D211" s="67">
        <v>-3.8148030366236199E-5</v>
      </c>
      <c r="E211" s="67">
        <v>1.63686487093243E-2</v>
      </c>
      <c r="F211" s="67">
        <v>5.6041878349127796E-4</v>
      </c>
      <c r="G211" s="67">
        <v>-1.8531165002968599E-4</v>
      </c>
      <c r="H211" s="67">
        <v>0.30745718058969601</v>
      </c>
      <c r="I211" s="67">
        <v>-3.8148030366236199E-5</v>
      </c>
      <c r="J211" s="67">
        <v>0.22202834277985301</v>
      </c>
      <c r="K211" s="67">
        <v>2.6700031445812198</v>
      </c>
      <c r="L211" s="67"/>
      <c r="M211" s="67"/>
      <c r="O211" s="11">
        <f t="shared" ca="1" si="86"/>
        <v>-1.0965087755408204E-4</v>
      </c>
      <c r="P211" s="11">
        <f t="shared" ca="1" si="87"/>
        <v>-3.8913130596540938E-5</v>
      </c>
      <c r="Q211" s="11">
        <f t="shared" ca="1" si="88"/>
        <v>1.5532157097056016E-2</v>
      </c>
      <c r="R211" s="11">
        <f t="shared" ca="1" si="89"/>
        <v>5.487722958449308E-4</v>
      </c>
      <c r="S211" s="11">
        <f t="shared" ca="1" si="90"/>
        <v>-1.962393020766561E-4</v>
      </c>
      <c r="T211" s="11">
        <f t="shared" ca="1" si="91"/>
        <v>0.30631862555111372</v>
      </c>
      <c r="U211" s="11">
        <f t="shared" ca="1" si="92"/>
        <v>-3.8913130596540938E-5</v>
      </c>
      <c r="V211" s="11">
        <f t="shared" ca="1" si="93"/>
        <v>0.22137814677415923</v>
      </c>
      <c r="W211" s="11">
        <f t="shared" ca="1" si="94"/>
        <v>2.6628802963177147</v>
      </c>
      <c r="X211" s="11"/>
      <c r="Y211" s="2">
        <f t="shared" ca="1" si="95"/>
        <v>-1.0965087755408204E-4</v>
      </c>
      <c r="Z211" s="11">
        <f t="shared" ca="1" si="96"/>
        <v>-3.8913130596540938E-5</v>
      </c>
      <c r="AA211" s="2">
        <f t="shared" ca="1" si="97"/>
        <v>1.5532157097056016E-2</v>
      </c>
      <c r="AB211" s="2">
        <f t="shared" ca="1" si="98"/>
        <v>5.487722958449308E-4</v>
      </c>
      <c r="AC211" s="2">
        <f t="shared" ca="1" si="99"/>
        <v>-1.962393020766561E-4</v>
      </c>
      <c r="AD211" s="2">
        <f t="shared" ca="1" si="100"/>
        <v>0.30631862555111372</v>
      </c>
      <c r="AE211" s="2">
        <f t="shared" ca="1" si="101"/>
        <v>-3.8913130596540938E-5</v>
      </c>
      <c r="AF211" s="2">
        <f t="shared" ca="1" si="102"/>
        <v>0.22137814677415923</v>
      </c>
      <c r="AG211" s="2">
        <f t="shared" ca="1" si="103"/>
        <v>2.6628802963177147</v>
      </c>
      <c r="AI211" s="2">
        <f t="shared" ca="1" si="104"/>
        <v>-1.0965087755408204E-4</v>
      </c>
      <c r="AJ211" s="11">
        <f t="shared" ca="1" si="105"/>
        <v>-3.8913130596540938E-5</v>
      </c>
      <c r="AK211" s="2">
        <f t="shared" ca="1" si="106"/>
        <v>1.5532157097056016E-2</v>
      </c>
      <c r="AL211" s="2">
        <f t="shared" ca="1" si="107"/>
        <v>5.487722958449308E-4</v>
      </c>
      <c r="AM211" s="2">
        <f t="shared" ca="1" si="108"/>
        <v>-1.962393020766561E-4</v>
      </c>
      <c r="AN211" s="2">
        <f t="shared" ca="1" si="109"/>
        <v>0.30631862555111372</v>
      </c>
      <c r="AO211" s="2">
        <f t="shared" ca="1" si="110"/>
        <v>-3.8913130596540938E-5</v>
      </c>
      <c r="AP211" s="2">
        <f t="shared" ca="1" si="111"/>
        <v>0.22137814677415923</v>
      </c>
      <c r="AQ211" s="2">
        <f t="shared" ca="1" si="112"/>
        <v>2.6628802963177147</v>
      </c>
      <c r="AS211" s="2">
        <f t="shared" ca="1" si="113"/>
        <v>8.6931713392445165</v>
      </c>
      <c r="AT211" s="2">
        <f t="shared" ca="1" si="114"/>
        <v>0.40048821753752883</v>
      </c>
      <c r="AU211" s="2">
        <f t="shared" ca="1" si="115"/>
        <v>2.1977683859691378E-4</v>
      </c>
      <c r="AV211" s="2">
        <f t="shared" ca="1" si="116"/>
        <v>0.22115836993556232</v>
      </c>
      <c r="AW211" s="2">
        <f t="shared" ca="1" si="117"/>
        <v>0.70856636647962046</v>
      </c>
      <c r="AX211" s="2">
        <f t="shared" ca="1" si="118"/>
        <v>5.2676536051453879E-2</v>
      </c>
      <c r="AY211" s="9">
        <f t="shared" ca="1" si="119"/>
        <v>0.70856636647962046</v>
      </c>
      <c r="AZ211" s="9">
        <f t="shared" ca="1" si="120"/>
        <v>0.70856636647962046</v>
      </c>
      <c r="BB211" s="2">
        <f t="shared" ca="1" si="121"/>
        <v>8.6931713392445165</v>
      </c>
      <c r="BC211" s="2">
        <f t="shared" ca="1" si="122"/>
        <v>0.40048821753752883</v>
      </c>
      <c r="BD211" s="2">
        <f t="shared" ca="1" si="123"/>
        <v>2.1977683859691378E-4</v>
      </c>
      <c r="BE211" s="2">
        <f t="shared" ca="1" si="124"/>
        <v>0.22115836993556232</v>
      </c>
      <c r="BF211" s="2">
        <f t="shared" ca="1" si="125"/>
        <v>0.70856636647962046</v>
      </c>
      <c r="BG211" s="2">
        <f t="shared" ca="1" si="126"/>
        <v>5.2676536051453879E-2</v>
      </c>
      <c r="BH211" s="2">
        <f t="shared" ca="1" si="127"/>
        <v>0.70856636647962046</v>
      </c>
      <c r="BI211" s="2">
        <f t="shared" ca="1" si="128"/>
        <v>0.70856636647962046</v>
      </c>
    </row>
    <row r="212" spans="1:61" ht="15" x14ac:dyDescent="0.25">
      <c r="A212" s="66">
        <v>146</v>
      </c>
      <c r="B212" s="66">
        <v>1498730196.3970001</v>
      </c>
      <c r="C212" s="67">
        <v>2.8582035313766798E-5</v>
      </c>
      <c r="D212" s="67">
        <v>3.4893049238794802E-6</v>
      </c>
      <c r="E212" s="67">
        <v>1.66087982038375E-2</v>
      </c>
      <c r="F212" s="67">
        <v>5.1923373674794598E-4</v>
      </c>
      <c r="G212" s="67">
        <v>3.2216117386395402E-5</v>
      </c>
      <c r="H212" s="67">
        <v>0.30826226659967099</v>
      </c>
      <c r="I212" s="67">
        <v>3.4893049238794802E-6</v>
      </c>
      <c r="J212" s="67">
        <v>0.22271562392893199</v>
      </c>
      <c r="K212" s="67">
        <v>2.6762716229506101</v>
      </c>
      <c r="L212" s="67"/>
      <c r="M212" s="67"/>
      <c r="O212" s="11">
        <f t="shared" ca="1" si="86"/>
        <v>1.5778104603806771E-5</v>
      </c>
      <c r="P212" s="11">
        <f t="shared" ca="1" si="87"/>
        <v>2.7242046935747399E-6</v>
      </c>
      <c r="Q212" s="11">
        <f t="shared" ca="1" si="88"/>
        <v>1.5772306591569217E-2</v>
      </c>
      <c r="R212" s="11">
        <f t="shared" ca="1" si="89"/>
        <v>5.0758724910159882E-4</v>
      </c>
      <c r="S212" s="11">
        <f t="shared" ca="1" si="90"/>
        <v>2.1288465339425281E-5</v>
      </c>
      <c r="T212" s="11">
        <f t="shared" ca="1" si="91"/>
        <v>0.3071237115610887</v>
      </c>
      <c r="U212" s="11">
        <f t="shared" ca="1" si="92"/>
        <v>2.7242046935747399E-6</v>
      </c>
      <c r="V212" s="11">
        <f t="shared" ca="1" si="93"/>
        <v>0.22206542792323822</v>
      </c>
      <c r="W212" s="11">
        <f t="shared" ca="1" si="94"/>
        <v>2.669148774687105</v>
      </c>
      <c r="X212" s="11"/>
      <c r="Y212" s="2">
        <f t="shared" ca="1" si="95"/>
        <v>1.5778104603806771E-5</v>
      </c>
      <c r="Z212" s="11">
        <f t="shared" ca="1" si="96"/>
        <v>2.7242046935747399E-6</v>
      </c>
      <c r="AA212" s="2">
        <f t="shared" ca="1" si="97"/>
        <v>1.5772285749364769E-2</v>
      </c>
      <c r="AB212" s="2">
        <f t="shared" ca="1" si="98"/>
        <v>5.070827730166308E-4</v>
      </c>
      <c r="AC212" s="2">
        <f t="shared" ca="1" si="99"/>
        <v>2.1288465339425281E-5</v>
      </c>
      <c r="AD212" s="2">
        <f t="shared" ca="1" si="100"/>
        <v>0.30712004285941913</v>
      </c>
      <c r="AE212" s="2">
        <f t="shared" ca="1" si="101"/>
        <v>2.7242046935747399E-6</v>
      </c>
      <c r="AF212" s="2">
        <f t="shared" ca="1" si="102"/>
        <v>0.22206001013429755</v>
      </c>
      <c r="AG212" s="2">
        <f t="shared" ca="1" si="103"/>
        <v>2.6691465762743873</v>
      </c>
      <c r="AI212" s="2">
        <f t="shared" ca="1" si="104"/>
        <v>1.5778104603806771E-5</v>
      </c>
      <c r="AJ212" s="11">
        <f t="shared" ca="1" si="105"/>
        <v>2.7242046935747399E-6</v>
      </c>
      <c r="AK212" s="2">
        <f t="shared" ca="1" si="106"/>
        <v>1.5769071691876396E-2</v>
      </c>
      <c r="AL212" s="2">
        <f t="shared" ca="1" si="107"/>
        <v>5.0557845985977571E-4</v>
      </c>
      <c r="AM212" s="2">
        <f t="shared" ca="1" si="108"/>
        <v>2.1288465339425281E-5</v>
      </c>
      <c r="AN212" s="2">
        <f t="shared" ca="1" si="109"/>
        <v>0.30712004285941913</v>
      </c>
      <c r="AO212" s="2">
        <f t="shared" ca="1" si="110"/>
        <v>2.7242046935747399E-6</v>
      </c>
      <c r="AP212" s="2">
        <f t="shared" ca="1" si="111"/>
        <v>0.22206001013429755</v>
      </c>
      <c r="AQ212" s="2">
        <f t="shared" ca="1" si="112"/>
        <v>2.6691465762743873</v>
      </c>
      <c r="AS212" s="2">
        <f t="shared" ca="1" si="113"/>
        <v>8.6907935604190421</v>
      </c>
      <c r="AT212" s="2">
        <f t="shared" ca="1" si="114"/>
        <v>0.40037734652443285</v>
      </c>
      <c r="AU212" s="2">
        <f t="shared" ca="1" si="115"/>
        <v>2.0322643592493445E-4</v>
      </c>
      <c r="AV212" s="2">
        <f t="shared" ca="1" si="116"/>
        <v>0.22186220148731328</v>
      </c>
      <c r="AW212" s="2">
        <f t="shared" ca="1" si="117"/>
        <v>0.70905570955014796</v>
      </c>
      <c r="AX212" s="2">
        <f t="shared" ca="1" si="118"/>
        <v>5.333583932809869E-2</v>
      </c>
      <c r="AY212" s="9">
        <f t="shared" ca="1" si="119"/>
        <v>0.70905570955014796</v>
      </c>
      <c r="AZ212" s="9">
        <f t="shared" ca="1" si="120"/>
        <v>0.70905570955014796</v>
      </c>
      <c r="BB212" s="2">
        <f t="shared" ca="1" si="121"/>
        <v>8.6908902181163086</v>
      </c>
      <c r="BC212" s="2">
        <f t="shared" ca="1" si="122"/>
        <v>0.40038185347001093</v>
      </c>
      <c r="BD212" s="2">
        <f t="shared" ca="1" si="123"/>
        <v>2.0242444083317052E-4</v>
      </c>
      <c r="BE212" s="2">
        <f t="shared" ca="1" si="124"/>
        <v>0.22185758569346437</v>
      </c>
      <c r="BF212" s="2">
        <f t="shared" ca="1" si="125"/>
        <v>0.70904545637665517</v>
      </c>
      <c r="BG212" s="2">
        <f t="shared" ca="1" si="126"/>
        <v>5.3326144009251099E-2</v>
      </c>
      <c r="BH212" s="2">
        <f t="shared" ca="1" si="127"/>
        <v>0.70904545637665517</v>
      </c>
      <c r="BI212" s="2">
        <f t="shared" ca="1" si="128"/>
        <v>0.70904545637665517</v>
      </c>
    </row>
    <row r="213" spans="1:61" ht="15" x14ac:dyDescent="0.25">
      <c r="A213" s="66">
        <v>147</v>
      </c>
      <c r="B213" s="66">
        <v>1498730196.924</v>
      </c>
      <c r="C213" s="67">
        <v>6.1890700678490101E-5</v>
      </c>
      <c r="D213" s="67">
        <v>-2.2846038805743999E-5</v>
      </c>
      <c r="E213" s="67">
        <v>1.6600349768295899E-2</v>
      </c>
      <c r="F213" s="67">
        <v>6.5755556096876795E-4</v>
      </c>
      <c r="G213" s="67">
        <v>1.5380897003911699E-5</v>
      </c>
      <c r="H213" s="67">
        <v>0.30938087001131798</v>
      </c>
      <c r="I213" s="67">
        <v>-2.2846038805743999E-5</v>
      </c>
      <c r="J213" s="67">
        <v>0.223329863960567</v>
      </c>
      <c r="K213" s="67">
        <v>2.6852644144865598</v>
      </c>
      <c r="L213" s="67"/>
      <c r="M213" s="67"/>
      <c r="O213" s="11">
        <f t="shared" ca="1" si="86"/>
        <v>4.9086769968530073E-5</v>
      </c>
      <c r="P213" s="11">
        <f t="shared" ca="1" si="87"/>
        <v>-2.3611139036048741E-5</v>
      </c>
      <c r="Q213" s="11">
        <f t="shared" ca="1" si="88"/>
        <v>1.5763858156027617E-2</v>
      </c>
      <c r="R213" s="11">
        <f t="shared" ca="1" si="89"/>
        <v>6.4590907332242079E-4</v>
      </c>
      <c r="S213" s="11">
        <f t="shared" ca="1" si="90"/>
        <v>4.4532449569415762E-6</v>
      </c>
      <c r="T213" s="11">
        <f t="shared" ca="1" si="91"/>
        <v>0.30824231497273569</v>
      </c>
      <c r="U213" s="11">
        <f t="shared" ca="1" si="92"/>
        <v>-2.3611139036048741E-5</v>
      </c>
      <c r="V213" s="11">
        <f t="shared" ca="1" si="93"/>
        <v>0.22267966795487323</v>
      </c>
      <c r="W213" s="11">
        <f t="shared" ca="1" si="94"/>
        <v>2.6781415662230548</v>
      </c>
      <c r="X213" s="11"/>
      <c r="Y213" s="2">
        <f t="shared" ca="1" si="95"/>
        <v>4.9086769968530073E-5</v>
      </c>
      <c r="Z213" s="11">
        <f t="shared" ca="1" si="96"/>
        <v>-2.3611139036048741E-5</v>
      </c>
      <c r="AA213" s="2">
        <f t="shared" ca="1" si="97"/>
        <v>1.5763858156027617E-2</v>
      </c>
      <c r="AB213" s="2">
        <f t="shared" ca="1" si="98"/>
        <v>6.4590907332242079E-4</v>
      </c>
      <c r="AC213" s="2">
        <f t="shared" ca="1" si="99"/>
        <v>4.4532449569415762E-6</v>
      </c>
      <c r="AD213" s="2">
        <f t="shared" ca="1" si="100"/>
        <v>0.30824231497273569</v>
      </c>
      <c r="AE213" s="2">
        <f t="shared" ca="1" si="101"/>
        <v>-2.3611139036048741E-5</v>
      </c>
      <c r="AF213" s="2">
        <f t="shared" ca="1" si="102"/>
        <v>0.22267966795487323</v>
      </c>
      <c r="AG213" s="2">
        <f t="shared" ca="1" si="103"/>
        <v>2.6781415662230548</v>
      </c>
      <c r="AI213" s="2">
        <f t="shared" ca="1" si="104"/>
        <v>4.9086769968530073E-5</v>
      </c>
      <c r="AJ213" s="11">
        <f t="shared" ca="1" si="105"/>
        <v>-2.3611139036048741E-5</v>
      </c>
      <c r="AK213" s="2">
        <f t="shared" ca="1" si="106"/>
        <v>1.5763858156027617E-2</v>
      </c>
      <c r="AL213" s="2">
        <f t="shared" ca="1" si="107"/>
        <v>6.4590907332242079E-4</v>
      </c>
      <c r="AM213" s="2">
        <f t="shared" ca="1" si="108"/>
        <v>4.4532449569415762E-6</v>
      </c>
      <c r="AN213" s="2">
        <f t="shared" ca="1" si="109"/>
        <v>0.30824231497273569</v>
      </c>
      <c r="AO213" s="2">
        <f t="shared" ca="1" si="110"/>
        <v>-2.3611139036048741E-5</v>
      </c>
      <c r="AP213" s="2">
        <f t="shared" ca="1" si="111"/>
        <v>0.22267966795487323</v>
      </c>
      <c r="AQ213" s="2">
        <f t="shared" ca="1" si="112"/>
        <v>2.6781415662230548</v>
      </c>
      <c r="AS213" s="2">
        <f t="shared" ca="1" si="113"/>
        <v>8.688429317240038</v>
      </c>
      <c r="AT213" s="2">
        <f t="shared" ca="1" si="114"/>
        <v>0.40026710701590923</v>
      </c>
      <c r="AU213" s="2">
        <f t="shared" ca="1" si="115"/>
        <v>2.5853615617409218E-4</v>
      </c>
      <c r="AV213" s="2">
        <f t="shared" ca="1" si="116"/>
        <v>0.22242113179869913</v>
      </c>
      <c r="AW213" s="2">
        <f t="shared" ca="1" si="117"/>
        <v>0.70835943350454733</v>
      </c>
      <c r="AX213" s="2">
        <f t="shared" ca="1" si="118"/>
        <v>5.3099034296675639E-2</v>
      </c>
      <c r="AY213" s="9">
        <f t="shared" ca="1" si="119"/>
        <v>0.70835943350454733</v>
      </c>
      <c r="AZ213" s="9">
        <f t="shared" ca="1" si="120"/>
        <v>0.70835943350454733</v>
      </c>
      <c r="BB213" s="2">
        <f t="shared" ca="1" si="121"/>
        <v>8.688429317240038</v>
      </c>
      <c r="BC213" s="2">
        <f t="shared" ca="1" si="122"/>
        <v>0.40026710701590923</v>
      </c>
      <c r="BD213" s="2">
        <f t="shared" ca="1" si="123"/>
        <v>2.5853615617409218E-4</v>
      </c>
      <c r="BE213" s="2">
        <f t="shared" ca="1" si="124"/>
        <v>0.22242113179869913</v>
      </c>
      <c r="BF213" s="2">
        <f t="shared" ca="1" si="125"/>
        <v>0.70835943350454733</v>
      </c>
      <c r="BG213" s="2">
        <f t="shared" ca="1" si="126"/>
        <v>5.3099034296675639E-2</v>
      </c>
      <c r="BH213" s="2">
        <f t="shared" ca="1" si="127"/>
        <v>0.70835943350454733</v>
      </c>
      <c r="BI213" s="2">
        <f t="shared" ca="1" si="128"/>
        <v>0.70835943350454733</v>
      </c>
    </row>
    <row r="214" spans="1:61" ht="15" x14ac:dyDescent="0.25">
      <c r="A214" s="66">
        <v>148</v>
      </c>
      <c r="B214" s="66">
        <v>1498730197.451</v>
      </c>
      <c r="C214" s="67">
        <v>1.2331386683021099E-4</v>
      </c>
      <c r="D214" s="67">
        <v>-1.40038620602529E-6</v>
      </c>
      <c r="E214" s="67">
        <v>1.60723416557777E-2</v>
      </c>
      <c r="F214" s="67">
        <v>5.1947179572273301E-4</v>
      </c>
      <c r="G214" s="67">
        <v>3.4688663836247898E-5</v>
      </c>
      <c r="H214" s="67">
        <v>0.299768403498759</v>
      </c>
      <c r="I214" s="67">
        <v>-1.40038620602529E-6</v>
      </c>
      <c r="J214" s="67">
        <v>0.21660049030196599</v>
      </c>
      <c r="K214" s="67">
        <v>2.60425619751945</v>
      </c>
      <c r="L214" s="67"/>
      <c r="M214" s="67"/>
      <c r="O214" s="11">
        <f t="shared" ca="1" si="86"/>
        <v>1.1050993612025096E-4</v>
      </c>
      <c r="P214" s="11">
        <f t="shared" ca="1" si="87"/>
        <v>-2.1654864363300305E-6</v>
      </c>
      <c r="Q214" s="11">
        <f t="shared" ca="1" si="88"/>
        <v>1.5235850043509415E-2</v>
      </c>
      <c r="R214" s="11">
        <f t="shared" ca="1" si="89"/>
        <v>5.0782530807638585E-4</v>
      </c>
      <c r="S214" s="11">
        <f t="shared" ca="1" si="90"/>
        <v>2.3761011789277777E-5</v>
      </c>
      <c r="T214" s="11">
        <f t="shared" ca="1" si="91"/>
        <v>0.29862984846017671</v>
      </c>
      <c r="U214" s="11">
        <f t="shared" ca="1" si="92"/>
        <v>-2.1654864363300305E-6</v>
      </c>
      <c r="V214" s="11">
        <f t="shared" ca="1" si="93"/>
        <v>0.21595029429627222</v>
      </c>
      <c r="W214" s="11">
        <f t="shared" ca="1" si="94"/>
        <v>2.597133349255945</v>
      </c>
      <c r="X214" s="11"/>
      <c r="Y214" s="2">
        <f t="shared" ca="1" si="95"/>
        <v>1.1050993612025096E-4</v>
      </c>
      <c r="Z214" s="11">
        <f t="shared" ca="1" si="96"/>
        <v>-2.1654864363300305E-6</v>
      </c>
      <c r="AA214" s="2">
        <f t="shared" ca="1" si="97"/>
        <v>1.5235850043509415E-2</v>
      </c>
      <c r="AB214" s="2">
        <f t="shared" ca="1" si="98"/>
        <v>5.0782530807638585E-4</v>
      </c>
      <c r="AC214" s="2">
        <f t="shared" ca="1" si="99"/>
        <v>2.3761011789277777E-5</v>
      </c>
      <c r="AD214" s="2">
        <f t="shared" ca="1" si="100"/>
        <v>0.29862984846017671</v>
      </c>
      <c r="AE214" s="2">
        <f t="shared" ca="1" si="101"/>
        <v>-2.1654864363300305E-6</v>
      </c>
      <c r="AF214" s="2">
        <f t="shared" ca="1" si="102"/>
        <v>0.21595029429627222</v>
      </c>
      <c r="AG214" s="2">
        <f t="shared" ca="1" si="103"/>
        <v>2.597133349255945</v>
      </c>
      <c r="AI214" s="2">
        <f t="shared" ca="1" si="104"/>
        <v>1.1050993612025096E-4</v>
      </c>
      <c r="AJ214" s="11">
        <f t="shared" ca="1" si="105"/>
        <v>-2.1654864363300305E-6</v>
      </c>
      <c r="AK214" s="2">
        <f t="shared" ca="1" si="106"/>
        <v>1.5235850043509415E-2</v>
      </c>
      <c r="AL214" s="2">
        <f t="shared" ca="1" si="107"/>
        <v>5.0782530807638585E-4</v>
      </c>
      <c r="AM214" s="2">
        <f t="shared" ca="1" si="108"/>
        <v>2.3761011789277777E-5</v>
      </c>
      <c r="AN214" s="2">
        <f t="shared" ca="1" si="109"/>
        <v>0.29862984846017671</v>
      </c>
      <c r="AO214" s="2">
        <f t="shared" ca="1" si="110"/>
        <v>-2.1654864363300305E-6</v>
      </c>
      <c r="AP214" s="2">
        <f t="shared" ca="1" si="111"/>
        <v>0.21595029429627222</v>
      </c>
      <c r="AQ214" s="2">
        <f t="shared" ca="1" si="112"/>
        <v>2.597133349255945</v>
      </c>
      <c r="AS214" s="2">
        <f t="shared" ca="1" si="113"/>
        <v>8.6968310858660924</v>
      </c>
      <c r="AT214" s="2">
        <f t="shared" ca="1" si="114"/>
        <v>0.40065886483245849</v>
      </c>
      <c r="AU214" s="2">
        <f t="shared" ca="1" si="115"/>
        <v>2.0346471146707827E-4</v>
      </c>
      <c r="AV214" s="2">
        <f t="shared" ca="1" si="116"/>
        <v>0.21574682958480515</v>
      </c>
      <c r="AW214" s="2">
        <f t="shared" ca="1" si="117"/>
        <v>0.70887508464826221</v>
      </c>
      <c r="AX214" s="2">
        <f t="shared" ca="1" si="118"/>
        <v>5.3024839180857812E-2</v>
      </c>
      <c r="AY214" s="9">
        <f t="shared" ca="1" si="119"/>
        <v>0.70887508464826221</v>
      </c>
      <c r="AZ214" s="9">
        <f t="shared" ca="1" si="120"/>
        <v>0.70887508464826221</v>
      </c>
      <c r="BB214" s="2">
        <f t="shared" ca="1" si="121"/>
        <v>8.6968310858660924</v>
      </c>
      <c r="BC214" s="2">
        <f t="shared" ca="1" si="122"/>
        <v>0.40065886483245849</v>
      </c>
      <c r="BD214" s="2">
        <f t="shared" ca="1" si="123"/>
        <v>2.0346471146707827E-4</v>
      </c>
      <c r="BE214" s="2">
        <f t="shared" ca="1" si="124"/>
        <v>0.21574682958480515</v>
      </c>
      <c r="BF214" s="2">
        <f t="shared" ca="1" si="125"/>
        <v>0.70887508464826221</v>
      </c>
      <c r="BG214" s="2">
        <f t="shared" ca="1" si="126"/>
        <v>5.3024839180857812E-2</v>
      </c>
      <c r="BH214" s="2">
        <f t="shared" ca="1" si="127"/>
        <v>0.70887508464826221</v>
      </c>
      <c r="BI214" s="2">
        <f t="shared" ca="1" si="128"/>
        <v>0.70887508464826221</v>
      </c>
    </row>
    <row r="215" spans="1:61" ht="15" x14ac:dyDescent="0.25">
      <c r="A215" s="66">
        <v>149</v>
      </c>
      <c r="B215" s="66">
        <v>1498730197.9779999</v>
      </c>
      <c r="C215" s="67">
        <v>6.4961768680050198E-5</v>
      </c>
      <c r="D215" s="67">
        <v>-1.51469218096564E-5</v>
      </c>
      <c r="E215" s="67">
        <v>1.6257885360516599E-2</v>
      </c>
      <c r="F215" s="67">
        <v>5.9208243063715101E-4</v>
      </c>
      <c r="G215" s="67">
        <v>-1.5762590776732099E-5</v>
      </c>
      <c r="H215" s="67">
        <v>0.30485655685102497</v>
      </c>
      <c r="I215" s="67">
        <v>-1.51469218096564E-5</v>
      </c>
      <c r="J215" s="67">
        <v>0.22012196312919199</v>
      </c>
      <c r="K215" s="67">
        <v>2.64533902151158</v>
      </c>
      <c r="L215" s="67"/>
      <c r="M215" s="67"/>
      <c r="O215" s="11">
        <f t="shared" ca="1" si="86"/>
        <v>5.215783797009017E-5</v>
      </c>
      <c r="P215" s="11">
        <f t="shared" ca="1" si="87"/>
        <v>-1.591202203996114E-5</v>
      </c>
      <c r="Q215" s="11">
        <f t="shared" ca="1" si="88"/>
        <v>1.5421393748248314E-2</v>
      </c>
      <c r="R215" s="11">
        <f t="shared" ca="1" si="89"/>
        <v>5.8043594299080385E-4</v>
      </c>
      <c r="S215" s="11">
        <f t="shared" ca="1" si="90"/>
        <v>-2.6690242823702223E-5</v>
      </c>
      <c r="T215" s="11">
        <f t="shared" ca="1" si="91"/>
        <v>0.30371800181244268</v>
      </c>
      <c r="U215" s="11">
        <f t="shared" ca="1" si="92"/>
        <v>-1.591202203996114E-5</v>
      </c>
      <c r="V215" s="11">
        <f t="shared" ca="1" si="93"/>
        <v>0.21947176712349822</v>
      </c>
      <c r="W215" s="11">
        <f t="shared" ca="1" si="94"/>
        <v>2.6382161732480749</v>
      </c>
      <c r="X215" s="11"/>
      <c r="Y215" s="2">
        <f t="shared" ca="1" si="95"/>
        <v>5.215783797009017E-5</v>
      </c>
      <c r="Z215" s="11">
        <f t="shared" ca="1" si="96"/>
        <v>-1.591202203996114E-5</v>
      </c>
      <c r="AA215" s="2">
        <f t="shared" ca="1" si="97"/>
        <v>1.5421393748248314E-2</v>
      </c>
      <c r="AB215" s="2">
        <f t="shared" ca="1" si="98"/>
        <v>5.8043594299080385E-4</v>
      </c>
      <c r="AC215" s="2">
        <f t="shared" ca="1" si="99"/>
        <v>-2.6690242823702223E-5</v>
      </c>
      <c r="AD215" s="2">
        <f t="shared" ca="1" si="100"/>
        <v>0.30371800181244268</v>
      </c>
      <c r="AE215" s="2">
        <f t="shared" ca="1" si="101"/>
        <v>-1.591202203996114E-5</v>
      </c>
      <c r="AF215" s="2">
        <f t="shared" ca="1" si="102"/>
        <v>0.21947176712349822</v>
      </c>
      <c r="AG215" s="2">
        <f t="shared" ca="1" si="103"/>
        <v>2.6382161732480749</v>
      </c>
      <c r="AI215" s="2">
        <f t="shared" ca="1" si="104"/>
        <v>5.215783797009017E-5</v>
      </c>
      <c r="AJ215" s="11">
        <f t="shared" ca="1" si="105"/>
        <v>-1.591202203996114E-5</v>
      </c>
      <c r="AK215" s="2">
        <f t="shared" ca="1" si="106"/>
        <v>1.5421393748248314E-2</v>
      </c>
      <c r="AL215" s="2">
        <f t="shared" ca="1" si="107"/>
        <v>5.8043594299080385E-4</v>
      </c>
      <c r="AM215" s="2">
        <f t="shared" ca="1" si="108"/>
        <v>-2.6690242823702223E-5</v>
      </c>
      <c r="AN215" s="2">
        <f t="shared" ca="1" si="109"/>
        <v>0.30371800181244268</v>
      </c>
      <c r="AO215" s="2">
        <f t="shared" ca="1" si="110"/>
        <v>-1.591202203996114E-5</v>
      </c>
      <c r="AP215" s="2">
        <f t="shared" ca="1" si="111"/>
        <v>0.21947176712349822</v>
      </c>
      <c r="AQ215" s="2">
        <f t="shared" ca="1" si="112"/>
        <v>2.6382161732480749</v>
      </c>
      <c r="AS215" s="2">
        <f t="shared" ca="1" si="113"/>
        <v>8.6864004026908912</v>
      </c>
      <c r="AT215" s="2">
        <f t="shared" ca="1" si="114"/>
        <v>0.40017250344090938</v>
      </c>
      <c r="AU215" s="2">
        <f t="shared" ca="1" si="115"/>
        <v>2.3227450439371492E-4</v>
      </c>
      <c r="AV215" s="2">
        <f t="shared" ca="1" si="116"/>
        <v>0.2192394926191045</v>
      </c>
      <c r="AW215" s="2">
        <f t="shared" ca="1" si="117"/>
        <v>0.70871108569043628</v>
      </c>
      <c r="AX215" s="2">
        <f t="shared" ca="1" si="118"/>
        <v>5.2706680851341933E-2</v>
      </c>
      <c r="AY215" s="9">
        <f t="shared" ca="1" si="119"/>
        <v>0.70871108569043628</v>
      </c>
      <c r="AZ215" s="9">
        <f t="shared" ca="1" si="120"/>
        <v>0.70871108569043628</v>
      </c>
      <c r="BB215" s="2">
        <f t="shared" ca="1" si="121"/>
        <v>8.6864004026908912</v>
      </c>
      <c r="BC215" s="2">
        <f t="shared" ca="1" si="122"/>
        <v>0.40017250344090938</v>
      </c>
      <c r="BD215" s="2">
        <f t="shared" ca="1" si="123"/>
        <v>2.3227450439371492E-4</v>
      </c>
      <c r="BE215" s="2">
        <f t="shared" ca="1" si="124"/>
        <v>0.2192394926191045</v>
      </c>
      <c r="BF215" s="2">
        <f t="shared" ca="1" si="125"/>
        <v>0.70871108569043628</v>
      </c>
      <c r="BG215" s="2">
        <f t="shared" ca="1" si="126"/>
        <v>5.2706680851341933E-2</v>
      </c>
      <c r="BH215" s="2">
        <f t="shared" ca="1" si="127"/>
        <v>0.70871108569043628</v>
      </c>
      <c r="BI215" s="2">
        <f t="shared" ca="1" si="128"/>
        <v>0.70871108569043628</v>
      </c>
    </row>
    <row r="216" spans="1:61" ht="15" x14ac:dyDescent="0.25">
      <c r="A216" s="66">
        <v>150</v>
      </c>
      <c r="B216" s="66">
        <v>1498730198.5050001</v>
      </c>
      <c r="C216" s="67">
        <v>5.7874703018941403E-5</v>
      </c>
      <c r="D216" s="67">
        <v>1.13558356499156E-5</v>
      </c>
      <c r="E216" s="67">
        <v>1.6020955195364301E-2</v>
      </c>
      <c r="F216" s="67">
        <v>5.6232333540116701E-4</v>
      </c>
      <c r="G216" s="67">
        <v>8.4505980394685104E-5</v>
      </c>
      <c r="H216" s="67">
        <v>0.29829526210431501</v>
      </c>
      <c r="I216" s="67">
        <v>1.13558356499156E-5</v>
      </c>
      <c r="J216" s="67">
        <v>0.215437986515568</v>
      </c>
      <c r="K216" s="67">
        <v>2.5899833297340402</v>
      </c>
      <c r="L216" s="67"/>
      <c r="M216" s="67"/>
      <c r="O216" s="11">
        <f t="shared" ca="1" si="86"/>
        <v>4.5070772308981375E-5</v>
      </c>
      <c r="P216" s="11">
        <f t="shared" ca="1" si="87"/>
        <v>1.059073541961086E-5</v>
      </c>
      <c r="Q216" s="11">
        <f t="shared" ca="1" si="88"/>
        <v>1.5184463583096016E-2</v>
      </c>
      <c r="R216" s="11">
        <f t="shared" ca="1" si="89"/>
        <v>5.5067684775481985E-4</v>
      </c>
      <c r="S216" s="11">
        <f t="shared" ca="1" si="90"/>
        <v>7.3578328347714977E-5</v>
      </c>
      <c r="T216" s="11">
        <f t="shared" ca="1" si="91"/>
        <v>0.29715670706573272</v>
      </c>
      <c r="U216" s="11">
        <f t="shared" ca="1" si="92"/>
        <v>1.059073541961086E-5</v>
      </c>
      <c r="V216" s="11">
        <f t="shared" ca="1" si="93"/>
        <v>0.21478779050987423</v>
      </c>
      <c r="W216" s="11">
        <f t="shared" ca="1" si="94"/>
        <v>2.5828604814705352</v>
      </c>
      <c r="X216" s="11"/>
      <c r="Y216" s="2">
        <f t="shared" ca="1" si="95"/>
        <v>4.5070772308981375E-5</v>
      </c>
      <c r="Z216" s="11">
        <f t="shared" ca="1" si="96"/>
        <v>1.059073541961086E-5</v>
      </c>
      <c r="AA216" s="2">
        <f t="shared" ca="1" si="97"/>
        <v>1.5184382556044927E-2</v>
      </c>
      <c r="AB216" s="2">
        <f t="shared" ca="1" si="98"/>
        <v>5.4871562481367353E-4</v>
      </c>
      <c r="AC216" s="2">
        <f t="shared" ca="1" si="99"/>
        <v>7.3578328347714977E-5</v>
      </c>
      <c r="AD216" s="2">
        <f t="shared" ca="1" si="100"/>
        <v>0.29714244446321708</v>
      </c>
      <c r="AE216" s="2">
        <f t="shared" ca="1" si="101"/>
        <v>1.059073541961086E-5</v>
      </c>
      <c r="AF216" s="2">
        <f t="shared" ca="1" si="102"/>
        <v>0.21476672808040065</v>
      </c>
      <c r="AG216" s="2">
        <f t="shared" ca="1" si="103"/>
        <v>2.5828519348266314</v>
      </c>
      <c r="AI216" s="2">
        <f t="shared" ca="1" si="104"/>
        <v>4.5070772308981375E-5</v>
      </c>
      <c r="AJ216" s="11">
        <f t="shared" ca="1" si="105"/>
        <v>1.059073541961086E-5</v>
      </c>
      <c r="AK216" s="2">
        <f t="shared" ca="1" si="106"/>
        <v>1.5171887447816439E-2</v>
      </c>
      <c r="AL216" s="2">
        <f t="shared" ca="1" si="107"/>
        <v>5.4286739223773387E-4</v>
      </c>
      <c r="AM216" s="2">
        <f t="shared" ca="1" si="108"/>
        <v>7.3578328347714977E-5</v>
      </c>
      <c r="AN216" s="2">
        <f t="shared" ca="1" si="109"/>
        <v>0.29714244446321708</v>
      </c>
      <c r="AO216" s="2">
        <f t="shared" ca="1" si="110"/>
        <v>1.059073541961086E-5</v>
      </c>
      <c r="AP216" s="2">
        <f t="shared" ca="1" si="111"/>
        <v>0.21476672808040065</v>
      </c>
      <c r="AQ216" s="2">
        <f t="shared" ca="1" si="112"/>
        <v>2.5828519348266314</v>
      </c>
      <c r="AS216" s="2">
        <f t="shared" ca="1" si="113"/>
        <v>8.6919137951652967</v>
      </c>
      <c r="AT216" s="2">
        <f t="shared" ca="1" si="114"/>
        <v>0.40042958075703622</v>
      </c>
      <c r="AU216" s="2">
        <f t="shared" ca="1" si="115"/>
        <v>2.2050729927906878E-4</v>
      </c>
      <c r="AV216" s="2">
        <f t="shared" ca="1" si="116"/>
        <v>0.21456728321059515</v>
      </c>
      <c r="AW216" s="2">
        <f t="shared" ca="1" si="117"/>
        <v>0.70869629737201856</v>
      </c>
      <c r="AX216" s="2">
        <f t="shared" ca="1" si="118"/>
        <v>5.3077256434795876E-2</v>
      </c>
      <c r="AY216" s="9">
        <f t="shared" ca="1" si="119"/>
        <v>0.70869629737201856</v>
      </c>
      <c r="AZ216" s="9">
        <f t="shared" ca="1" si="120"/>
        <v>0.70869629737201856</v>
      </c>
      <c r="BB216" s="2">
        <f t="shared" ca="1" si="121"/>
        <v>8.6923022373747738</v>
      </c>
      <c r="BC216" s="2">
        <f t="shared" ca="1" si="122"/>
        <v>0.4004476930340824</v>
      </c>
      <c r="BD216" s="2">
        <f t="shared" ca="1" si="123"/>
        <v>2.1738999484502885E-4</v>
      </c>
      <c r="BE216" s="2">
        <f t="shared" ca="1" si="124"/>
        <v>0.21454933808555562</v>
      </c>
      <c r="BF216" s="2">
        <f t="shared" ca="1" si="125"/>
        <v>0.70865509172315588</v>
      </c>
      <c r="BG216" s="2">
        <f t="shared" ca="1" si="126"/>
        <v>5.3038267424367055E-2</v>
      </c>
      <c r="BH216" s="2">
        <f t="shared" ca="1" si="127"/>
        <v>0.70865509172315588</v>
      </c>
      <c r="BI216" s="2">
        <f t="shared" ca="1" si="128"/>
        <v>0.70865509172315588</v>
      </c>
    </row>
    <row r="217" spans="1:61" ht="15" x14ac:dyDescent="0.25">
      <c r="A217" s="66">
        <v>151</v>
      </c>
      <c r="B217" s="66">
        <v>1498730199.0320001</v>
      </c>
      <c r="C217" s="67">
        <v>7.7942151291795108E-6</v>
      </c>
      <c r="D217" s="67">
        <v>3.5644437743326497E-5</v>
      </c>
      <c r="E217" s="67">
        <v>1.5774915310692101E-2</v>
      </c>
      <c r="F217" s="67">
        <v>5.7851217324776801E-4</v>
      </c>
      <c r="G217" s="67">
        <v>4.3394906510622804E-6</v>
      </c>
      <c r="H217" s="67">
        <v>0.294608391218731</v>
      </c>
      <c r="I217" s="67">
        <v>3.5644437743326497E-5</v>
      </c>
      <c r="J217" s="67">
        <v>0.21285285282841801</v>
      </c>
      <c r="K217" s="67">
        <v>2.5578975489109199</v>
      </c>
      <c r="L217" s="67"/>
      <c r="M217" s="67"/>
      <c r="O217" s="11">
        <f t="shared" ca="1" si="86"/>
        <v>-5.009715580780517E-6</v>
      </c>
      <c r="P217" s="11">
        <f t="shared" ca="1" si="87"/>
        <v>3.4879337513021759E-5</v>
      </c>
      <c r="Q217" s="11">
        <f t="shared" ca="1" si="88"/>
        <v>1.4938423698423816E-2</v>
      </c>
      <c r="R217" s="11">
        <f t="shared" ca="1" si="89"/>
        <v>5.6686568560142085E-4</v>
      </c>
      <c r="S217" s="11">
        <f t="shared" ca="1" si="90"/>
        <v>-6.588161395907842E-6</v>
      </c>
      <c r="T217" s="11">
        <f t="shared" ca="1" si="91"/>
        <v>0.29346983618014871</v>
      </c>
      <c r="U217" s="11">
        <f t="shared" ca="1" si="92"/>
        <v>3.4879337513021759E-5</v>
      </c>
      <c r="V217" s="11">
        <f t="shared" ca="1" si="93"/>
        <v>0.21220265682272424</v>
      </c>
      <c r="W217" s="11">
        <f t="shared" ca="1" si="94"/>
        <v>2.5507747006474148</v>
      </c>
      <c r="X217" s="11"/>
      <c r="Y217" s="2">
        <f t="shared" ca="1" si="95"/>
        <v>-5.009715580780517E-6</v>
      </c>
      <c r="Z217" s="11">
        <f t="shared" ca="1" si="96"/>
        <v>3.4879337513021759E-5</v>
      </c>
      <c r="AA217" s="2">
        <f t="shared" ca="1" si="97"/>
        <v>1.4938156845391362E-2</v>
      </c>
      <c r="AB217" s="2">
        <f t="shared" ca="1" si="98"/>
        <v>5.6040662924770846E-4</v>
      </c>
      <c r="AC217" s="2">
        <f t="shared" ca="1" si="99"/>
        <v>-6.588161395907842E-6</v>
      </c>
      <c r="AD217" s="2">
        <f t="shared" ca="1" si="100"/>
        <v>0.29342286398159517</v>
      </c>
      <c r="AE217" s="2">
        <f t="shared" ca="1" si="101"/>
        <v>3.4879337513021759E-5</v>
      </c>
      <c r="AF217" s="2">
        <f t="shared" ca="1" si="102"/>
        <v>0.21213329019639035</v>
      </c>
      <c r="AG217" s="2">
        <f t="shared" ca="1" si="103"/>
        <v>2.5507465532841298</v>
      </c>
      <c r="AI217" s="2">
        <f t="shared" ca="1" si="104"/>
        <v>-5.009715580780517E-6</v>
      </c>
      <c r="AJ217" s="11">
        <f t="shared" ca="1" si="105"/>
        <v>3.4879337513021759E-5</v>
      </c>
      <c r="AK217" s="2">
        <f t="shared" ca="1" si="106"/>
        <v>1.4897005680727557E-2</v>
      </c>
      <c r="AL217" s="2">
        <f t="shared" ca="1" si="107"/>
        <v>5.4114616528661897E-4</v>
      </c>
      <c r="AM217" s="2">
        <f t="shared" ca="1" si="108"/>
        <v>-6.588161395907842E-6</v>
      </c>
      <c r="AN217" s="2">
        <f t="shared" ca="1" si="109"/>
        <v>0.29342286398159517</v>
      </c>
      <c r="AO217" s="2">
        <f t="shared" ca="1" si="110"/>
        <v>3.4879337513021759E-5</v>
      </c>
      <c r="AP217" s="2">
        <f t="shared" ca="1" si="111"/>
        <v>0.21213329019639035</v>
      </c>
      <c r="AQ217" s="2">
        <f t="shared" ca="1" si="112"/>
        <v>2.5507465532841298</v>
      </c>
      <c r="AS217" s="2">
        <f t="shared" ca="1" si="113"/>
        <v>8.6917781188305909</v>
      </c>
      <c r="AT217" s="2">
        <f t="shared" ca="1" si="114"/>
        <v>0.40042325444541454</v>
      </c>
      <c r="AU217" s="2">
        <f t="shared" ca="1" si="115"/>
        <v>2.2698620266195212E-4</v>
      </c>
      <c r="AV217" s="2">
        <f t="shared" ca="1" si="116"/>
        <v>0.21197567062006228</v>
      </c>
      <c r="AW217" s="2">
        <f t="shared" ca="1" si="117"/>
        <v>0.70893784495135204</v>
      </c>
      <c r="AX217" s="2">
        <f t="shared" ca="1" si="118"/>
        <v>5.2872386741827301E-2</v>
      </c>
      <c r="AY217" s="9">
        <f t="shared" ca="1" si="119"/>
        <v>0.70893784495135204</v>
      </c>
      <c r="AZ217" s="9">
        <f t="shared" ca="1" si="120"/>
        <v>0.70893784495135204</v>
      </c>
      <c r="BB217" s="2">
        <f t="shared" ca="1" si="121"/>
        <v>8.6930736026219293</v>
      </c>
      <c r="BC217" s="2">
        <f t="shared" ca="1" si="122"/>
        <v>0.40048366026942461</v>
      </c>
      <c r="BD217" s="2">
        <f t="shared" ca="1" si="123"/>
        <v>2.1672019701474821E-4</v>
      </c>
      <c r="BE217" s="2">
        <f t="shared" ca="1" si="124"/>
        <v>0.21191656999937561</v>
      </c>
      <c r="BF217" s="2">
        <f t="shared" ca="1" si="125"/>
        <v>0.7088004448051497</v>
      </c>
      <c r="BG217" s="2">
        <f t="shared" ca="1" si="126"/>
        <v>5.2742276845894921E-2</v>
      </c>
      <c r="BH217" s="2">
        <f t="shared" ca="1" si="127"/>
        <v>0.7088004448051497</v>
      </c>
      <c r="BI217" s="2">
        <f t="shared" ca="1" si="128"/>
        <v>0.7088004448051497</v>
      </c>
    </row>
    <row r="218" spans="1:61" ht="15" x14ac:dyDescent="0.25">
      <c r="A218" s="66">
        <v>152</v>
      </c>
      <c r="B218" s="66">
        <v>1498730199.559</v>
      </c>
      <c r="C218" s="67">
        <v>4.65355032527001E-5</v>
      </c>
      <c r="D218" s="67">
        <v>5.5377398332327601E-5</v>
      </c>
      <c r="E218" s="67">
        <v>1.5636966152451099E-2</v>
      </c>
      <c r="F218" s="67">
        <v>5.5637162273980401E-4</v>
      </c>
      <c r="G218" s="67">
        <v>8.8087198547858898E-5</v>
      </c>
      <c r="H218" s="67">
        <v>0.28984495008188998</v>
      </c>
      <c r="I218" s="67">
        <v>5.5377398332327601E-5</v>
      </c>
      <c r="J218" s="67">
        <v>0.20929731928093401</v>
      </c>
      <c r="K218" s="67">
        <v>2.5163019577165899</v>
      </c>
      <c r="L218" s="67"/>
      <c r="M218" s="67"/>
      <c r="O218" s="11">
        <f t="shared" ca="1" si="86"/>
        <v>3.3731572542740072E-5</v>
      </c>
      <c r="P218" s="11">
        <f t="shared" ca="1" si="87"/>
        <v>5.4612298102022862E-5</v>
      </c>
      <c r="Q218" s="11">
        <f t="shared" ca="1" si="88"/>
        <v>1.4800474540182814E-2</v>
      </c>
      <c r="R218" s="11">
        <f t="shared" ca="1" si="89"/>
        <v>5.4472513509345685E-4</v>
      </c>
      <c r="S218" s="11">
        <f t="shared" ca="1" si="90"/>
        <v>7.7159546500888771E-5</v>
      </c>
      <c r="T218" s="11">
        <f t="shared" ca="1" si="91"/>
        <v>0.2887063950433077</v>
      </c>
      <c r="U218" s="11">
        <f t="shared" ca="1" si="92"/>
        <v>5.4612298102022862E-5</v>
      </c>
      <c r="V218" s="11">
        <f t="shared" ca="1" si="93"/>
        <v>0.20864712327524024</v>
      </c>
      <c r="W218" s="11">
        <f t="shared" ca="1" si="94"/>
        <v>2.5091791094530849</v>
      </c>
      <c r="X218" s="11"/>
      <c r="Y218" s="2">
        <f t="shared" ca="1" si="95"/>
        <v>3.3731572542740072E-5</v>
      </c>
      <c r="Z218" s="11">
        <f t="shared" ca="1" si="96"/>
        <v>5.4612298102022862E-5</v>
      </c>
      <c r="AA218" s="2">
        <f t="shared" ca="1" si="97"/>
        <v>1.4800056715235528E-2</v>
      </c>
      <c r="AB218" s="2">
        <f t="shared" ca="1" si="98"/>
        <v>5.3461187216479562E-4</v>
      </c>
      <c r="AC218" s="2">
        <f t="shared" ca="1" si="99"/>
        <v>7.7159546500888771E-5</v>
      </c>
      <c r="AD218" s="2">
        <f t="shared" ca="1" si="100"/>
        <v>0.28863284835656355</v>
      </c>
      <c r="AE218" s="2">
        <f t="shared" ca="1" si="101"/>
        <v>5.4612298102022862E-5</v>
      </c>
      <c r="AF218" s="2">
        <f t="shared" ca="1" si="102"/>
        <v>0.20853851252899933</v>
      </c>
      <c r="AG218" s="2">
        <f t="shared" ca="1" si="103"/>
        <v>2.5091350377388801</v>
      </c>
      <c r="AI218" s="2">
        <f t="shared" ca="1" si="104"/>
        <v>3.3731572542740072E-5</v>
      </c>
      <c r="AJ218" s="11">
        <f t="shared" ca="1" si="105"/>
        <v>5.4612298102022862E-5</v>
      </c>
      <c r="AK218" s="2">
        <f t="shared" ca="1" si="106"/>
        <v>1.4735624308197233E-2</v>
      </c>
      <c r="AL218" s="2">
        <f t="shared" ca="1" si="107"/>
        <v>5.0445481430687073E-4</v>
      </c>
      <c r="AM218" s="2">
        <f t="shared" ca="1" si="108"/>
        <v>7.7159546500888771E-5</v>
      </c>
      <c r="AN218" s="2">
        <f t="shared" ca="1" si="109"/>
        <v>0.28863284835656355</v>
      </c>
      <c r="AO218" s="2">
        <f t="shared" ca="1" si="110"/>
        <v>5.4612298102022862E-5</v>
      </c>
      <c r="AP218" s="2">
        <f t="shared" ca="1" si="111"/>
        <v>0.20853851252899933</v>
      </c>
      <c r="AQ218" s="2">
        <f t="shared" ca="1" si="112"/>
        <v>2.5091350377388801</v>
      </c>
      <c r="AS218" s="2">
        <f t="shared" ca="1" si="113"/>
        <v>8.6911102508716258</v>
      </c>
      <c r="AT218" s="2">
        <f t="shared" ca="1" si="114"/>
        <v>0.40039211313789858</v>
      </c>
      <c r="AU218" s="2">
        <f t="shared" ca="1" si="115"/>
        <v>2.1810364791939645E-4</v>
      </c>
      <c r="AV218" s="2">
        <f t="shared" ca="1" si="116"/>
        <v>0.20842901962732083</v>
      </c>
      <c r="AW218" s="2">
        <f t="shared" ca="1" si="117"/>
        <v>0.70860498015447959</v>
      </c>
      <c r="AX218" s="2">
        <f t="shared" ca="1" si="118"/>
        <v>5.3244248333594729E-2</v>
      </c>
      <c r="AY218" s="9">
        <f t="shared" ca="1" si="119"/>
        <v>0.70860498015447959</v>
      </c>
      <c r="AZ218" s="9">
        <f t="shared" ca="1" si="120"/>
        <v>0.70860498015447959</v>
      </c>
      <c r="BB218" s="2">
        <f t="shared" ca="1" si="121"/>
        <v>8.6931721459478926</v>
      </c>
      <c r="BC218" s="2">
        <f t="shared" ca="1" si="122"/>
        <v>0.40048825515253655</v>
      </c>
      <c r="BD218" s="2">
        <f t="shared" ca="1" si="123"/>
        <v>2.0202822838505548E-4</v>
      </c>
      <c r="BE218" s="2">
        <f t="shared" ca="1" si="124"/>
        <v>0.20833648430061427</v>
      </c>
      <c r="BF218" s="2">
        <f t="shared" ca="1" si="125"/>
        <v>0.70838623538872536</v>
      </c>
      <c r="BG218" s="2">
        <f t="shared" ca="1" si="126"/>
        <v>5.303733152110459E-2</v>
      </c>
      <c r="BH218" s="2">
        <f t="shared" ca="1" si="127"/>
        <v>0.70838623538872536</v>
      </c>
      <c r="BI218" s="2">
        <f t="shared" ca="1" si="128"/>
        <v>0.70838623538872536</v>
      </c>
    </row>
    <row r="219" spans="1:61" ht="15" x14ac:dyDescent="0.25">
      <c r="A219" s="66">
        <v>153</v>
      </c>
      <c r="B219" s="66">
        <v>1498730200.085</v>
      </c>
      <c r="C219" s="67">
        <v>2.1259003513172599E-5</v>
      </c>
      <c r="D219" s="67">
        <v>5.5306494441548199E-5</v>
      </c>
      <c r="E219" s="67">
        <v>1.5634313468145099E-2</v>
      </c>
      <c r="F219" s="67">
        <v>5.4803928458886501E-4</v>
      </c>
      <c r="G219" s="67">
        <v>9.5556340406291199E-5</v>
      </c>
      <c r="H219" s="67">
        <v>0.28999246901801901</v>
      </c>
      <c r="I219" s="67">
        <v>5.5306494441548199E-5</v>
      </c>
      <c r="J219" s="67">
        <v>0.209540337961275</v>
      </c>
      <c r="K219" s="67">
        <v>2.5165671779969299</v>
      </c>
      <c r="L219" s="67"/>
      <c r="M219" s="67"/>
      <c r="O219" s="11">
        <f t="shared" ca="1" si="86"/>
        <v>8.4550728032125717E-6</v>
      </c>
      <c r="P219" s="11">
        <f t="shared" ca="1" si="87"/>
        <v>5.4541394211243461E-5</v>
      </c>
      <c r="Q219" s="11">
        <f t="shared" ca="1" si="88"/>
        <v>1.4797821855876815E-2</v>
      </c>
      <c r="R219" s="11">
        <f t="shared" ca="1" si="89"/>
        <v>5.3639279694251785E-4</v>
      </c>
      <c r="S219" s="11">
        <f t="shared" ca="1" si="90"/>
        <v>8.4628688359321072E-5</v>
      </c>
      <c r="T219" s="11">
        <f t="shared" ca="1" si="91"/>
        <v>0.28885391397943672</v>
      </c>
      <c r="U219" s="11">
        <f t="shared" ca="1" si="92"/>
        <v>5.4541394211243461E-5</v>
      </c>
      <c r="V219" s="11">
        <f t="shared" ca="1" si="93"/>
        <v>0.20889014195558123</v>
      </c>
      <c r="W219" s="11">
        <f t="shared" ca="1" si="94"/>
        <v>2.5094443297334248</v>
      </c>
      <c r="X219" s="11"/>
      <c r="Y219" s="2">
        <f t="shared" ca="1" si="95"/>
        <v>8.4550728032125717E-6</v>
      </c>
      <c r="Z219" s="11">
        <f t="shared" ca="1" si="96"/>
        <v>5.4541394211243461E-5</v>
      </c>
      <c r="AA219" s="2">
        <f t="shared" ca="1" si="97"/>
        <v>1.4797404573397351E-2</v>
      </c>
      <c r="AB219" s="2">
        <f t="shared" ca="1" si="98"/>
        <v>5.262926642009214E-4</v>
      </c>
      <c r="AC219" s="2">
        <f t="shared" ca="1" si="99"/>
        <v>8.4628688359321072E-5</v>
      </c>
      <c r="AD219" s="2">
        <f t="shared" ca="1" si="100"/>
        <v>0.28878046277935815</v>
      </c>
      <c r="AE219" s="2">
        <f t="shared" ca="1" si="101"/>
        <v>5.4541394211243461E-5</v>
      </c>
      <c r="AF219" s="2">
        <f t="shared" ca="1" si="102"/>
        <v>0.20878167222015212</v>
      </c>
      <c r="AG219" s="2">
        <f t="shared" ca="1" si="103"/>
        <v>2.5094003152381275</v>
      </c>
      <c r="AI219" s="2">
        <f t="shared" ca="1" si="104"/>
        <v>8.4550728032125717E-6</v>
      </c>
      <c r="AJ219" s="11">
        <f t="shared" ca="1" si="105"/>
        <v>5.4541394211243461E-5</v>
      </c>
      <c r="AK219" s="2">
        <f t="shared" ca="1" si="106"/>
        <v>1.4733055819831076E-2</v>
      </c>
      <c r="AL219" s="2">
        <f t="shared" ca="1" si="107"/>
        <v>4.9617475966213707E-4</v>
      </c>
      <c r="AM219" s="2">
        <f t="shared" ca="1" si="108"/>
        <v>8.4628688359321072E-5</v>
      </c>
      <c r="AN219" s="2">
        <f t="shared" ca="1" si="109"/>
        <v>0.28878046277935815</v>
      </c>
      <c r="AO219" s="2">
        <f t="shared" ca="1" si="110"/>
        <v>5.4541394211243461E-5</v>
      </c>
      <c r="AP219" s="2">
        <f t="shared" ca="1" si="111"/>
        <v>0.20878167222015212</v>
      </c>
      <c r="AQ219" s="2">
        <f t="shared" ca="1" si="112"/>
        <v>2.5094003152381275</v>
      </c>
      <c r="AS219" s="2">
        <f t="shared" ca="1" si="113"/>
        <v>8.687589844851713</v>
      </c>
      <c r="AT219" s="2">
        <f t="shared" ca="1" si="114"/>
        <v>0.40022796433490138</v>
      </c>
      <c r="AU219" s="2">
        <f t="shared" ca="1" si="115"/>
        <v>2.1467939720420804E-4</v>
      </c>
      <c r="AV219" s="2">
        <f t="shared" ca="1" si="116"/>
        <v>0.20867546255837702</v>
      </c>
      <c r="AW219" s="2">
        <f t="shared" ca="1" si="117"/>
        <v>0.70922519272371853</v>
      </c>
      <c r="AX219" s="2">
        <f t="shared" ca="1" si="118"/>
        <v>5.318546505257335E-2</v>
      </c>
      <c r="AY219" s="9">
        <f t="shared" ca="1" si="119"/>
        <v>0.70922519272371853</v>
      </c>
      <c r="AZ219" s="9">
        <f t="shared" ca="1" si="120"/>
        <v>0.70922519272371853</v>
      </c>
      <c r="BB219" s="2">
        <f t="shared" ca="1" si="121"/>
        <v>8.6896471149276717</v>
      </c>
      <c r="BC219" s="2">
        <f t="shared" ca="1" si="122"/>
        <v>0.40032389022346865</v>
      </c>
      <c r="BD219" s="2">
        <f t="shared" ca="1" si="123"/>
        <v>1.986306100186413E-4</v>
      </c>
      <c r="BE219" s="2">
        <f t="shared" ca="1" si="124"/>
        <v>0.20858304161013347</v>
      </c>
      <c r="BF219" s="2">
        <f t="shared" ca="1" si="125"/>
        <v>0.70900684621872301</v>
      </c>
      <c r="BG219" s="2">
        <f t="shared" ca="1" si="126"/>
        <v>5.2978989594472628E-2</v>
      </c>
      <c r="BH219" s="2">
        <f t="shared" ca="1" si="127"/>
        <v>0.70900684621872301</v>
      </c>
      <c r="BI219" s="2">
        <f t="shared" ca="1" si="128"/>
        <v>0.70900684621872301</v>
      </c>
    </row>
    <row r="220" spans="1:61" ht="15" x14ac:dyDescent="0.25">
      <c r="A220" s="66">
        <v>154</v>
      </c>
      <c r="B220" s="66">
        <v>1498730200.612</v>
      </c>
      <c r="C220" s="67">
        <v>1.06540240209017E-4</v>
      </c>
      <c r="D220" s="67">
        <v>-6.20886381066658E-7</v>
      </c>
      <c r="E220" s="67">
        <v>1.61497881472022E-2</v>
      </c>
      <c r="F220" s="67">
        <v>6.3017536624018799E-4</v>
      </c>
      <c r="G220" s="67">
        <v>8.1254723564845103E-5</v>
      </c>
      <c r="H220" s="67">
        <v>0.299558833092955</v>
      </c>
      <c r="I220" s="67">
        <v>-6.20886381066658E-7</v>
      </c>
      <c r="J220" s="67">
        <v>0.21646344465862799</v>
      </c>
      <c r="K220" s="67">
        <v>2.6008470879037402</v>
      </c>
      <c r="L220" s="67"/>
      <c r="M220" s="67"/>
      <c r="O220" s="11">
        <f t="shared" ca="1" si="86"/>
        <v>9.3736309499056969E-5</v>
      </c>
      <c r="P220" s="11">
        <f t="shared" ca="1" si="87"/>
        <v>-1.3859866113713983E-6</v>
      </c>
      <c r="Q220" s="11">
        <f t="shared" ca="1" si="88"/>
        <v>1.5313296534933915E-2</v>
      </c>
      <c r="R220" s="11">
        <f t="shared" ca="1" si="89"/>
        <v>6.1852887859384083E-4</v>
      </c>
      <c r="S220" s="11">
        <f t="shared" ca="1" si="90"/>
        <v>7.0327071517874975E-5</v>
      </c>
      <c r="T220" s="11">
        <f t="shared" ca="1" si="91"/>
        <v>0.29842027805437271</v>
      </c>
      <c r="U220" s="11">
        <f t="shared" ca="1" si="92"/>
        <v>-1.3859866113713983E-6</v>
      </c>
      <c r="V220" s="11">
        <f t="shared" ca="1" si="93"/>
        <v>0.21581324865293422</v>
      </c>
      <c r="W220" s="11">
        <f t="shared" ca="1" si="94"/>
        <v>2.5937242396402351</v>
      </c>
      <c r="X220" s="11"/>
      <c r="Y220" s="2">
        <f t="shared" ca="1" si="95"/>
        <v>9.3736309499056969E-5</v>
      </c>
      <c r="Z220" s="11">
        <f t="shared" ca="1" si="96"/>
        <v>-1.3859866113713983E-6</v>
      </c>
      <c r="AA220" s="2">
        <f t="shared" ca="1" si="97"/>
        <v>1.5313296534933915E-2</v>
      </c>
      <c r="AB220" s="2">
        <f t="shared" ca="1" si="98"/>
        <v>6.1852887859384083E-4</v>
      </c>
      <c r="AC220" s="2">
        <f t="shared" ca="1" si="99"/>
        <v>7.0327071517874975E-5</v>
      </c>
      <c r="AD220" s="2">
        <f t="shared" ca="1" si="100"/>
        <v>0.29842027805437271</v>
      </c>
      <c r="AE220" s="2">
        <f t="shared" ca="1" si="101"/>
        <v>-1.3859866113713983E-6</v>
      </c>
      <c r="AF220" s="2">
        <f t="shared" ca="1" si="102"/>
        <v>0.21581324865293422</v>
      </c>
      <c r="AG220" s="2">
        <f t="shared" ca="1" si="103"/>
        <v>2.5937242396402351</v>
      </c>
      <c r="AI220" s="2">
        <f t="shared" ca="1" si="104"/>
        <v>9.3736309499056969E-5</v>
      </c>
      <c r="AJ220" s="11">
        <f t="shared" ca="1" si="105"/>
        <v>-1.3859866113713983E-6</v>
      </c>
      <c r="AK220" s="2">
        <f t="shared" ca="1" si="106"/>
        <v>1.5313296534933915E-2</v>
      </c>
      <c r="AL220" s="2">
        <f t="shared" ca="1" si="107"/>
        <v>6.1852887859384083E-4</v>
      </c>
      <c r="AM220" s="2">
        <f t="shared" ca="1" si="108"/>
        <v>7.0327071517874975E-5</v>
      </c>
      <c r="AN220" s="2">
        <f t="shared" ca="1" si="109"/>
        <v>0.29842027805437271</v>
      </c>
      <c r="AO220" s="2">
        <f t="shared" ca="1" si="110"/>
        <v>-1.3859866113713983E-6</v>
      </c>
      <c r="AP220" s="2">
        <f t="shared" ca="1" si="111"/>
        <v>0.21581324865293422</v>
      </c>
      <c r="AQ220" s="2">
        <f t="shared" ca="1" si="112"/>
        <v>2.5937242396402351</v>
      </c>
      <c r="AS220" s="2">
        <f t="shared" ca="1" si="113"/>
        <v>8.6915147206171213</v>
      </c>
      <c r="AT220" s="2">
        <f t="shared" ca="1" si="114"/>
        <v>0.40041097272569798</v>
      </c>
      <c r="AU220" s="2">
        <f t="shared" ca="1" si="115"/>
        <v>2.4766574993669493E-4</v>
      </c>
      <c r="AV220" s="2">
        <f t="shared" ca="1" si="116"/>
        <v>0.21556558290299752</v>
      </c>
      <c r="AW220" s="2">
        <f t="shared" ca="1" si="117"/>
        <v>0.7089952612326279</v>
      </c>
      <c r="AX220" s="2">
        <f t="shared" ca="1" si="118"/>
        <v>5.3298441090236293E-2</v>
      </c>
      <c r="AY220" s="9">
        <f t="shared" ca="1" si="119"/>
        <v>0.7089952612326279</v>
      </c>
      <c r="AZ220" s="9">
        <f t="shared" ca="1" si="120"/>
        <v>0.7089952612326279</v>
      </c>
      <c r="BB220" s="2">
        <f t="shared" ca="1" si="121"/>
        <v>8.6915147206171213</v>
      </c>
      <c r="BC220" s="2">
        <f t="shared" ca="1" si="122"/>
        <v>0.40041097272569798</v>
      </c>
      <c r="BD220" s="2">
        <f t="shared" ca="1" si="123"/>
        <v>2.4766574993669493E-4</v>
      </c>
      <c r="BE220" s="2">
        <f t="shared" ca="1" si="124"/>
        <v>0.21556558290299752</v>
      </c>
      <c r="BF220" s="2">
        <f t="shared" ca="1" si="125"/>
        <v>0.7089952612326279</v>
      </c>
      <c r="BG220" s="2">
        <f t="shared" ca="1" si="126"/>
        <v>5.3298441090236293E-2</v>
      </c>
      <c r="BH220" s="2">
        <f t="shared" ca="1" si="127"/>
        <v>0.7089952612326279</v>
      </c>
      <c r="BI220" s="2">
        <f t="shared" ca="1" si="128"/>
        <v>0.7089952612326279</v>
      </c>
    </row>
    <row r="221" spans="1:61" ht="15" x14ac:dyDescent="0.25">
      <c r="A221" s="66">
        <v>155</v>
      </c>
      <c r="B221" s="66">
        <v>1498730201.1400001</v>
      </c>
      <c r="C221" s="67">
        <v>-4.53544811109952E-5</v>
      </c>
      <c r="D221" s="67">
        <v>8.4028605795851396E-6</v>
      </c>
      <c r="E221" s="67">
        <v>1.61567851623317E-2</v>
      </c>
      <c r="F221" s="67">
        <v>5.1899567782999305E-4</v>
      </c>
      <c r="G221" s="67">
        <v>-7.8137758288393002E-5</v>
      </c>
      <c r="H221" s="67">
        <v>0.30019046659614002</v>
      </c>
      <c r="I221" s="67">
        <v>8.4028605795851396E-6</v>
      </c>
      <c r="J221" s="67">
        <v>0.21700276464179799</v>
      </c>
      <c r="K221" s="67">
        <v>2.6072860638263702</v>
      </c>
      <c r="L221" s="67"/>
      <c r="M221" s="67"/>
      <c r="O221" s="11">
        <f t="shared" ca="1" si="86"/>
        <v>-5.8158411820955227E-5</v>
      </c>
      <c r="P221" s="11">
        <f t="shared" ca="1" si="87"/>
        <v>7.6377603492803993E-6</v>
      </c>
      <c r="Q221" s="11">
        <f t="shared" ca="1" si="88"/>
        <v>1.5320293550063415E-2</v>
      </c>
      <c r="R221" s="11">
        <f t="shared" ca="1" si="89"/>
        <v>5.0734919018364589E-4</v>
      </c>
      <c r="S221" s="11">
        <f t="shared" ca="1" si="90"/>
        <v>-8.9065410335363129E-5</v>
      </c>
      <c r="T221" s="11">
        <f t="shared" ca="1" si="91"/>
        <v>0.29905191155755773</v>
      </c>
      <c r="U221" s="11">
        <f t="shared" ca="1" si="92"/>
        <v>7.6377603492803993E-6</v>
      </c>
      <c r="V221" s="11">
        <f t="shared" ca="1" si="93"/>
        <v>0.21635256863610422</v>
      </c>
      <c r="W221" s="11">
        <f t="shared" ca="1" si="94"/>
        <v>2.6001632155628651</v>
      </c>
      <c r="X221" s="11"/>
      <c r="Y221" s="2">
        <f t="shared" ca="1" si="95"/>
        <v>-5.8158411820955227E-5</v>
      </c>
      <c r="Z221" s="11">
        <f t="shared" ca="1" si="96"/>
        <v>7.6377603492803993E-6</v>
      </c>
      <c r="AA221" s="2">
        <f t="shared" ca="1" si="97"/>
        <v>1.5320235115481348E-2</v>
      </c>
      <c r="AB221" s="2">
        <f t="shared" ca="1" si="98"/>
        <v>5.0593480768587812E-4</v>
      </c>
      <c r="AC221" s="2">
        <f t="shared" ca="1" si="99"/>
        <v>-8.9065410335363129E-5</v>
      </c>
      <c r="AD221" s="2">
        <f t="shared" ca="1" si="100"/>
        <v>0.29904162574305521</v>
      </c>
      <c r="AE221" s="2">
        <f t="shared" ca="1" si="101"/>
        <v>7.6377603492803993E-6</v>
      </c>
      <c r="AF221" s="2">
        <f t="shared" ca="1" si="102"/>
        <v>0.2163373789649134</v>
      </c>
      <c r="AG221" s="2">
        <f t="shared" ca="1" si="103"/>
        <v>2.6001570519476545</v>
      </c>
      <c r="AI221" s="2">
        <f t="shared" ca="1" si="104"/>
        <v>-5.8158411820955227E-5</v>
      </c>
      <c r="AJ221" s="11">
        <f t="shared" ca="1" si="105"/>
        <v>7.6377603492803993E-6</v>
      </c>
      <c r="AK221" s="2">
        <f t="shared" ca="1" si="106"/>
        <v>1.5311223971457222E-2</v>
      </c>
      <c r="AL221" s="2">
        <f t="shared" ca="1" si="107"/>
        <v>5.0171721588397437E-4</v>
      </c>
      <c r="AM221" s="2">
        <f t="shared" ca="1" si="108"/>
        <v>-8.9065410335363129E-5</v>
      </c>
      <c r="AN221" s="2">
        <f t="shared" ca="1" si="109"/>
        <v>0.29904162574305521</v>
      </c>
      <c r="AO221" s="2">
        <f t="shared" ca="1" si="110"/>
        <v>7.6377603492803993E-6</v>
      </c>
      <c r="AP221" s="2">
        <f t="shared" ca="1" si="111"/>
        <v>0.2163373789649134</v>
      </c>
      <c r="AQ221" s="2">
        <f t="shared" ca="1" si="112"/>
        <v>2.6001570519476545</v>
      </c>
      <c r="AS221" s="2">
        <f t="shared" ca="1" si="113"/>
        <v>8.6946884974598078</v>
      </c>
      <c r="AT221" s="2">
        <f t="shared" ca="1" si="114"/>
        <v>0.40055895974601929</v>
      </c>
      <c r="AU221" s="2">
        <f t="shared" ca="1" si="115"/>
        <v>2.0322326384794649E-4</v>
      </c>
      <c r="AV221" s="2">
        <f t="shared" ca="1" si="116"/>
        <v>0.21614934537225627</v>
      </c>
      <c r="AW221" s="2">
        <f t="shared" ca="1" si="117"/>
        <v>0.70928329876130836</v>
      </c>
      <c r="AX221" s="2">
        <f t="shared" ca="1" si="118"/>
        <v>5.323005226617164E-2</v>
      </c>
      <c r="AY221" s="9">
        <f t="shared" ca="1" si="119"/>
        <v>0.70928329876130836</v>
      </c>
      <c r="AZ221" s="9">
        <f t="shared" ca="1" si="120"/>
        <v>0.70928329876130836</v>
      </c>
      <c r="BB221" s="2">
        <f t="shared" ca="1" si="121"/>
        <v>8.6949669481190579</v>
      </c>
      <c r="BC221" s="2">
        <f t="shared" ca="1" si="122"/>
        <v>0.40057194338810997</v>
      </c>
      <c r="BD221" s="2">
        <f t="shared" ca="1" si="123"/>
        <v>2.0097384019791554E-4</v>
      </c>
      <c r="BE221" s="2">
        <f t="shared" ca="1" si="124"/>
        <v>0.21613640512471549</v>
      </c>
      <c r="BF221" s="2">
        <f t="shared" ca="1" si="125"/>
        <v>0.70925379239474995</v>
      </c>
      <c r="BG221" s="2">
        <f t="shared" ca="1" si="126"/>
        <v>5.3202113386359287E-2</v>
      </c>
      <c r="BH221" s="2">
        <f t="shared" ca="1" si="127"/>
        <v>0.70925379239474995</v>
      </c>
      <c r="BI221" s="2">
        <f t="shared" ca="1" si="128"/>
        <v>0.70925379239474995</v>
      </c>
    </row>
    <row r="222" spans="1:61" ht="15" x14ac:dyDescent="0.25">
      <c r="A222" s="66">
        <v>156</v>
      </c>
      <c r="B222" s="66">
        <v>1498730201.6659999</v>
      </c>
      <c r="C222" s="67">
        <v>-1.8662380658358101E-5</v>
      </c>
      <c r="D222" s="67">
        <v>-1.5760983750794799E-5</v>
      </c>
      <c r="E222" s="67">
        <v>1.6187910401438799E-2</v>
      </c>
      <c r="F222" s="67">
        <v>5.5184834483376004E-4</v>
      </c>
      <c r="G222" s="67">
        <v>4.1070474158775602E-5</v>
      </c>
      <c r="H222" s="67">
        <v>0.30128192481741101</v>
      </c>
      <c r="I222" s="67">
        <v>-1.5760983750794799E-5</v>
      </c>
      <c r="J222" s="67">
        <v>0.21749770375402</v>
      </c>
      <c r="K222" s="67">
        <v>2.6150772975813199</v>
      </c>
      <c r="L222" s="67"/>
      <c r="M222" s="67"/>
      <c r="O222" s="11">
        <f t="shared" ca="1" si="86"/>
        <v>-3.1466311368318132E-5</v>
      </c>
      <c r="P222" s="11">
        <f t="shared" ca="1" si="87"/>
        <v>-1.6526083981099541E-5</v>
      </c>
      <c r="Q222" s="11">
        <f t="shared" ca="1" si="88"/>
        <v>1.5351418789170514E-2</v>
      </c>
      <c r="R222" s="11">
        <f t="shared" ca="1" si="89"/>
        <v>5.4020185718741287E-4</v>
      </c>
      <c r="S222" s="11">
        <f t="shared" ca="1" si="90"/>
        <v>3.0142822111805482E-5</v>
      </c>
      <c r="T222" s="11">
        <f t="shared" ca="1" si="91"/>
        <v>0.30014336977882872</v>
      </c>
      <c r="U222" s="11">
        <f t="shared" ca="1" si="92"/>
        <v>-1.6526083981099541E-5</v>
      </c>
      <c r="V222" s="11">
        <f t="shared" ca="1" si="93"/>
        <v>0.21684750774832623</v>
      </c>
      <c r="W222" s="11">
        <f t="shared" ca="1" si="94"/>
        <v>2.6079544493178148</v>
      </c>
      <c r="X222" s="11"/>
      <c r="Y222" s="2">
        <f t="shared" ca="1" si="95"/>
        <v>-3.1466311368318132E-5</v>
      </c>
      <c r="Z222" s="11">
        <f t="shared" ca="1" si="96"/>
        <v>-1.6526083981099541E-5</v>
      </c>
      <c r="AA222" s="2">
        <f t="shared" ca="1" si="97"/>
        <v>1.5351418789170514E-2</v>
      </c>
      <c r="AB222" s="2">
        <f t="shared" ca="1" si="98"/>
        <v>5.4020185718741287E-4</v>
      </c>
      <c r="AC222" s="2">
        <f t="shared" ca="1" si="99"/>
        <v>3.0142822111805482E-5</v>
      </c>
      <c r="AD222" s="2">
        <f t="shared" ca="1" si="100"/>
        <v>0.30014336977882872</v>
      </c>
      <c r="AE222" s="2">
        <f t="shared" ca="1" si="101"/>
        <v>-1.6526083981099541E-5</v>
      </c>
      <c r="AF222" s="2">
        <f t="shared" ca="1" si="102"/>
        <v>0.21684750774832623</v>
      </c>
      <c r="AG222" s="2">
        <f t="shared" ca="1" si="103"/>
        <v>2.6079544493178148</v>
      </c>
      <c r="AI222" s="2">
        <f t="shared" ca="1" si="104"/>
        <v>-3.1466311368318132E-5</v>
      </c>
      <c r="AJ222" s="11">
        <f t="shared" ca="1" si="105"/>
        <v>-1.6526083981099541E-5</v>
      </c>
      <c r="AK222" s="2">
        <f t="shared" ca="1" si="106"/>
        <v>1.5351418789170514E-2</v>
      </c>
      <c r="AL222" s="2">
        <f t="shared" ca="1" si="107"/>
        <v>5.4020185718741287E-4</v>
      </c>
      <c r="AM222" s="2">
        <f t="shared" ca="1" si="108"/>
        <v>3.0142822111805482E-5</v>
      </c>
      <c r="AN222" s="2">
        <f t="shared" ca="1" si="109"/>
        <v>0.30014336977882872</v>
      </c>
      <c r="AO222" s="2">
        <f t="shared" ca="1" si="110"/>
        <v>-1.6526083981099541E-5</v>
      </c>
      <c r="AP222" s="2">
        <f t="shared" ca="1" si="111"/>
        <v>0.21684750774832623</v>
      </c>
      <c r="AQ222" s="2">
        <f t="shared" ca="1" si="112"/>
        <v>2.6079544493178148</v>
      </c>
      <c r="AS222" s="2">
        <f t="shared" ca="1" si="113"/>
        <v>8.6890290171646249</v>
      </c>
      <c r="AT222" s="2">
        <f t="shared" ca="1" si="114"/>
        <v>0.40029506968240691</v>
      </c>
      <c r="AU222" s="2">
        <f t="shared" ca="1" si="115"/>
        <v>2.1624014006540107E-4</v>
      </c>
      <c r="AV222" s="2">
        <f t="shared" ca="1" si="116"/>
        <v>0.21663126760826082</v>
      </c>
      <c r="AW222" s="2">
        <f t="shared" ca="1" si="117"/>
        <v>0.7085119584700269</v>
      </c>
      <c r="AX222" s="2">
        <f t="shared" ca="1" si="118"/>
        <v>5.3108838011868692E-2</v>
      </c>
      <c r="AY222" s="9">
        <f t="shared" ca="1" si="119"/>
        <v>0.7085119584700269</v>
      </c>
      <c r="AZ222" s="9">
        <f t="shared" ca="1" si="120"/>
        <v>0.7085119584700269</v>
      </c>
      <c r="BB222" s="2">
        <f t="shared" ca="1" si="121"/>
        <v>8.6890290171646249</v>
      </c>
      <c r="BC222" s="2">
        <f t="shared" ca="1" si="122"/>
        <v>0.40029506968240691</v>
      </c>
      <c r="BD222" s="2">
        <f t="shared" ca="1" si="123"/>
        <v>2.1624014006540107E-4</v>
      </c>
      <c r="BE222" s="2">
        <f t="shared" ca="1" si="124"/>
        <v>0.21663126760826082</v>
      </c>
      <c r="BF222" s="2">
        <f t="shared" ca="1" si="125"/>
        <v>0.7085119584700269</v>
      </c>
      <c r="BG222" s="2">
        <f t="shared" ca="1" si="126"/>
        <v>5.3108838011868692E-2</v>
      </c>
      <c r="BH222" s="2">
        <f t="shared" ca="1" si="127"/>
        <v>0.7085119584700269</v>
      </c>
      <c r="BI222" s="2">
        <f t="shared" ca="1" si="128"/>
        <v>0.7085119584700269</v>
      </c>
    </row>
    <row r="223" spans="1:61" ht="15" x14ac:dyDescent="0.25">
      <c r="A223" s="66">
        <v>157</v>
      </c>
      <c r="B223" s="66">
        <v>1498730202.1930001</v>
      </c>
      <c r="C223" s="67">
        <v>4.4409417723521302E-5</v>
      </c>
      <c r="D223" s="67">
        <v>-1.8524215433661999E-5</v>
      </c>
      <c r="E223" s="67">
        <v>1.6708012245786399E-2</v>
      </c>
      <c r="F223" s="67">
        <v>5.63989821301052E-4</v>
      </c>
      <c r="G223" s="67">
        <v>6.5824490681971805E-5</v>
      </c>
      <c r="H223" s="67">
        <v>0.30995502525648999</v>
      </c>
      <c r="I223" s="67">
        <v>-1.8524215433661999E-5</v>
      </c>
      <c r="J223" s="67">
        <v>0.223689054767469</v>
      </c>
      <c r="K223" s="67">
        <v>2.6892378255115101</v>
      </c>
      <c r="L223" s="67"/>
      <c r="M223" s="67"/>
      <c r="O223" s="11">
        <f t="shared" ca="1" si="86"/>
        <v>3.1605487013561274E-5</v>
      </c>
      <c r="P223" s="11">
        <f t="shared" ca="1" si="87"/>
        <v>-1.9289315663966741E-5</v>
      </c>
      <c r="Q223" s="11">
        <f t="shared" ca="1" si="88"/>
        <v>1.5871520633518117E-2</v>
      </c>
      <c r="R223" s="11">
        <f t="shared" ca="1" si="89"/>
        <v>5.5234333365470484E-4</v>
      </c>
      <c r="S223" s="11">
        <f t="shared" ca="1" si="90"/>
        <v>5.4896838635001685E-5</v>
      </c>
      <c r="T223" s="11">
        <f t="shared" ca="1" si="91"/>
        <v>0.3088164702179077</v>
      </c>
      <c r="U223" s="11">
        <f t="shared" ca="1" si="92"/>
        <v>-1.9289315663966741E-5</v>
      </c>
      <c r="V223" s="11">
        <f t="shared" ca="1" si="93"/>
        <v>0.22303885876177523</v>
      </c>
      <c r="W223" s="11">
        <f t="shared" ca="1" si="94"/>
        <v>2.6821149772480051</v>
      </c>
      <c r="X223" s="11"/>
      <c r="Y223" s="2">
        <f t="shared" ca="1" si="95"/>
        <v>3.1605487013561274E-5</v>
      </c>
      <c r="Z223" s="11">
        <f t="shared" ca="1" si="96"/>
        <v>-1.9289315663966741E-5</v>
      </c>
      <c r="AA223" s="2">
        <f t="shared" ca="1" si="97"/>
        <v>1.5871520633518117E-2</v>
      </c>
      <c r="AB223" s="2">
        <f t="shared" ca="1" si="98"/>
        <v>5.5234333365470484E-4</v>
      </c>
      <c r="AC223" s="2">
        <f t="shared" ca="1" si="99"/>
        <v>5.4896838635001685E-5</v>
      </c>
      <c r="AD223" s="2">
        <f t="shared" ca="1" si="100"/>
        <v>0.3088164702179077</v>
      </c>
      <c r="AE223" s="2">
        <f t="shared" ca="1" si="101"/>
        <v>-1.9289315663966741E-5</v>
      </c>
      <c r="AF223" s="2">
        <f t="shared" ca="1" si="102"/>
        <v>0.22303885876177523</v>
      </c>
      <c r="AG223" s="2">
        <f t="shared" ca="1" si="103"/>
        <v>2.6821149772480051</v>
      </c>
      <c r="AI223" s="2">
        <f t="shared" ca="1" si="104"/>
        <v>3.1605487013561274E-5</v>
      </c>
      <c r="AJ223" s="11">
        <f t="shared" ca="1" si="105"/>
        <v>-1.9289315663966741E-5</v>
      </c>
      <c r="AK223" s="2">
        <f t="shared" ca="1" si="106"/>
        <v>1.5871520633518117E-2</v>
      </c>
      <c r="AL223" s="2">
        <f t="shared" ca="1" si="107"/>
        <v>5.5234333365470484E-4</v>
      </c>
      <c r="AM223" s="2">
        <f t="shared" ca="1" si="108"/>
        <v>5.4896838635001685E-5</v>
      </c>
      <c r="AN223" s="2">
        <f t="shared" ca="1" si="109"/>
        <v>0.3088164702179077</v>
      </c>
      <c r="AO223" s="2">
        <f t="shared" ca="1" si="110"/>
        <v>-1.9289315663966741E-5</v>
      </c>
      <c r="AP223" s="2">
        <f t="shared" ca="1" si="111"/>
        <v>0.22303885876177523</v>
      </c>
      <c r="AQ223" s="2">
        <f t="shared" ca="1" si="112"/>
        <v>2.6821149772480051</v>
      </c>
      <c r="AS223" s="2">
        <f t="shared" ca="1" si="113"/>
        <v>8.685142263802982</v>
      </c>
      <c r="AT223" s="2">
        <f t="shared" ca="1" si="114"/>
        <v>0.40011383948014395</v>
      </c>
      <c r="AU223" s="2">
        <f t="shared" ca="1" si="115"/>
        <v>2.2100021193984616E-4</v>
      </c>
      <c r="AV223" s="2">
        <f t="shared" ca="1" si="116"/>
        <v>0.22281785854983538</v>
      </c>
      <c r="AW223" s="2">
        <f t="shared" ca="1" si="117"/>
        <v>0.70843856224270274</v>
      </c>
      <c r="AX223" s="2">
        <f t="shared" ca="1" si="118"/>
        <v>5.33416307535476E-2</v>
      </c>
      <c r="AY223" s="9">
        <f t="shared" ca="1" si="119"/>
        <v>0.70843856224270274</v>
      </c>
      <c r="AZ223" s="9">
        <f t="shared" ca="1" si="120"/>
        <v>0.70843856224270274</v>
      </c>
      <c r="BB223" s="2">
        <f t="shared" ca="1" si="121"/>
        <v>8.685142263802982</v>
      </c>
      <c r="BC223" s="2">
        <f t="shared" ca="1" si="122"/>
        <v>0.40011383948014395</v>
      </c>
      <c r="BD223" s="2">
        <f t="shared" ca="1" si="123"/>
        <v>2.2100021193984616E-4</v>
      </c>
      <c r="BE223" s="2">
        <f t="shared" ca="1" si="124"/>
        <v>0.22281785854983538</v>
      </c>
      <c r="BF223" s="2">
        <f t="shared" ca="1" si="125"/>
        <v>0.70843856224270274</v>
      </c>
      <c r="BG223" s="2">
        <f t="shared" ca="1" si="126"/>
        <v>5.33416307535476E-2</v>
      </c>
      <c r="BH223" s="2">
        <f t="shared" ca="1" si="127"/>
        <v>0.70843856224270274</v>
      </c>
      <c r="BI223" s="2">
        <f t="shared" ca="1" si="128"/>
        <v>0.70843856224270274</v>
      </c>
    </row>
    <row r="224" spans="1:61" ht="15" x14ac:dyDescent="0.25">
      <c r="A224" s="66">
        <v>158</v>
      </c>
      <c r="B224" s="66">
        <v>1498730202.72</v>
      </c>
      <c r="C224" s="67">
        <v>-7.3699288320883295E-5</v>
      </c>
      <c r="D224" s="67">
        <v>-9.0223224559863793E-5</v>
      </c>
      <c r="E224" s="67">
        <v>1.6417398072669901E-2</v>
      </c>
      <c r="F224" s="67">
        <v>5.5518128446285396E-4</v>
      </c>
      <c r="G224" s="67">
        <v>6.00770497581883E-5</v>
      </c>
      <c r="H224" s="67">
        <v>0.30650342177307899</v>
      </c>
      <c r="I224" s="67">
        <v>-9.0223224559863793E-5</v>
      </c>
      <c r="J224" s="67">
        <v>0.221150784556053</v>
      </c>
      <c r="K224" s="67">
        <v>2.6610675058745699</v>
      </c>
      <c r="L224" s="67"/>
      <c r="M224" s="67"/>
      <c r="O224" s="11">
        <f t="shared" ca="1" si="86"/>
        <v>-8.650321903084333E-5</v>
      </c>
      <c r="P224" s="11">
        <f t="shared" ca="1" si="87"/>
        <v>-9.0988324790168532E-5</v>
      </c>
      <c r="Q224" s="11">
        <f t="shared" ca="1" si="88"/>
        <v>1.5580906460401616E-2</v>
      </c>
      <c r="R224" s="11">
        <f t="shared" ca="1" si="89"/>
        <v>5.435347968165068E-4</v>
      </c>
      <c r="S224" s="11">
        <f t="shared" ca="1" si="90"/>
        <v>4.9149397711218179E-5</v>
      </c>
      <c r="T224" s="11">
        <f t="shared" ca="1" si="91"/>
        <v>0.3053648667344967</v>
      </c>
      <c r="U224" s="11">
        <f t="shared" ca="1" si="92"/>
        <v>-9.0988324790168532E-5</v>
      </c>
      <c r="V224" s="11">
        <f t="shared" ca="1" si="93"/>
        <v>0.22050058855035923</v>
      </c>
      <c r="W224" s="11">
        <f t="shared" ca="1" si="94"/>
        <v>2.6539446576110648</v>
      </c>
      <c r="X224" s="11"/>
      <c r="Y224" s="2">
        <f t="shared" ca="1" si="95"/>
        <v>-8.650321903084333E-5</v>
      </c>
      <c r="Z224" s="11">
        <f t="shared" ca="1" si="96"/>
        <v>-9.0988324790168532E-5</v>
      </c>
      <c r="AA224" s="2">
        <f t="shared" ca="1" si="97"/>
        <v>1.5580906460401616E-2</v>
      </c>
      <c r="AB224" s="2">
        <f t="shared" ca="1" si="98"/>
        <v>5.435347968165068E-4</v>
      </c>
      <c r="AC224" s="2">
        <f t="shared" ca="1" si="99"/>
        <v>4.9149397711218179E-5</v>
      </c>
      <c r="AD224" s="2">
        <f t="shared" ca="1" si="100"/>
        <v>0.3053648667344967</v>
      </c>
      <c r="AE224" s="2">
        <f t="shared" ca="1" si="101"/>
        <v>-9.0988324790168532E-5</v>
      </c>
      <c r="AF224" s="2">
        <f t="shared" ca="1" si="102"/>
        <v>0.22050058855035923</v>
      </c>
      <c r="AG224" s="2">
        <f t="shared" ca="1" si="103"/>
        <v>2.6539446576110648</v>
      </c>
      <c r="AI224" s="2">
        <f t="shared" ca="1" si="104"/>
        <v>-8.650321903084333E-5</v>
      </c>
      <c r="AJ224" s="11">
        <f t="shared" ca="1" si="105"/>
        <v>-9.0988324790168532E-5</v>
      </c>
      <c r="AK224" s="2">
        <f t="shared" ca="1" si="106"/>
        <v>1.5580906460401616E-2</v>
      </c>
      <c r="AL224" s="2">
        <f t="shared" ca="1" si="107"/>
        <v>5.435347968165068E-4</v>
      </c>
      <c r="AM224" s="2">
        <f t="shared" ca="1" si="108"/>
        <v>4.9149397711218179E-5</v>
      </c>
      <c r="AN224" s="2">
        <f t="shared" ca="1" si="109"/>
        <v>0.3053648667344967</v>
      </c>
      <c r="AO224" s="2">
        <f t="shared" ca="1" si="110"/>
        <v>-9.0988324790168532E-5</v>
      </c>
      <c r="AP224" s="2">
        <f t="shared" ca="1" si="111"/>
        <v>0.22050058855035923</v>
      </c>
      <c r="AQ224" s="2">
        <f t="shared" ca="1" si="112"/>
        <v>2.6539446576110648</v>
      </c>
      <c r="AS224" s="2">
        <f t="shared" ca="1" si="113"/>
        <v>8.6910609134303911</v>
      </c>
      <c r="AT224" s="2">
        <f t="shared" ca="1" si="114"/>
        <v>0.40038981263577073</v>
      </c>
      <c r="AU224" s="2">
        <f t="shared" ca="1" si="115"/>
        <v>2.1762579545838286E-4</v>
      </c>
      <c r="AV224" s="2">
        <f t="shared" ca="1" si="116"/>
        <v>0.22028296275490084</v>
      </c>
      <c r="AW224" s="2">
        <f t="shared" ca="1" si="117"/>
        <v>0.7080525650557955</v>
      </c>
      <c r="AX224" s="2">
        <f t="shared" ca="1" si="118"/>
        <v>5.2993742738897821E-2</v>
      </c>
      <c r="AY224" s="9">
        <f t="shared" ca="1" si="119"/>
        <v>0.7080525650557955</v>
      </c>
      <c r="AZ224" s="9">
        <f t="shared" ca="1" si="120"/>
        <v>0.7080525650557955</v>
      </c>
      <c r="BB224" s="2">
        <f t="shared" ca="1" si="121"/>
        <v>8.6910609134303911</v>
      </c>
      <c r="BC224" s="2">
        <f t="shared" ca="1" si="122"/>
        <v>0.40038981263577073</v>
      </c>
      <c r="BD224" s="2">
        <f t="shared" ca="1" si="123"/>
        <v>2.1762579545838286E-4</v>
      </c>
      <c r="BE224" s="2">
        <f t="shared" ca="1" si="124"/>
        <v>0.22028296275490084</v>
      </c>
      <c r="BF224" s="2">
        <f t="shared" ca="1" si="125"/>
        <v>0.7080525650557955</v>
      </c>
      <c r="BG224" s="2">
        <f t="shared" ca="1" si="126"/>
        <v>5.2993742738897821E-2</v>
      </c>
      <c r="BH224" s="2">
        <f t="shared" ca="1" si="127"/>
        <v>0.7080525650557955</v>
      </c>
      <c r="BI224" s="2">
        <f t="shared" ca="1" si="128"/>
        <v>0.7080525650557955</v>
      </c>
    </row>
    <row r="225" spans="1:61" ht="15" x14ac:dyDescent="0.25">
      <c r="A225" s="66">
        <v>159</v>
      </c>
      <c r="B225" s="66">
        <v>1498730203.247</v>
      </c>
      <c r="C225" s="67">
        <v>-4.9617316264243402E-6</v>
      </c>
      <c r="D225" s="67">
        <v>-2.8885052230034902E-6</v>
      </c>
      <c r="E225" s="67">
        <v>1.6674939819160399E-2</v>
      </c>
      <c r="F225" s="67">
        <v>4.4543818938865801E-4</v>
      </c>
      <c r="G225" s="67">
        <v>-5.17195855351414E-5</v>
      </c>
      <c r="H225" s="67">
        <v>0.31022528239649499</v>
      </c>
      <c r="I225" s="67">
        <v>-2.8885052230034902E-6</v>
      </c>
      <c r="J225" s="67">
        <v>0.223874642606881</v>
      </c>
      <c r="K225" s="67">
        <v>2.6911808878749701</v>
      </c>
      <c r="L225" s="67"/>
      <c r="M225" s="67"/>
      <c r="O225" s="11">
        <f t="shared" ca="1" si="86"/>
        <v>-1.7765662336384367E-5</v>
      </c>
      <c r="P225" s="11">
        <f t="shared" ca="1" si="87"/>
        <v>-3.6536054533082305E-6</v>
      </c>
      <c r="Q225" s="11">
        <f t="shared" ca="1" si="88"/>
        <v>1.5838448206892116E-2</v>
      </c>
      <c r="R225" s="11">
        <f t="shared" ca="1" si="89"/>
        <v>4.337917017423109E-4</v>
      </c>
      <c r="S225" s="11">
        <f t="shared" ca="1" si="90"/>
        <v>-6.2647237582111521E-5</v>
      </c>
      <c r="T225" s="11">
        <f t="shared" ca="1" si="91"/>
        <v>0.30908672735791271</v>
      </c>
      <c r="U225" s="11">
        <f t="shared" ca="1" si="92"/>
        <v>-3.6536054533082305E-6</v>
      </c>
      <c r="V225" s="11">
        <f t="shared" ca="1" si="93"/>
        <v>0.22322444660118723</v>
      </c>
      <c r="W225" s="11">
        <f t="shared" ca="1" si="94"/>
        <v>2.6840580396114651</v>
      </c>
      <c r="X225" s="11"/>
      <c r="Y225" s="2">
        <f t="shared" ca="1" si="95"/>
        <v>-1.7765662336384367E-5</v>
      </c>
      <c r="Z225" s="11">
        <f t="shared" ca="1" si="96"/>
        <v>-3.6536054533082305E-6</v>
      </c>
      <c r="AA225" s="2">
        <f t="shared" ca="1" si="97"/>
        <v>1.5838448206892116E-2</v>
      </c>
      <c r="AB225" s="2">
        <f t="shared" ca="1" si="98"/>
        <v>4.337917017423109E-4</v>
      </c>
      <c r="AC225" s="2">
        <f t="shared" ca="1" si="99"/>
        <v>-6.2647237582111521E-5</v>
      </c>
      <c r="AD225" s="2">
        <f t="shared" ca="1" si="100"/>
        <v>0.30908672735791271</v>
      </c>
      <c r="AE225" s="2">
        <f t="shared" ca="1" si="101"/>
        <v>-3.6536054533082305E-6</v>
      </c>
      <c r="AF225" s="2">
        <f t="shared" ca="1" si="102"/>
        <v>0.22322444660118723</v>
      </c>
      <c r="AG225" s="2">
        <f t="shared" ca="1" si="103"/>
        <v>2.6840580396114651</v>
      </c>
      <c r="AI225" s="2">
        <f t="shared" ca="1" si="104"/>
        <v>-1.7765662336384367E-5</v>
      </c>
      <c r="AJ225" s="11">
        <f t="shared" ca="1" si="105"/>
        <v>-3.6536054533082305E-6</v>
      </c>
      <c r="AK225" s="2">
        <f t="shared" ca="1" si="106"/>
        <v>1.5838448206892116E-2</v>
      </c>
      <c r="AL225" s="2">
        <f t="shared" ca="1" si="107"/>
        <v>4.337917017423109E-4</v>
      </c>
      <c r="AM225" s="2">
        <f t="shared" ca="1" si="108"/>
        <v>-6.2647237582111521E-5</v>
      </c>
      <c r="AN225" s="2">
        <f t="shared" ca="1" si="109"/>
        <v>0.30908672735791271</v>
      </c>
      <c r="AO225" s="2">
        <f t="shared" ca="1" si="110"/>
        <v>-3.6536054533082305E-6</v>
      </c>
      <c r="AP225" s="2">
        <f t="shared" ca="1" si="111"/>
        <v>0.22322444660118723</v>
      </c>
      <c r="AQ225" s="2">
        <f t="shared" ca="1" si="112"/>
        <v>2.6840580396114651</v>
      </c>
      <c r="AS225" s="2">
        <f t="shared" ca="1" si="113"/>
        <v>8.6838346717599766</v>
      </c>
      <c r="AT225" s="2">
        <f t="shared" ca="1" si="114"/>
        <v>0.40005286974808946</v>
      </c>
      <c r="AU225" s="2">
        <f t="shared" ca="1" si="115"/>
        <v>1.7353961515491876E-4</v>
      </c>
      <c r="AV225" s="2">
        <f t="shared" ca="1" si="116"/>
        <v>0.2230509069860323</v>
      </c>
      <c r="AW225" s="2">
        <f t="shared" ca="1" si="117"/>
        <v>0.70861316888661707</v>
      </c>
      <c r="AX225" s="2">
        <f t="shared" ca="1" si="118"/>
        <v>5.3175743073484688E-2</v>
      </c>
      <c r="AY225" s="9">
        <f t="shared" ca="1" si="119"/>
        <v>0.70861316888661707</v>
      </c>
      <c r="AZ225" s="9">
        <f t="shared" ca="1" si="120"/>
        <v>0.70861316888661707</v>
      </c>
      <c r="BB225" s="2">
        <f t="shared" ca="1" si="121"/>
        <v>8.6838346717599766</v>
      </c>
      <c r="BC225" s="2">
        <f t="shared" ca="1" si="122"/>
        <v>0.40005286974808946</v>
      </c>
      <c r="BD225" s="2">
        <f t="shared" ca="1" si="123"/>
        <v>1.7353961515491876E-4</v>
      </c>
      <c r="BE225" s="2">
        <f t="shared" ca="1" si="124"/>
        <v>0.2230509069860323</v>
      </c>
      <c r="BF225" s="2">
        <f t="shared" ca="1" si="125"/>
        <v>0.70861316888661707</v>
      </c>
      <c r="BG225" s="2">
        <f t="shared" ca="1" si="126"/>
        <v>5.3175743073484688E-2</v>
      </c>
      <c r="BH225" s="2">
        <f t="shared" ca="1" si="127"/>
        <v>0.70861316888661707</v>
      </c>
      <c r="BI225" s="2">
        <f t="shared" ca="1" si="128"/>
        <v>0.70861316888661707</v>
      </c>
    </row>
    <row r="226" spans="1:61" ht="15" x14ac:dyDescent="0.25">
      <c r="A226" s="66">
        <v>160</v>
      </c>
      <c r="B226" s="66">
        <v>1498730203.7750001</v>
      </c>
      <c r="C226" s="67">
        <v>-5.3385592037237599E-5</v>
      </c>
      <c r="D226" s="67">
        <v>-4.5892582855054403E-5</v>
      </c>
      <c r="E226" s="67">
        <v>1.73363519359311E-2</v>
      </c>
      <c r="F226" s="67">
        <v>6.0041513617645995E-4</v>
      </c>
      <c r="G226" s="67">
        <v>-1.83280190327716E-5</v>
      </c>
      <c r="H226" s="67">
        <v>0.32357262785123098</v>
      </c>
      <c r="I226" s="67">
        <v>-4.5892582855054403E-5</v>
      </c>
      <c r="J226" s="67">
        <v>0.23385212420920201</v>
      </c>
      <c r="K226" s="67">
        <v>2.8110461579267301</v>
      </c>
      <c r="L226" s="67"/>
      <c r="M226" s="67"/>
      <c r="O226" s="11">
        <f t="shared" ca="1" si="86"/>
        <v>-6.6189522747197633E-5</v>
      </c>
      <c r="P226" s="11">
        <f t="shared" ca="1" si="87"/>
        <v>-4.6657683085359141E-5</v>
      </c>
      <c r="Q226" s="11">
        <f t="shared" ca="1" si="88"/>
        <v>1.6499860323662817E-2</v>
      </c>
      <c r="R226" s="11">
        <f t="shared" ca="1" si="89"/>
        <v>5.8876864853011279E-4</v>
      </c>
      <c r="S226" s="11">
        <f t="shared" ca="1" si="90"/>
        <v>-2.925567107974172E-5</v>
      </c>
      <c r="T226" s="11">
        <f t="shared" ca="1" si="91"/>
        <v>0.32243407281264869</v>
      </c>
      <c r="U226" s="11">
        <f t="shared" ca="1" si="92"/>
        <v>-4.6657683085359141E-5</v>
      </c>
      <c r="V226" s="11">
        <f t="shared" ca="1" si="93"/>
        <v>0.23320192820350824</v>
      </c>
      <c r="W226" s="11">
        <f t="shared" ca="1" si="94"/>
        <v>2.803923309663225</v>
      </c>
      <c r="X226" s="11"/>
      <c r="Y226" s="2">
        <f t="shared" ca="1" si="95"/>
        <v>-6.6189522747197633E-5</v>
      </c>
      <c r="Z226" s="11">
        <f t="shared" ca="1" si="96"/>
        <v>-4.6657683085359141E-5</v>
      </c>
      <c r="AA226" s="2">
        <f t="shared" ca="1" si="97"/>
        <v>1.6499860323662817E-2</v>
      </c>
      <c r="AB226" s="2">
        <f t="shared" ca="1" si="98"/>
        <v>5.8876864853011279E-4</v>
      </c>
      <c r="AC226" s="2">
        <f t="shared" ca="1" si="99"/>
        <v>-2.925567107974172E-5</v>
      </c>
      <c r="AD226" s="2">
        <f t="shared" ca="1" si="100"/>
        <v>0.32243407281264869</v>
      </c>
      <c r="AE226" s="2">
        <f t="shared" ca="1" si="101"/>
        <v>-4.6657683085359141E-5</v>
      </c>
      <c r="AF226" s="2">
        <f t="shared" ca="1" si="102"/>
        <v>0.23320192820350824</v>
      </c>
      <c r="AG226" s="2">
        <f t="shared" ca="1" si="103"/>
        <v>2.803923309663225</v>
      </c>
      <c r="AI226" s="2">
        <f t="shared" ca="1" si="104"/>
        <v>-6.6189522747197633E-5</v>
      </c>
      <c r="AJ226" s="11">
        <f t="shared" ca="1" si="105"/>
        <v>-4.6657683085359141E-5</v>
      </c>
      <c r="AK226" s="2">
        <f t="shared" ca="1" si="106"/>
        <v>1.6499860323662817E-2</v>
      </c>
      <c r="AL226" s="2">
        <f t="shared" ca="1" si="107"/>
        <v>5.8876864853011279E-4</v>
      </c>
      <c r="AM226" s="2">
        <f t="shared" ca="1" si="108"/>
        <v>-2.925567107974172E-5</v>
      </c>
      <c r="AN226" s="2">
        <f t="shared" ca="1" si="109"/>
        <v>0.32243407281264869</v>
      </c>
      <c r="AO226" s="2">
        <f t="shared" ca="1" si="110"/>
        <v>-4.6657683085359141E-5</v>
      </c>
      <c r="AP226" s="2">
        <f t="shared" ca="1" si="111"/>
        <v>0.23320192820350824</v>
      </c>
      <c r="AQ226" s="2">
        <f t="shared" ca="1" si="112"/>
        <v>2.803923309663225</v>
      </c>
      <c r="AS226" s="2">
        <f t="shared" ca="1" si="113"/>
        <v>8.696113550296074</v>
      </c>
      <c r="AT226" s="2">
        <f t="shared" ca="1" si="114"/>
        <v>0.40062540739183311</v>
      </c>
      <c r="AU226" s="2">
        <f t="shared" ca="1" si="115"/>
        <v>2.3587567967691544E-4</v>
      </c>
      <c r="AV226" s="2">
        <f t="shared" ca="1" si="116"/>
        <v>0.23296605252383132</v>
      </c>
      <c r="AW226" s="2">
        <f t="shared" ca="1" si="117"/>
        <v>0.70897065668356252</v>
      </c>
      <c r="AX226" s="2">
        <f t="shared" ca="1" si="118"/>
        <v>5.3180027408526453E-2</v>
      </c>
      <c r="AY226" s="9">
        <f t="shared" ca="1" si="119"/>
        <v>0.70897065668356252</v>
      </c>
      <c r="AZ226" s="9">
        <f t="shared" ca="1" si="120"/>
        <v>0.70897065668356252</v>
      </c>
      <c r="BB226" s="2">
        <f t="shared" ca="1" si="121"/>
        <v>8.696113550296074</v>
      </c>
      <c r="BC226" s="2">
        <f t="shared" ca="1" si="122"/>
        <v>0.40062540739183311</v>
      </c>
      <c r="BD226" s="2">
        <f t="shared" ca="1" si="123"/>
        <v>2.3587567967691544E-4</v>
      </c>
      <c r="BE226" s="2">
        <f t="shared" ca="1" si="124"/>
        <v>0.23296605252383132</v>
      </c>
      <c r="BF226" s="2">
        <f t="shared" ca="1" si="125"/>
        <v>0.70897065668356252</v>
      </c>
      <c r="BG226" s="2">
        <f t="shared" ca="1" si="126"/>
        <v>5.3180027408526453E-2</v>
      </c>
      <c r="BH226" s="2">
        <f t="shared" ca="1" si="127"/>
        <v>0.70897065668356252</v>
      </c>
      <c r="BI226" s="2">
        <f t="shared" ca="1" si="128"/>
        <v>0.70897065668356252</v>
      </c>
    </row>
    <row r="227" spans="1:61" ht="15" x14ac:dyDescent="0.25">
      <c r="A227" s="66">
        <v>161</v>
      </c>
      <c r="B227" s="66">
        <v>1498730204.302</v>
      </c>
      <c r="C227" s="67">
        <v>-2.0315894471066399E-5</v>
      </c>
      <c r="D227" s="67">
        <v>2.99734147843982E-5</v>
      </c>
      <c r="E227" s="67">
        <v>1.76310958087482E-2</v>
      </c>
      <c r="F227" s="67">
        <v>5.8232134969356502E-4</v>
      </c>
      <c r="G227" s="67">
        <v>-5.3060660220342898E-5</v>
      </c>
      <c r="H227" s="67">
        <v>0.32875005365953203</v>
      </c>
      <c r="I227" s="67">
        <v>2.99734147843982E-5</v>
      </c>
      <c r="J227" s="67">
        <v>0.23735661014465301</v>
      </c>
      <c r="K227" s="67">
        <v>2.85326695072012</v>
      </c>
      <c r="L227" s="67"/>
      <c r="M227" s="67"/>
      <c r="O227" s="11">
        <f t="shared" ca="1" si="86"/>
        <v>-3.3119825181026427E-5</v>
      </c>
      <c r="P227" s="11">
        <f t="shared" ca="1" si="87"/>
        <v>2.9208314554093458E-5</v>
      </c>
      <c r="Q227" s="11">
        <f t="shared" ca="1" si="88"/>
        <v>1.6794604196479917E-2</v>
      </c>
      <c r="R227" s="11">
        <f t="shared" ca="1" si="89"/>
        <v>5.7067486204721786E-4</v>
      </c>
      <c r="S227" s="11">
        <f t="shared" ca="1" si="90"/>
        <v>-6.3988312267313025E-5</v>
      </c>
      <c r="T227" s="11">
        <f t="shared" ca="1" si="91"/>
        <v>0.32761149862094974</v>
      </c>
      <c r="U227" s="11">
        <f t="shared" ca="1" si="92"/>
        <v>2.9208314554093458E-5</v>
      </c>
      <c r="V227" s="11">
        <f t="shared" ca="1" si="93"/>
        <v>0.23670641413895924</v>
      </c>
      <c r="W227" s="11">
        <f t="shared" ca="1" si="94"/>
        <v>2.846144102456615</v>
      </c>
      <c r="X227" s="11"/>
      <c r="Y227" s="2">
        <f t="shared" ca="1" si="95"/>
        <v>-3.3119825181026427E-5</v>
      </c>
      <c r="Z227" s="11">
        <f t="shared" ca="1" si="96"/>
        <v>2.9208314554093458E-5</v>
      </c>
      <c r="AA227" s="2">
        <f t="shared" ca="1" si="97"/>
        <v>1.6794380731016769E-2</v>
      </c>
      <c r="AB227" s="2">
        <f t="shared" ca="1" si="98"/>
        <v>5.6526598208694293E-4</v>
      </c>
      <c r="AC227" s="2">
        <f t="shared" ca="1" si="99"/>
        <v>-6.3988312267313025E-5</v>
      </c>
      <c r="AD227" s="2">
        <f t="shared" ca="1" si="100"/>
        <v>0.32757216362067526</v>
      </c>
      <c r="AE227" s="2">
        <f t="shared" ca="1" si="101"/>
        <v>2.9208314554093458E-5</v>
      </c>
      <c r="AF227" s="2">
        <f t="shared" ca="1" si="102"/>
        <v>0.23664832581544221</v>
      </c>
      <c r="AG227" s="2">
        <f t="shared" ca="1" si="103"/>
        <v>2.8461205315662448</v>
      </c>
      <c r="AI227" s="2">
        <f t="shared" ca="1" si="104"/>
        <v>-3.3119825181026427E-5</v>
      </c>
      <c r="AJ227" s="11">
        <f t="shared" ca="1" si="105"/>
        <v>2.9208314554093458E-5</v>
      </c>
      <c r="AK227" s="2">
        <f t="shared" ca="1" si="106"/>
        <v>1.6759920324154999E-2</v>
      </c>
      <c r="AL227" s="2">
        <f t="shared" ca="1" si="107"/>
        <v>5.4913707225248134E-4</v>
      </c>
      <c r="AM227" s="2">
        <f t="shared" ca="1" si="108"/>
        <v>-6.3988312267313025E-5</v>
      </c>
      <c r="AN227" s="2">
        <f t="shared" ca="1" si="109"/>
        <v>0.32757216362067526</v>
      </c>
      <c r="AO227" s="2">
        <f t="shared" ca="1" si="110"/>
        <v>2.9208314554093458E-5</v>
      </c>
      <c r="AP227" s="2">
        <f t="shared" ca="1" si="111"/>
        <v>0.23664832581544221</v>
      </c>
      <c r="AQ227" s="2">
        <f t="shared" ca="1" si="112"/>
        <v>2.8461205315662448</v>
      </c>
      <c r="AS227" s="2">
        <f t="shared" ca="1" si="113"/>
        <v>8.6875586309918766</v>
      </c>
      <c r="AT227" s="2">
        <f t="shared" ca="1" si="114"/>
        <v>0.40022650890476091</v>
      </c>
      <c r="AU227" s="2">
        <f t="shared" ca="1" si="115"/>
        <v>2.2839920775686405E-4</v>
      </c>
      <c r="AV227" s="2">
        <f t="shared" ca="1" si="116"/>
        <v>0.23647801493120238</v>
      </c>
      <c r="AW227" s="2">
        <f t="shared" ca="1" si="117"/>
        <v>0.7086363831297251</v>
      </c>
      <c r="AX227" s="2">
        <f t="shared" ca="1" si="118"/>
        <v>5.3220930459449811E-2</v>
      </c>
      <c r="AY227" s="9">
        <f t="shared" ca="1" si="119"/>
        <v>0.7086363831297251</v>
      </c>
      <c r="AZ227" s="9">
        <f t="shared" ca="1" si="120"/>
        <v>0.7086363831297251</v>
      </c>
      <c r="BB227" s="2">
        <f t="shared" ca="1" si="121"/>
        <v>8.6885298802801181</v>
      </c>
      <c r="BC227" s="2">
        <f t="shared" ca="1" si="122"/>
        <v>0.40027179604396612</v>
      </c>
      <c r="BD227" s="2">
        <f t="shared" ca="1" si="123"/>
        <v>2.1980408218482591E-4</v>
      </c>
      <c r="BE227" s="2">
        <f t="shared" ca="1" si="124"/>
        <v>0.23642852173325737</v>
      </c>
      <c r="BF227" s="2">
        <f t="shared" ca="1" si="125"/>
        <v>0.7085332562905905</v>
      </c>
      <c r="BG227" s="2">
        <f t="shared" ca="1" si="126"/>
        <v>5.3123473760648264E-2</v>
      </c>
      <c r="BH227" s="2">
        <f t="shared" ca="1" si="127"/>
        <v>0.7085332562905905</v>
      </c>
      <c r="BI227" s="2">
        <f t="shared" ca="1" si="128"/>
        <v>0.7085332562905905</v>
      </c>
    </row>
    <row r="228" spans="1:61" ht="15" x14ac:dyDescent="0.25">
      <c r="A228" s="66">
        <v>162</v>
      </c>
      <c r="B228" s="66">
        <v>1498730204.829</v>
      </c>
      <c r="C228" s="67">
        <v>-7.0156231705106406E-5</v>
      </c>
      <c r="D228" s="67">
        <v>-3.1380901028909E-7</v>
      </c>
      <c r="E228" s="67">
        <v>1.9696282980289099E-2</v>
      </c>
      <c r="F228" s="67">
        <v>7.4732024490700103E-4</v>
      </c>
      <c r="G228" s="67">
        <v>-3.4119235190627603E-5</v>
      </c>
      <c r="H228" s="67">
        <v>0.36972056363318601</v>
      </c>
      <c r="I228" s="67">
        <v>-3.1380901028909E-7</v>
      </c>
      <c r="J228" s="67">
        <v>0.26676781488516799</v>
      </c>
      <c r="K228" s="67">
        <v>3.2047491467314502</v>
      </c>
      <c r="L228" s="67"/>
      <c r="M228" s="67"/>
      <c r="O228" s="11">
        <f t="shared" ca="1" si="86"/>
        <v>-8.2960162415066427E-5</v>
      </c>
      <c r="P228" s="11">
        <f t="shared" ca="1" si="87"/>
        <v>-1.0789092405938305E-6</v>
      </c>
      <c r="Q228" s="11">
        <f t="shared" ca="1" si="88"/>
        <v>1.8859791368020816E-2</v>
      </c>
      <c r="R228" s="11">
        <f t="shared" ca="1" si="89"/>
        <v>7.3567375726065387E-4</v>
      </c>
      <c r="S228" s="11">
        <f t="shared" ca="1" si="90"/>
        <v>-4.5046887237597724E-5</v>
      </c>
      <c r="T228" s="11">
        <f t="shared" ca="1" si="91"/>
        <v>0.36858200859460372</v>
      </c>
      <c r="U228" s="11">
        <f t="shared" ca="1" si="92"/>
        <v>-1.0789092405938305E-6</v>
      </c>
      <c r="V228" s="11">
        <f t="shared" ca="1" si="93"/>
        <v>0.26611761887947422</v>
      </c>
      <c r="W228" s="11">
        <f t="shared" ca="1" si="94"/>
        <v>3.1976262984679451</v>
      </c>
      <c r="X228" s="11"/>
      <c r="Y228" s="2">
        <f t="shared" ca="1" si="95"/>
        <v>-8.2960162415066427E-5</v>
      </c>
      <c r="Z228" s="11">
        <f t="shared" ca="1" si="96"/>
        <v>-1.0789092405938305E-6</v>
      </c>
      <c r="AA228" s="2">
        <f t="shared" ca="1" si="97"/>
        <v>1.8859791368020816E-2</v>
      </c>
      <c r="AB228" s="2">
        <f t="shared" ca="1" si="98"/>
        <v>7.3567375726065387E-4</v>
      </c>
      <c r="AC228" s="2">
        <f t="shared" ca="1" si="99"/>
        <v>-4.5046887237597724E-5</v>
      </c>
      <c r="AD228" s="2">
        <f t="shared" ca="1" si="100"/>
        <v>0.36858200859460372</v>
      </c>
      <c r="AE228" s="2">
        <f t="shared" ca="1" si="101"/>
        <v>-1.0789092405938305E-6</v>
      </c>
      <c r="AF228" s="2">
        <f t="shared" ca="1" si="102"/>
        <v>0.26611761887947422</v>
      </c>
      <c r="AG228" s="2">
        <f t="shared" ca="1" si="103"/>
        <v>3.1976262984679451</v>
      </c>
      <c r="AI228" s="2">
        <f t="shared" ca="1" si="104"/>
        <v>-8.2960162415066427E-5</v>
      </c>
      <c r="AJ228" s="11">
        <f t="shared" ca="1" si="105"/>
        <v>-1.0789092405938305E-6</v>
      </c>
      <c r="AK228" s="2">
        <f t="shared" ca="1" si="106"/>
        <v>1.8859791368020816E-2</v>
      </c>
      <c r="AL228" s="2">
        <f t="shared" ca="1" si="107"/>
        <v>7.3567375726065387E-4</v>
      </c>
      <c r="AM228" s="2">
        <f t="shared" ca="1" si="108"/>
        <v>-4.5046887237597724E-5</v>
      </c>
      <c r="AN228" s="2">
        <f t="shared" ca="1" si="109"/>
        <v>0.36858200859460372</v>
      </c>
      <c r="AO228" s="2">
        <f t="shared" ca="1" si="110"/>
        <v>-1.0789092405938305E-6</v>
      </c>
      <c r="AP228" s="2">
        <f t="shared" ca="1" si="111"/>
        <v>0.26611761887947422</v>
      </c>
      <c r="AQ228" s="2">
        <f t="shared" ca="1" si="112"/>
        <v>3.1976262984679451</v>
      </c>
      <c r="AS228" s="2">
        <f t="shared" ca="1" si="113"/>
        <v>8.6754812332279432</v>
      </c>
      <c r="AT228" s="2">
        <f t="shared" ca="1" si="114"/>
        <v>0.39966337252329576</v>
      </c>
      <c r="AU228" s="2">
        <f t="shared" ca="1" si="115"/>
        <v>2.9402185490367736E-4</v>
      </c>
      <c r="AV228" s="2">
        <f t="shared" ca="1" si="116"/>
        <v>0.26582359702457053</v>
      </c>
      <c r="AW228" s="2">
        <f t="shared" ca="1" si="117"/>
        <v>0.70852547109636843</v>
      </c>
      <c r="AX228" s="2">
        <f t="shared" ca="1" si="118"/>
        <v>5.3046453859121018E-2</v>
      </c>
      <c r="AY228" s="9">
        <f t="shared" ca="1" si="119"/>
        <v>0.70852547109636843</v>
      </c>
      <c r="AZ228" s="9">
        <f t="shared" ca="1" si="120"/>
        <v>0.70852547109636843</v>
      </c>
      <c r="BB228" s="2">
        <f t="shared" ca="1" si="121"/>
        <v>8.6754812332279432</v>
      </c>
      <c r="BC228" s="2">
        <f t="shared" ca="1" si="122"/>
        <v>0.39966337252329576</v>
      </c>
      <c r="BD228" s="2">
        <f t="shared" ca="1" si="123"/>
        <v>2.9402185490367736E-4</v>
      </c>
      <c r="BE228" s="2">
        <f t="shared" ca="1" si="124"/>
        <v>0.26582359702457053</v>
      </c>
      <c r="BF228" s="2">
        <f t="shared" ca="1" si="125"/>
        <v>0.70852547109636843</v>
      </c>
      <c r="BG228" s="2">
        <f t="shared" ca="1" si="126"/>
        <v>5.3046453859121018E-2</v>
      </c>
      <c r="BH228" s="2">
        <f t="shared" ca="1" si="127"/>
        <v>0.70852547109636843</v>
      </c>
      <c r="BI228" s="2">
        <f t="shared" ca="1" si="128"/>
        <v>0.70852547109636843</v>
      </c>
    </row>
    <row r="229" spans="1:61" ht="15" x14ac:dyDescent="0.25">
      <c r="A229" s="66">
        <v>163</v>
      </c>
      <c r="B229" s="66">
        <v>1498730205.3559999</v>
      </c>
      <c r="C229" s="67">
        <v>-3.7795729088294803E-5</v>
      </c>
      <c r="D229" s="67">
        <v>2.1632874280282399E-5</v>
      </c>
      <c r="E229" s="67">
        <v>2.0994602702833601E-2</v>
      </c>
      <c r="F229" s="67">
        <v>6.5826983696225499E-4</v>
      </c>
      <c r="G229" s="67">
        <v>5.6342612734293297E-6</v>
      </c>
      <c r="H229" s="67">
        <v>0.39456703899595402</v>
      </c>
      <c r="I229" s="67">
        <v>2.1632874280282399E-5</v>
      </c>
      <c r="J229" s="67">
        <v>0.284948380510261</v>
      </c>
      <c r="K229" s="67">
        <v>3.4247218399605401</v>
      </c>
      <c r="L229" s="67"/>
      <c r="M229" s="67"/>
      <c r="O229" s="11">
        <f t="shared" ca="1" si="86"/>
        <v>-5.0599659798254831E-5</v>
      </c>
      <c r="P229" s="11">
        <f t="shared" ca="1" si="87"/>
        <v>2.0867774049977657E-5</v>
      </c>
      <c r="Q229" s="11">
        <f t="shared" ca="1" si="88"/>
        <v>2.0158111090565319E-2</v>
      </c>
      <c r="R229" s="11">
        <f t="shared" ca="1" si="89"/>
        <v>6.4662334931590783E-4</v>
      </c>
      <c r="S229" s="11">
        <f t="shared" ca="1" si="90"/>
        <v>-5.2933907735407927E-6</v>
      </c>
      <c r="T229" s="11">
        <f t="shared" ca="1" si="91"/>
        <v>0.39342848395737173</v>
      </c>
      <c r="U229" s="11">
        <f t="shared" ca="1" si="92"/>
        <v>2.0867774049977657E-5</v>
      </c>
      <c r="V229" s="11">
        <f t="shared" ca="1" si="93"/>
        <v>0.28429818450456723</v>
      </c>
      <c r="W229" s="11">
        <f t="shared" ca="1" si="94"/>
        <v>3.4175989916970351</v>
      </c>
      <c r="X229" s="11"/>
      <c r="Y229" s="2">
        <f t="shared" ca="1" si="95"/>
        <v>-5.0599659798254831E-5</v>
      </c>
      <c r="Z229" s="11">
        <f t="shared" ca="1" si="96"/>
        <v>2.0867774049977657E-5</v>
      </c>
      <c r="AA229" s="2">
        <f t="shared" ca="1" si="97"/>
        <v>2.0157951436478319E-2</v>
      </c>
      <c r="AB229" s="2">
        <f t="shared" ca="1" si="98"/>
        <v>6.4275899471011799E-4</v>
      </c>
      <c r="AC229" s="2">
        <f t="shared" ca="1" si="99"/>
        <v>-5.2933907735407927E-6</v>
      </c>
      <c r="AD229" s="2">
        <f t="shared" ca="1" si="100"/>
        <v>0.39340038120955778</v>
      </c>
      <c r="AE229" s="2">
        <f t="shared" ca="1" si="101"/>
        <v>2.0867774049977657E-5</v>
      </c>
      <c r="AF229" s="2">
        <f t="shared" ca="1" si="102"/>
        <v>0.28425668351320221</v>
      </c>
      <c r="AG229" s="2">
        <f t="shared" ca="1" si="103"/>
        <v>3.4175821515601799</v>
      </c>
      <c r="AI229" s="2">
        <f t="shared" ca="1" si="104"/>
        <v>-5.0599659798254831E-5</v>
      </c>
      <c r="AJ229" s="11">
        <f t="shared" ca="1" si="105"/>
        <v>2.0867774049977657E-5</v>
      </c>
      <c r="AK229" s="2">
        <f t="shared" ca="1" si="106"/>
        <v>2.0133331324190432E-2</v>
      </c>
      <c r="AL229" s="2">
        <f t="shared" ca="1" si="107"/>
        <v>6.3123575376875267E-4</v>
      </c>
      <c r="AM229" s="2">
        <f t="shared" ca="1" si="108"/>
        <v>-5.2933907735407927E-6</v>
      </c>
      <c r="AN229" s="2">
        <f t="shared" ca="1" si="109"/>
        <v>0.39340038120955778</v>
      </c>
      <c r="AO229" s="2">
        <f t="shared" ca="1" si="110"/>
        <v>2.0867774049977657E-5</v>
      </c>
      <c r="AP229" s="2">
        <f t="shared" ca="1" si="111"/>
        <v>0.28425668351320221</v>
      </c>
      <c r="AQ229" s="2">
        <f t="shared" ca="1" si="112"/>
        <v>3.4175821515601799</v>
      </c>
      <c r="AS229" s="2">
        <f t="shared" ca="1" si="113"/>
        <v>8.6867096081109736</v>
      </c>
      <c r="AT229" s="2">
        <f t="shared" ca="1" si="114"/>
        <v>0.40018692095447322</v>
      </c>
      <c r="AU229" s="2">
        <f t="shared" ca="1" si="115"/>
        <v>2.5877020718000196E-4</v>
      </c>
      <c r="AV229" s="2">
        <f t="shared" ca="1" si="116"/>
        <v>0.28403941429738722</v>
      </c>
      <c r="AW229" s="2">
        <f t="shared" ca="1" si="117"/>
        <v>0.70880373226397397</v>
      </c>
      <c r="AX229" s="2">
        <f t="shared" ca="1" si="118"/>
        <v>5.3187849257925843E-2</v>
      </c>
      <c r="AY229" s="9">
        <f t="shared" ca="1" si="119"/>
        <v>0.70880373226397397</v>
      </c>
      <c r="AZ229" s="9">
        <f t="shared" ca="1" si="120"/>
        <v>0.70880373226397397</v>
      </c>
      <c r="BB229" s="2">
        <f t="shared" ca="1" si="121"/>
        <v>8.6872873408317606</v>
      </c>
      <c r="BC229" s="2">
        <f t="shared" ca="1" si="122"/>
        <v>0.40021385927429132</v>
      </c>
      <c r="BD229" s="2">
        <f t="shared" ca="1" si="123"/>
        <v>2.5262929712770876E-4</v>
      </c>
      <c r="BE229" s="2">
        <f t="shared" ca="1" si="124"/>
        <v>0.2840040542160745</v>
      </c>
      <c r="BF229" s="2">
        <f t="shared" ca="1" si="125"/>
        <v>0.70874238330435801</v>
      </c>
      <c r="BG229" s="2">
        <f t="shared" ca="1" si="126"/>
        <v>5.3129877303229413E-2</v>
      </c>
      <c r="BH229" s="2">
        <f t="shared" ca="1" si="127"/>
        <v>0.70874238330435801</v>
      </c>
      <c r="BI229" s="2">
        <f t="shared" ca="1" si="128"/>
        <v>0.70874238330435801</v>
      </c>
    </row>
    <row r="230" spans="1:61" ht="15" x14ac:dyDescent="0.25">
      <c r="A230" s="66">
        <v>164</v>
      </c>
      <c r="B230" s="66">
        <v>1498730205.882</v>
      </c>
      <c r="C230" s="67">
        <v>-4.9617316264243402E-6</v>
      </c>
      <c r="D230" s="67">
        <v>-3.4228300702459499E-5</v>
      </c>
      <c r="E230" s="67">
        <v>2.1138586528621901E-2</v>
      </c>
      <c r="F230" s="67">
        <v>6.2850876992152905E-4</v>
      </c>
      <c r="G230" s="67">
        <v>-1.4372932012429699E-4</v>
      </c>
      <c r="H230" s="67">
        <v>0.39704946588969398</v>
      </c>
      <c r="I230" s="67">
        <v>-3.4228300702459499E-5</v>
      </c>
      <c r="J230" s="67">
        <v>0.28690179533520799</v>
      </c>
      <c r="K230" s="67">
        <v>3.4496755169953701</v>
      </c>
      <c r="L230" s="67"/>
      <c r="M230" s="67"/>
      <c r="O230" s="11">
        <f t="shared" ca="1" si="86"/>
        <v>-1.7765662336384367E-5</v>
      </c>
      <c r="P230" s="11">
        <f t="shared" ca="1" si="87"/>
        <v>-3.4993400932764238E-5</v>
      </c>
      <c r="Q230" s="11">
        <f t="shared" ca="1" si="88"/>
        <v>2.0302094916353618E-2</v>
      </c>
      <c r="R230" s="11">
        <f t="shared" ca="1" si="89"/>
        <v>6.1686228227518188E-4</v>
      </c>
      <c r="S230" s="11">
        <f t="shared" ca="1" si="90"/>
        <v>-1.546569721712671E-4</v>
      </c>
      <c r="T230" s="11">
        <f t="shared" ca="1" si="91"/>
        <v>0.39591091085111169</v>
      </c>
      <c r="U230" s="11">
        <f t="shared" ca="1" si="92"/>
        <v>-3.4993400932764238E-5</v>
      </c>
      <c r="V230" s="11">
        <f t="shared" ca="1" si="93"/>
        <v>0.28625159932951422</v>
      </c>
      <c r="W230" s="11">
        <f t="shared" ca="1" si="94"/>
        <v>3.4425526687318651</v>
      </c>
      <c r="X230" s="11"/>
      <c r="Y230" s="2">
        <f t="shared" ca="1" si="95"/>
        <v>-1.7765662336384367E-5</v>
      </c>
      <c r="Z230" s="11">
        <f t="shared" ca="1" si="96"/>
        <v>-3.4993400932764238E-5</v>
      </c>
      <c r="AA230" s="2">
        <f t="shared" ca="1" si="97"/>
        <v>2.0302094916353618E-2</v>
      </c>
      <c r="AB230" s="2">
        <f t="shared" ca="1" si="98"/>
        <v>6.1686228227518188E-4</v>
      </c>
      <c r="AC230" s="2">
        <f t="shared" ca="1" si="99"/>
        <v>-1.546569721712671E-4</v>
      </c>
      <c r="AD230" s="2">
        <f t="shared" ca="1" si="100"/>
        <v>0.39591091085111169</v>
      </c>
      <c r="AE230" s="2">
        <f t="shared" ca="1" si="101"/>
        <v>-3.4993400932764238E-5</v>
      </c>
      <c r="AF230" s="2">
        <f t="shared" ca="1" si="102"/>
        <v>0.28625159932951422</v>
      </c>
      <c r="AG230" s="2">
        <f t="shared" ca="1" si="103"/>
        <v>3.4425526687318651</v>
      </c>
      <c r="AI230" s="2">
        <f t="shared" ca="1" si="104"/>
        <v>-1.7765662336384367E-5</v>
      </c>
      <c r="AJ230" s="11">
        <f t="shared" ca="1" si="105"/>
        <v>-3.4993400932764238E-5</v>
      </c>
      <c r="AK230" s="2">
        <f t="shared" ca="1" si="106"/>
        <v>2.0302094916353618E-2</v>
      </c>
      <c r="AL230" s="2">
        <f t="shared" ca="1" si="107"/>
        <v>6.1686228227518188E-4</v>
      </c>
      <c r="AM230" s="2">
        <f t="shared" ca="1" si="108"/>
        <v>-1.546569721712671E-4</v>
      </c>
      <c r="AN230" s="2">
        <f t="shared" ca="1" si="109"/>
        <v>0.39591091085111169</v>
      </c>
      <c r="AO230" s="2">
        <f t="shared" ca="1" si="110"/>
        <v>-3.4993400932764238E-5</v>
      </c>
      <c r="AP230" s="2">
        <f t="shared" ca="1" si="111"/>
        <v>0.28625159932951422</v>
      </c>
      <c r="AQ230" s="2">
        <f t="shared" ca="1" si="112"/>
        <v>3.4425526687318651</v>
      </c>
      <c r="AS230" s="2">
        <f t="shared" ca="1" si="113"/>
        <v>8.6952710177429022</v>
      </c>
      <c r="AT230" s="2">
        <f t="shared" ca="1" si="114"/>
        <v>0.40058612160115958</v>
      </c>
      <c r="AU230" s="2">
        <f t="shared" ca="1" si="115"/>
        <v>2.4710646921865485E-4</v>
      </c>
      <c r="AV230" s="2">
        <f t="shared" ca="1" si="116"/>
        <v>0.28600449286029556</v>
      </c>
      <c r="AW230" s="2">
        <f t="shared" ca="1" si="117"/>
        <v>0.70888065469404593</v>
      </c>
      <c r="AX230" s="2">
        <f t="shared" ca="1" si="118"/>
        <v>5.3285561175004693E-2</v>
      </c>
      <c r="AY230" s="9">
        <f t="shared" ca="1" si="119"/>
        <v>0.70888065469404593</v>
      </c>
      <c r="AZ230" s="9">
        <f t="shared" ca="1" si="120"/>
        <v>0.70888065469404593</v>
      </c>
      <c r="BB230" s="2">
        <f t="shared" ca="1" si="121"/>
        <v>8.6952710177429022</v>
      </c>
      <c r="BC230" s="2">
        <f t="shared" ca="1" si="122"/>
        <v>0.40058612160115958</v>
      </c>
      <c r="BD230" s="2">
        <f t="shared" ca="1" si="123"/>
        <v>2.4710646921865485E-4</v>
      </c>
      <c r="BE230" s="2">
        <f t="shared" ca="1" si="124"/>
        <v>0.28600449286029556</v>
      </c>
      <c r="BF230" s="2">
        <f t="shared" ca="1" si="125"/>
        <v>0.70888065469404593</v>
      </c>
      <c r="BG230" s="2">
        <f t="shared" ca="1" si="126"/>
        <v>5.3285561175004693E-2</v>
      </c>
      <c r="BH230" s="2">
        <f t="shared" ca="1" si="127"/>
        <v>0.70888065469404593</v>
      </c>
      <c r="BI230" s="2">
        <f t="shared" ca="1" si="128"/>
        <v>0.70888065469404593</v>
      </c>
    </row>
    <row r="231" spans="1:61" ht="15" x14ac:dyDescent="0.25">
      <c r="A231" s="66">
        <v>165</v>
      </c>
      <c r="B231" s="66">
        <v>1498730206.4089999</v>
      </c>
      <c r="C231" s="67">
        <v>3.5422146552452398E-6</v>
      </c>
      <c r="D231" s="67">
        <v>1.7049419753499498E-5</v>
      </c>
      <c r="E231" s="67">
        <v>1.9176356961864899E-2</v>
      </c>
      <c r="F231" s="67">
        <v>6.5398418866218996E-4</v>
      </c>
      <c r="G231" s="67">
        <v>6.2314743203657606E-5</v>
      </c>
      <c r="H231" s="67">
        <v>0.35837827457009602</v>
      </c>
      <c r="I231" s="67">
        <v>1.7049419753499498E-5</v>
      </c>
      <c r="J231" s="67">
        <v>0.25908171492918503</v>
      </c>
      <c r="K231" s="67">
        <v>3.1171546178118299</v>
      </c>
      <c r="L231" s="67"/>
      <c r="M231" s="67"/>
      <c r="O231" s="11">
        <f t="shared" ca="1" si="86"/>
        <v>-9.261716054714788E-6</v>
      </c>
      <c r="P231" s="11">
        <f t="shared" ca="1" si="87"/>
        <v>1.6284319523194756E-5</v>
      </c>
      <c r="Q231" s="11">
        <f t="shared" ca="1" si="88"/>
        <v>1.8339865349596616E-2</v>
      </c>
      <c r="R231" s="11">
        <f t="shared" ca="1" si="89"/>
        <v>6.423377010158428E-4</v>
      </c>
      <c r="S231" s="11">
        <f t="shared" ca="1" si="90"/>
        <v>5.1387091156687485E-5</v>
      </c>
      <c r="T231" s="11">
        <f t="shared" ca="1" si="91"/>
        <v>0.35723971953151373</v>
      </c>
      <c r="U231" s="11">
        <f t="shared" ca="1" si="92"/>
        <v>1.6284319523194756E-5</v>
      </c>
      <c r="V231" s="11">
        <f t="shared" ca="1" si="93"/>
        <v>0.25843151892349125</v>
      </c>
      <c r="W231" s="11">
        <f t="shared" ca="1" si="94"/>
        <v>3.1100317695483248</v>
      </c>
      <c r="X231" s="11"/>
      <c r="Y231" s="2">
        <f t="shared" ca="1" si="95"/>
        <v>-9.261716054714788E-6</v>
      </c>
      <c r="Z231" s="11">
        <f t="shared" ca="1" si="96"/>
        <v>1.6284319523194756E-5</v>
      </c>
      <c r="AA231" s="2">
        <f t="shared" ca="1" si="97"/>
        <v>1.833974076236658E-2</v>
      </c>
      <c r="AB231" s="2">
        <f t="shared" ca="1" si="98"/>
        <v>6.3932212374339878E-4</v>
      </c>
      <c r="AC231" s="2">
        <f t="shared" ca="1" si="99"/>
        <v>5.1387091156687485E-5</v>
      </c>
      <c r="AD231" s="2">
        <f t="shared" ca="1" si="100"/>
        <v>0.35721778934749959</v>
      </c>
      <c r="AE231" s="2">
        <f t="shared" ca="1" si="101"/>
        <v>1.6284319523194756E-5</v>
      </c>
      <c r="AF231" s="2">
        <f t="shared" ca="1" si="102"/>
        <v>0.25839913332250197</v>
      </c>
      <c r="AG231" s="2">
        <f t="shared" ca="1" si="103"/>
        <v>3.1100186282248319</v>
      </c>
      <c r="AI231" s="2">
        <f t="shared" ca="1" si="104"/>
        <v>-9.261716054714788E-6</v>
      </c>
      <c r="AJ231" s="11">
        <f t="shared" ca="1" si="105"/>
        <v>1.6284319523194756E-5</v>
      </c>
      <c r="AK231" s="2">
        <f t="shared" ca="1" si="106"/>
        <v>1.8320528278359772E-2</v>
      </c>
      <c r="AL231" s="2">
        <f t="shared" ca="1" si="107"/>
        <v>6.3032987871608818E-4</v>
      </c>
      <c r="AM231" s="2">
        <f t="shared" ca="1" si="108"/>
        <v>5.1387091156687485E-5</v>
      </c>
      <c r="AN231" s="2">
        <f t="shared" ca="1" si="109"/>
        <v>0.35721778934749959</v>
      </c>
      <c r="AO231" s="2">
        <f t="shared" ca="1" si="110"/>
        <v>1.6284319523194756E-5</v>
      </c>
      <c r="AP231" s="2">
        <f t="shared" ca="1" si="111"/>
        <v>0.25839913332250197</v>
      </c>
      <c r="AQ231" s="2">
        <f t="shared" ca="1" si="112"/>
        <v>3.1100186282248319</v>
      </c>
      <c r="AS231" s="2">
        <f t="shared" ca="1" si="113"/>
        <v>8.7057278334750645</v>
      </c>
      <c r="AT231" s="2">
        <f t="shared" ca="1" si="114"/>
        <v>0.40107370754169602</v>
      </c>
      <c r="AU231" s="2">
        <f t="shared" ca="1" si="115"/>
        <v>2.5762476324023352E-4</v>
      </c>
      <c r="AV231" s="2">
        <f t="shared" ca="1" si="116"/>
        <v>0.25817389416025099</v>
      </c>
      <c r="AW231" s="2">
        <f t="shared" ca="1" si="117"/>
        <v>0.70874085540845944</v>
      </c>
      <c r="AX231" s="2">
        <f t="shared" ca="1" si="118"/>
        <v>5.341173215153288E-2</v>
      </c>
      <c r="AY231" s="9">
        <f t="shared" ca="1" si="119"/>
        <v>0.70874085540845944</v>
      </c>
      <c r="AZ231" s="9">
        <f t="shared" ca="1" si="120"/>
        <v>0.70874085540845944</v>
      </c>
      <c r="BB231" s="2">
        <f t="shared" ca="1" si="121"/>
        <v>8.7062255043502947</v>
      </c>
      <c r="BC231" s="2">
        <f t="shared" ca="1" si="122"/>
        <v>0.40109691337991593</v>
      </c>
      <c r="BD231" s="2">
        <f t="shared" ca="1" si="123"/>
        <v>2.5282336876415973E-4</v>
      </c>
      <c r="BE231" s="2">
        <f t="shared" ca="1" si="124"/>
        <v>0.25814630995373783</v>
      </c>
      <c r="BF231" s="2">
        <f t="shared" ca="1" si="125"/>
        <v>0.70868823546481496</v>
      </c>
      <c r="BG231" s="2">
        <f t="shared" ca="1" si="126"/>
        <v>5.3361813024651199E-2</v>
      </c>
      <c r="BH231" s="2">
        <f t="shared" ca="1" si="127"/>
        <v>0.70868823546481496</v>
      </c>
      <c r="BI231" s="2">
        <f t="shared" ca="1" si="128"/>
        <v>0.70868823546481496</v>
      </c>
    </row>
    <row r="232" spans="1:61" ht="15" x14ac:dyDescent="0.25">
      <c r="A232" s="66">
        <v>166</v>
      </c>
      <c r="B232" s="66">
        <v>1498730206.9360001</v>
      </c>
      <c r="C232" s="67">
        <v>2.8818263045869799E-5</v>
      </c>
      <c r="D232" s="67">
        <v>-4.7686966021689498E-5</v>
      </c>
      <c r="E232" s="67">
        <v>1.8124137726983101E-2</v>
      </c>
      <c r="F232" s="67">
        <v>5.5946650889820504E-4</v>
      </c>
      <c r="G232" s="67">
        <v>-3.4613405426733901E-5</v>
      </c>
      <c r="H232" s="67">
        <v>0.33911953553993401</v>
      </c>
      <c r="I232" s="67">
        <v>-4.7686966021689498E-5</v>
      </c>
      <c r="J232" s="67">
        <v>0.244883203731045</v>
      </c>
      <c r="K232" s="67">
        <v>2.9441999570775401</v>
      </c>
      <c r="L232" s="67"/>
      <c r="M232" s="67"/>
      <c r="O232" s="11">
        <f t="shared" ca="1" si="86"/>
        <v>1.6014332335909771E-5</v>
      </c>
      <c r="P232" s="11">
        <f t="shared" ca="1" si="87"/>
        <v>-4.8452066251994237E-5</v>
      </c>
      <c r="Q232" s="11">
        <f t="shared" ca="1" si="88"/>
        <v>1.7287646114714818E-2</v>
      </c>
      <c r="R232" s="11">
        <f t="shared" ca="1" si="89"/>
        <v>5.4782002125185788E-4</v>
      </c>
      <c r="S232" s="11">
        <f t="shared" ca="1" si="90"/>
        <v>-4.5541057473704022E-5</v>
      </c>
      <c r="T232" s="11">
        <f t="shared" ca="1" si="91"/>
        <v>0.33798098050135172</v>
      </c>
      <c r="U232" s="11">
        <f t="shared" ca="1" si="92"/>
        <v>-4.8452066251994237E-5</v>
      </c>
      <c r="V232" s="11">
        <f t="shared" ca="1" si="93"/>
        <v>0.24423300772535123</v>
      </c>
      <c r="W232" s="11">
        <f t="shared" ca="1" si="94"/>
        <v>2.9370771088140351</v>
      </c>
      <c r="X232" s="11"/>
      <c r="Y232" s="2">
        <f t="shared" ca="1" si="95"/>
        <v>1.6014332335909771E-5</v>
      </c>
      <c r="Z232" s="11">
        <f t="shared" ca="1" si="96"/>
        <v>-4.8452066251994237E-5</v>
      </c>
      <c r="AA232" s="2">
        <f t="shared" ca="1" si="97"/>
        <v>1.7287646114714818E-2</v>
      </c>
      <c r="AB232" s="2">
        <f t="shared" ca="1" si="98"/>
        <v>5.4782002125185788E-4</v>
      </c>
      <c r="AC232" s="2">
        <f t="shared" ca="1" si="99"/>
        <v>-4.5541057473704022E-5</v>
      </c>
      <c r="AD232" s="2">
        <f t="shared" ca="1" si="100"/>
        <v>0.33798098050135172</v>
      </c>
      <c r="AE232" s="2">
        <f t="shared" ca="1" si="101"/>
        <v>-4.8452066251994237E-5</v>
      </c>
      <c r="AF232" s="2">
        <f t="shared" ca="1" si="102"/>
        <v>0.24423300772535123</v>
      </c>
      <c r="AG232" s="2">
        <f t="shared" ca="1" si="103"/>
        <v>2.9370771088140351</v>
      </c>
      <c r="AI232" s="2">
        <f t="shared" ca="1" si="104"/>
        <v>1.6014332335909771E-5</v>
      </c>
      <c r="AJ232" s="11">
        <f t="shared" ca="1" si="105"/>
        <v>-4.8452066251994237E-5</v>
      </c>
      <c r="AK232" s="2">
        <f t="shared" ca="1" si="106"/>
        <v>1.7287646114714818E-2</v>
      </c>
      <c r="AL232" s="2">
        <f t="shared" ca="1" si="107"/>
        <v>5.4782002125185788E-4</v>
      </c>
      <c r="AM232" s="2">
        <f t="shared" ca="1" si="108"/>
        <v>-4.5541057473704022E-5</v>
      </c>
      <c r="AN232" s="2">
        <f t="shared" ca="1" si="109"/>
        <v>0.33798098050135172</v>
      </c>
      <c r="AO232" s="2">
        <f t="shared" ca="1" si="110"/>
        <v>-4.8452066251994237E-5</v>
      </c>
      <c r="AP232" s="2">
        <f t="shared" ca="1" si="111"/>
        <v>0.24423300772535123</v>
      </c>
      <c r="AQ232" s="2">
        <f t="shared" ca="1" si="112"/>
        <v>2.9370771088140351</v>
      </c>
      <c r="AS232" s="2">
        <f t="shared" ca="1" si="113"/>
        <v>8.6900662411750371</v>
      </c>
      <c r="AT232" s="2">
        <f t="shared" ca="1" si="114"/>
        <v>0.40034343317393434</v>
      </c>
      <c r="AU232" s="2">
        <f t="shared" ca="1" si="115"/>
        <v>2.1931614806938645E-4</v>
      </c>
      <c r="AV232" s="2">
        <f t="shared" ca="1" si="116"/>
        <v>0.24401369157728184</v>
      </c>
      <c r="AW232" s="2">
        <f t="shared" ca="1" si="117"/>
        <v>0.70868073301932744</v>
      </c>
      <c r="AX232" s="2">
        <f t="shared" ca="1" si="118"/>
        <v>5.3118240509597001E-2</v>
      </c>
      <c r="AY232" s="9">
        <f t="shared" ca="1" si="119"/>
        <v>0.70868073301932744</v>
      </c>
      <c r="AZ232" s="9">
        <f t="shared" ca="1" si="120"/>
        <v>0.70868073301932744</v>
      </c>
      <c r="BB232" s="2">
        <f t="shared" ca="1" si="121"/>
        <v>8.6900662411750371</v>
      </c>
      <c r="BC232" s="2">
        <f t="shared" ca="1" si="122"/>
        <v>0.40034343317393434</v>
      </c>
      <c r="BD232" s="2">
        <f t="shared" ca="1" si="123"/>
        <v>2.1931614806938645E-4</v>
      </c>
      <c r="BE232" s="2">
        <f t="shared" ca="1" si="124"/>
        <v>0.24401369157728184</v>
      </c>
      <c r="BF232" s="2">
        <f t="shared" ca="1" si="125"/>
        <v>0.70868073301932744</v>
      </c>
      <c r="BG232" s="2">
        <f t="shared" ca="1" si="126"/>
        <v>5.3118240509597001E-2</v>
      </c>
      <c r="BH232" s="2">
        <f t="shared" ca="1" si="127"/>
        <v>0.70868073301932744</v>
      </c>
      <c r="BI232" s="2">
        <f t="shared" ca="1" si="128"/>
        <v>0.70868073301932744</v>
      </c>
    </row>
    <row r="233" spans="1:61" ht="15" x14ac:dyDescent="0.25">
      <c r="A233" s="66">
        <v>167</v>
      </c>
      <c r="B233" s="66">
        <v>1498730207.4630001</v>
      </c>
      <c r="C233" s="67">
        <v>4.65355032527001E-5</v>
      </c>
      <c r="D233" s="67">
        <v>-5.93260578185308E-5</v>
      </c>
      <c r="E233" s="67">
        <v>1.6731429142118798E-2</v>
      </c>
      <c r="F233" s="67">
        <v>4.26871135912406E-4</v>
      </c>
      <c r="G233" s="67">
        <v>-1.02435774887633E-4</v>
      </c>
      <c r="H233" s="67">
        <v>0.31408550637351301</v>
      </c>
      <c r="I233" s="67">
        <v>-5.93260578185308E-5</v>
      </c>
      <c r="J233" s="67">
        <v>0.22717463475077701</v>
      </c>
      <c r="K233" s="67">
        <v>2.7326455722863399</v>
      </c>
      <c r="L233" s="67"/>
      <c r="M233" s="67"/>
      <c r="O233" s="11">
        <f t="shared" ca="1" si="86"/>
        <v>3.3731572542740072E-5</v>
      </c>
      <c r="P233" s="11">
        <f t="shared" ca="1" si="87"/>
        <v>-6.0091158048835539E-5</v>
      </c>
      <c r="Q233" s="11">
        <f t="shared" ca="1" si="88"/>
        <v>1.5894937529850516E-2</v>
      </c>
      <c r="R233" s="11">
        <f t="shared" ca="1" si="89"/>
        <v>4.152246482660589E-4</v>
      </c>
      <c r="S233" s="11">
        <f t="shared" ca="1" si="90"/>
        <v>-1.1336342693460313E-4</v>
      </c>
      <c r="T233" s="11">
        <f t="shared" ca="1" si="91"/>
        <v>0.31294695133493072</v>
      </c>
      <c r="U233" s="11">
        <f t="shared" ca="1" si="92"/>
        <v>-6.0091158048835539E-5</v>
      </c>
      <c r="V233" s="11">
        <f t="shared" ca="1" si="93"/>
        <v>0.22652443874508324</v>
      </c>
      <c r="W233" s="11">
        <f t="shared" ca="1" si="94"/>
        <v>2.7255227240228348</v>
      </c>
      <c r="X233" s="11"/>
      <c r="Y233" s="2">
        <f t="shared" ca="1" si="95"/>
        <v>3.3731572542740072E-5</v>
      </c>
      <c r="Z233" s="11">
        <f t="shared" ca="1" si="96"/>
        <v>-6.0091158048835539E-5</v>
      </c>
      <c r="AA233" s="2">
        <f t="shared" ca="1" si="97"/>
        <v>1.5894937529850516E-2</v>
      </c>
      <c r="AB233" s="2">
        <f t="shared" ca="1" si="98"/>
        <v>4.152246482660589E-4</v>
      </c>
      <c r="AC233" s="2">
        <f t="shared" ca="1" si="99"/>
        <v>-1.1336342693460313E-4</v>
      </c>
      <c r="AD233" s="2">
        <f t="shared" ca="1" si="100"/>
        <v>0.31294695133493072</v>
      </c>
      <c r="AE233" s="2">
        <f t="shared" ca="1" si="101"/>
        <v>-6.0091158048835539E-5</v>
      </c>
      <c r="AF233" s="2">
        <f t="shared" ca="1" si="102"/>
        <v>0.22652443874508324</v>
      </c>
      <c r="AG233" s="2">
        <f t="shared" ca="1" si="103"/>
        <v>2.7255227240228348</v>
      </c>
      <c r="AI233" s="2">
        <f t="shared" ca="1" si="104"/>
        <v>3.3731572542740072E-5</v>
      </c>
      <c r="AJ233" s="11">
        <f t="shared" ca="1" si="105"/>
        <v>-6.0091158048835539E-5</v>
      </c>
      <c r="AK233" s="2">
        <f t="shared" ca="1" si="106"/>
        <v>1.5894937529850516E-2</v>
      </c>
      <c r="AL233" s="2">
        <f t="shared" ca="1" si="107"/>
        <v>4.152246482660589E-4</v>
      </c>
      <c r="AM233" s="2">
        <f t="shared" ca="1" si="108"/>
        <v>-1.1336342693460313E-4</v>
      </c>
      <c r="AN233" s="2">
        <f t="shared" ca="1" si="109"/>
        <v>0.31294695133493072</v>
      </c>
      <c r="AO233" s="2">
        <f t="shared" ca="1" si="110"/>
        <v>-6.0091158048835539E-5</v>
      </c>
      <c r="AP233" s="2">
        <f t="shared" ca="1" si="111"/>
        <v>0.22652443874508324</v>
      </c>
      <c r="AQ233" s="2">
        <f t="shared" ca="1" si="112"/>
        <v>2.7255227240228348</v>
      </c>
      <c r="AS233" s="2">
        <f t="shared" ca="1" si="113"/>
        <v>8.7092164099910043</v>
      </c>
      <c r="AT233" s="2">
        <f t="shared" ca="1" si="114"/>
        <v>0.40123637631521186</v>
      </c>
      <c r="AU233" s="2">
        <f t="shared" ca="1" si="115"/>
        <v>1.666032332270319E-4</v>
      </c>
      <c r="AV233" s="2">
        <f t="shared" ca="1" si="116"/>
        <v>0.2263578355118562</v>
      </c>
      <c r="AW233" s="2">
        <f t="shared" ca="1" si="117"/>
        <v>0.70920545361037435</v>
      </c>
      <c r="AX233" s="2">
        <f t="shared" ca="1" si="118"/>
        <v>5.2864776648711712E-2</v>
      </c>
      <c r="AY233" s="9">
        <f t="shared" ca="1" si="119"/>
        <v>0.70920545361037435</v>
      </c>
      <c r="AZ233" s="9">
        <f t="shared" ca="1" si="120"/>
        <v>0.70920545361037435</v>
      </c>
      <c r="BB233" s="2">
        <f t="shared" ca="1" si="121"/>
        <v>8.7092164099910043</v>
      </c>
      <c r="BC233" s="2">
        <f t="shared" ca="1" si="122"/>
        <v>0.40123637631521186</v>
      </c>
      <c r="BD233" s="2">
        <f t="shared" ca="1" si="123"/>
        <v>1.666032332270319E-4</v>
      </c>
      <c r="BE233" s="2">
        <f t="shared" ca="1" si="124"/>
        <v>0.2263578355118562</v>
      </c>
      <c r="BF233" s="2">
        <f t="shared" ca="1" si="125"/>
        <v>0.70920545361037435</v>
      </c>
      <c r="BG233" s="2">
        <f t="shared" ca="1" si="126"/>
        <v>5.2864776648711712E-2</v>
      </c>
      <c r="BH233" s="2">
        <f t="shared" ca="1" si="127"/>
        <v>0.70920545361037435</v>
      </c>
      <c r="BI233" s="2">
        <f t="shared" ca="1" si="128"/>
        <v>0.70920545361037435</v>
      </c>
    </row>
    <row r="234" spans="1:61" ht="15" x14ac:dyDescent="0.25">
      <c r="A234" s="66">
        <v>168</v>
      </c>
      <c r="B234" s="66">
        <v>1498730207.99</v>
      </c>
      <c r="C234" s="67">
        <v>-1.70088640897956E-5</v>
      </c>
      <c r="D234" s="67">
        <v>1.31040383223868E-5</v>
      </c>
      <c r="E234" s="67">
        <v>1.55643815696086E-2</v>
      </c>
      <c r="F234" s="67">
        <v>6.10414474575002E-4</v>
      </c>
      <c r="G234" s="67">
        <v>-1.41385696758744E-5</v>
      </c>
      <c r="H234" s="67">
        <v>0.28984576806424101</v>
      </c>
      <c r="I234" s="67">
        <v>1.31040383223868E-5</v>
      </c>
      <c r="J234" s="67">
        <v>0.20932569471651</v>
      </c>
      <c r="K234" s="67">
        <v>2.5194360812379202</v>
      </c>
      <c r="L234" s="67"/>
      <c r="M234" s="67"/>
      <c r="O234" s="11">
        <f t="shared" ca="1" si="86"/>
        <v>-2.9812794799755628E-5</v>
      </c>
      <c r="P234" s="11">
        <f t="shared" ca="1" si="87"/>
        <v>1.233893809208206E-5</v>
      </c>
      <c r="Q234" s="11">
        <f t="shared" ca="1" si="88"/>
        <v>1.4727889957340316E-2</v>
      </c>
      <c r="R234" s="11">
        <f t="shared" ca="1" si="89"/>
        <v>5.9876798692865484E-4</v>
      </c>
      <c r="S234" s="11">
        <f t="shared" ca="1" si="90"/>
        <v>-2.5066221722844522E-5</v>
      </c>
      <c r="T234" s="11">
        <f t="shared" ca="1" si="91"/>
        <v>0.28870721302565872</v>
      </c>
      <c r="U234" s="11">
        <f t="shared" ca="1" si="92"/>
        <v>1.233893809208206E-5</v>
      </c>
      <c r="V234" s="11">
        <f t="shared" ca="1" si="93"/>
        <v>0.20867549871081623</v>
      </c>
      <c r="W234" s="11">
        <f t="shared" ca="1" si="94"/>
        <v>2.5123132329744151</v>
      </c>
      <c r="X234" s="11"/>
      <c r="Y234" s="2">
        <f t="shared" ca="1" si="95"/>
        <v>-2.9812794799755628E-5</v>
      </c>
      <c r="Z234" s="11">
        <f t="shared" ca="1" si="96"/>
        <v>1.233893809208206E-5</v>
      </c>
      <c r="AA234" s="2">
        <f t="shared" ca="1" si="97"/>
        <v>1.4727795555230587E-2</v>
      </c>
      <c r="AB234" s="2">
        <f t="shared" ca="1" si="98"/>
        <v>5.9648302677274675E-4</v>
      </c>
      <c r="AC234" s="2">
        <f t="shared" ca="1" si="99"/>
        <v>-2.5066221722844522E-5</v>
      </c>
      <c r="AD234" s="2">
        <f t="shared" ca="1" si="100"/>
        <v>0.28869059610884418</v>
      </c>
      <c r="AE234" s="2">
        <f t="shared" ca="1" si="101"/>
        <v>1.233893809208206E-5</v>
      </c>
      <c r="AF234" s="2">
        <f t="shared" ca="1" si="102"/>
        <v>0.20865095952604326</v>
      </c>
      <c r="AG234" s="2">
        <f t="shared" ca="1" si="103"/>
        <v>2.5123032755440913</v>
      </c>
      <c r="AI234" s="2">
        <f t="shared" ca="1" si="104"/>
        <v>-2.9812794799755628E-5</v>
      </c>
      <c r="AJ234" s="11">
        <f t="shared" ca="1" si="105"/>
        <v>1.233893809208206E-5</v>
      </c>
      <c r="AK234" s="2">
        <f t="shared" ca="1" si="106"/>
        <v>1.4713237891312396E-2</v>
      </c>
      <c r="AL234" s="2">
        <f t="shared" ca="1" si="107"/>
        <v>5.8966943198035895E-4</v>
      </c>
      <c r="AM234" s="2">
        <f t="shared" ca="1" si="108"/>
        <v>-2.5066221722844522E-5</v>
      </c>
      <c r="AN234" s="2">
        <f t="shared" ca="1" si="109"/>
        <v>0.28869059610884418</v>
      </c>
      <c r="AO234" s="2">
        <f t="shared" ca="1" si="110"/>
        <v>1.233893809208206E-5</v>
      </c>
      <c r="AP234" s="2">
        <f t="shared" ca="1" si="111"/>
        <v>0.20865095952604326</v>
      </c>
      <c r="AQ234" s="2">
        <f t="shared" ca="1" si="112"/>
        <v>2.5123032755440913</v>
      </c>
      <c r="AS234" s="2">
        <f t="shared" ca="1" si="113"/>
        <v>8.7019413427371983</v>
      </c>
      <c r="AT234" s="2">
        <f t="shared" ca="1" si="114"/>
        <v>0.40089714822590145</v>
      </c>
      <c r="AU234" s="2">
        <f t="shared" ca="1" si="115"/>
        <v>2.4004437840866155E-4</v>
      </c>
      <c r="AV234" s="2">
        <f t="shared" ca="1" si="116"/>
        <v>0.20843545433240757</v>
      </c>
      <c r="AW234" s="2">
        <f t="shared" ca="1" si="117"/>
        <v>0.70818053821303817</v>
      </c>
      <c r="AX234" s="2">
        <f t="shared" ca="1" si="118"/>
        <v>5.3050542401046882E-2</v>
      </c>
      <c r="AY234" s="9">
        <f t="shared" ca="1" si="119"/>
        <v>0.70818053821303817</v>
      </c>
      <c r="AZ234" s="9">
        <f t="shared" ca="1" si="120"/>
        <v>0.70818053821303817</v>
      </c>
      <c r="BB234" s="2">
        <f t="shared" ca="1" si="121"/>
        <v>8.702407731344616</v>
      </c>
      <c r="BC234" s="2">
        <f t="shared" ca="1" si="122"/>
        <v>0.40091889529162084</v>
      </c>
      <c r="BD234" s="2">
        <f t="shared" ca="1" si="123"/>
        <v>2.3640961725680308E-4</v>
      </c>
      <c r="BE234" s="2">
        <f t="shared" ca="1" si="124"/>
        <v>0.20841454990878647</v>
      </c>
      <c r="BF234" s="2">
        <f t="shared" ca="1" si="125"/>
        <v>0.70813115922908221</v>
      </c>
      <c r="BG234" s="2">
        <f t="shared" ca="1" si="126"/>
        <v>5.3003722185940079E-2</v>
      </c>
      <c r="BH234" s="2">
        <f t="shared" ca="1" si="127"/>
        <v>0.70813115922908221</v>
      </c>
      <c r="BI234" s="2">
        <f t="shared" ca="1" si="128"/>
        <v>0.70813115922908221</v>
      </c>
    </row>
    <row r="235" spans="1:61" ht="15" x14ac:dyDescent="0.25">
      <c r="A235" s="66">
        <v>169</v>
      </c>
      <c r="B235" s="66">
        <v>1498730208.517</v>
      </c>
      <c r="C235" s="67">
        <v>-5.7164915860938897E-5</v>
      </c>
      <c r="D235" s="67">
        <v>1.04218581727796E-4</v>
      </c>
      <c r="E235" s="67">
        <v>1.66795264415995E-2</v>
      </c>
      <c r="F235" s="67">
        <v>4.0640016929726502E-4</v>
      </c>
      <c r="G235" s="67">
        <v>-7.1598565429278907E-5</v>
      </c>
      <c r="H235" s="67">
        <v>0.30924473228398602</v>
      </c>
      <c r="I235" s="67">
        <v>1.04218581727796E-4</v>
      </c>
      <c r="J235" s="67">
        <v>0.22304898855914401</v>
      </c>
      <c r="K235" s="67">
        <v>2.6806845672713999</v>
      </c>
      <c r="L235" s="67"/>
      <c r="M235" s="67"/>
      <c r="O235" s="11">
        <f t="shared" ca="1" si="86"/>
        <v>-6.9968846570898918E-5</v>
      </c>
      <c r="P235" s="11">
        <f t="shared" ca="1" si="87"/>
        <v>1.0345348149749127E-4</v>
      </c>
      <c r="Q235" s="11">
        <f t="shared" ca="1" si="88"/>
        <v>1.5843034829331217E-2</v>
      </c>
      <c r="R235" s="11">
        <f t="shared" ca="1" si="89"/>
        <v>3.9475368165091791E-4</v>
      </c>
      <c r="S235" s="11">
        <f t="shared" ca="1" si="90"/>
        <v>-8.2526217476249034E-5</v>
      </c>
      <c r="T235" s="11">
        <f t="shared" ca="1" si="91"/>
        <v>0.30810617724540373</v>
      </c>
      <c r="U235" s="11">
        <f t="shared" ca="1" si="92"/>
        <v>1.0345348149749127E-4</v>
      </c>
      <c r="V235" s="11">
        <f t="shared" ca="1" si="93"/>
        <v>0.22239879255345024</v>
      </c>
      <c r="W235" s="11">
        <f t="shared" ca="1" si="94"/>
        <v>2.6735617190078949</v>
      </c>
      <c r="X235" s="11"/>
      <c r="Y235" s="2">
        <f t="shared" ca="1" si="95"/>
        <v>-6.9968846570898918E-5</v>
      </c>
      <c r="Z235" s="11">
        <f t="shared" ca="1" si="96"/>
        <v>1.0345348149749127E-4</v>
      </c>
      <c r="AA235" s="2">
        <f t="shared" ca="1" si="97"/>
        <v>1.5842243332782717E-2</v>
      </c>
      <c r="AB235" s="2">
        <f t="shared" ca="1" si="98"/>
        <v>3.7559586746564071E-4</v>
      </c>
      <c r="AC235" s="2">
        <f t="shared" ca="1" si="99"/>
        <v>-8.2526217476249034E-5</v>
      </c>
      <c r="AD235" s="2">
        <f t="shared" ca="1" si="100"/>
        <v>0.30796685586430989</v>
      </c>
      <c r="AE235" s="2">
        <f t="shared" ca="1" si="101"/>
        <v>1.0345348149749127E-4</v>
      </c>
      <c r="AF235" s="2">
        <f t="shared" ca="1" si="102"/>
        <v>0.22219304842223511</v>
      </c>
      <c r="AG235" s="2">
        <f t="shared" ca="1" si="103"/>
        <v>2.6734782328256892</v>
      </c>
      <c r="AI235" s="2">
        <f t="shared" ca="1" si="104"/>
        <v>-6.9968846570898918E-5</v>
      </c>
      <c r="AJ235" s="11">
        <f t="shared" ca="1" si="105"/>
        <v>1.0345348149749127E-4</v>
      </c>
      <c r="AK235" s="2">
        <f t="shared" ca="1" si="106"/>
        <v>1.5720187366250735E-2</v>
      </c>
      <c r="AL235" s="2">
        <f t="shared" ca="1" si="107"/>
        <v>3.1846857680859289E-4</v>
      </c>
      <c r="AM235" s="2">
        <f t="shared" ca="1" si="108"/>
        <v>-8.2526217476249034E-5</v>
      </c>
      <c r="AN235" s="2">
        <f t="shared" ca="1" si="109"/>
        <v>0.30796685586430989</v>
      </c>
      <c r="AO235" s="2">
        <f t="shared" ca="1" si="110"/>
        <v>1.0345348149749127E-4</v>
      </c>
      <c r="AP235" s="2">
        <f t="shared" ca="1" si="111"/>
        <v>0.22219304842223511</v>
      </c>
      <c r="AQ235" s="2">
        <f t="shared" ca="1" si="112"/>
        <v>2.6734782328256892</v>
      </c>
      <c r="AS235" s="2">
        <f t="shared" ca="1" si="113"/>
        <v>8.6774038187440414</v>
      </c>
      <c r="AT235" s="2">
        <f t="shared" ca="1" si="114"/>
        <v>0.39975301684821801</v>
      </c>
      <c r="AU235" s="2">
        <f t="shared" ca="1" si="115"/>
        <v>1.5780397515189549E-4</v>
      </c>
      <c r="AV235" s="2">
        <f t="shared" ca="1" si="116"/>
        <v>0.22224098857829835</v>
      </c>
      <c r="AW235" s="2">
        <f t="shared" ca="1" si="117"/>
        <v>0.70855140143527739</v>
      </c>
      <c r="AX235" s="2">
        <f t="shared" ca="1" si="118"/>
        <v>5.3319988586717867E-2</v>
      </c>
      <c r="AY235" s="9">
        <f t="shared" ca="1" si="119"/>
        <v>0.70855140143527739</v>
      </c>
      <c r="AZ235" s="9">
        <f t="shared" ca="1" si="120"/>
        <v>0.70855140143527739</v>
      </c>
      <c r="BB235" s="2">
        <f t="shared" ca="1" si="121"/>
        <v>8.6810583084422017</v>
      </c>
      <c r="BC235" s="2">
        <f t="shared" ca="1" si="122"/>
        <v>0.39992341527054681</v>
      </c>
      <c r="BD235" s="2">
        <f t="shared" ca="1" si="123"/>
        <v>1.2736304089364293E-4</v>
      </c>
      <c r="BE235" s="2">
        <f t="shared" ca="1" si="124"/>
        <v>0.22206568538134147</v>
      </c>
      <c r="BF235" s="2">
        <f t="shared" ca="1" si="125"/>
        <v>0.70816260961729227</v>
      </c>
      <c r="BG235" s="2">
        <f t="shared" ca="1" si="126"/>
        <v>5.2953287989450995E-2</v>
      </c>
      <c r="BH235" s="2">
        <f t="shared" ca="1" si="127"/>
        <v>0.70816260961729227</v>
      </c>
      <c r="BI235" s="2">
        <f t="shared" ca="1" si="128"/>
        <v>0.70816260961729227</v>
      </c>
    </row>
    <row r="236" spans="1:61" ht="15" x14ac:dyDescent="0.25">
      <c r="A236" s="66">
        <v>170</v>
      </c>
      <c r="B236" s="66">
        <v>1498730209.0439999</v>
      </c>
      <c r="C236" s="67">
        <v>-9.4721163991057201E-5</v>
      </c>
      <c r="D236" s="67">
        <v>-5.8122077197049402E-5</v>
      </c>
      <c r="E236" s="67">
        <v>1.72515685463005E-2</v>
      </c>
      <c r="F236" s="67">
        <v>5.1899567782999305E-4</v>
      </c>
      <c r="G236" s="67">
        <v>5.2340576344217096E-6</v>
      </c>
      <c r="H236" s="67">
        <v>0.32255129953212203</v>
      </c>
      <c r="I236" s="67">
        <v>-5.8122077197049402E-5</v>
      </c>
      <c r="J236" s="67">
        <v>0.23280636987339701</v>
      </c>
      <c r="K236" s="67">
        <v>2.7997095036784598</v>
      </c>
      <c r="L236" s="67"/>
      <c r="M236" s="67"/>
      <c r="O236" s="11">
        <f t="shared" ca="1" si="86"/>
        <v>-1.0752509470101724E-4</v>
      </c>
      <c r="P236" s="11">
        <f t="shared" ca="1" si="87"/>
        <v>-5.8887177427354141E-5</v>
      </c>
      <c r="Q236" s="11">
        <f t="shared" ca="1" si="88"/>
        <v>1.6415076934032217E-2</v>
      </c>
      <c r="R236" s="11">
        <f t="shared" ca="1" si="89"/>
        <v>5.0734919018364589E-4</v>
      </c>
      <c r="S236" s="11">
        <f t="shared" ca="1" si="90"/>
        <v>-5.6935944125484128E-6</v>
      </c>
      <c r="T236" s="11">
        <f t="shared" ca="1" si="91"/>
        <v>0.32141274449353974</v>
      </c>
      <c r="U236" s="11">
        <f t="shared" ca="1" si="92"/>
        <v>-5.8887177427354141E-5</v>
      </c>
      <c r="V236" s="11">
        <f t="shared" ca="1" si="93"/>
        <v>0.23215617386770324</v>
      </c>
      <c r="W236" s="11">
        <f t="shared" ca="1" si="94"/>
        <v>2.7925866554149548</v>
      </c>
      <c r="X236" s="11"/>
      <c r="Y236" s="2">
        <f t="shared" ca="1" si="95"/>
        <v>-1.0752509470101724E-4</v>
      </c>
      <c r="Z236" s="11">
        <f t="shared" ca="1" si="96"/>
        <v>-5.8887177427354141E-5</v>
      </c>
      <c r="AA236" s="2">
        <f t="shared" ca="1" si="97"/>
        <v>1.6415076934032217E-2</v>
      </c>
      <c r="AB236" s="2">
        <f t="shared" ca="1" si="98"/>
        <v>5.0734919018364589E-4</v>
      </c>
      <c r="AC236" s="2">
        <f t="shared" ca="1" si="99"/>
        <v>-5.6935944125484128E-6</v>
      </c>
      <c r="AD236" s="2">
        <f t="shared" ca="1" si="100"/>
        <v>0.32141274449353974</v>
      </c>
      <c r="AE236" s="2">
        <f t="shared" ca="1" si="101"/>
        <v>-5.8887177427354141E-5</v>
      </c>
      <c r="AF236" s="2">
        <f t="shared" ca="1" si="102"/>
        <v>0.23215617386770324</v>
      </c>
      <c r="AG236" s="2">
        <f t="shared" ca="1" si="103"/>
        <v>2.7925866554149548</v>
      </c>
      <c r="AI236" s="2">
        <f t="shared" ca="1" si="104"/>
        <v>-1.0752509470101724E-4</v>
      </c>
      <c r="AJ236" s="11">
        <f t="shared" ca="1" si="105"/>
        <v>-5.8887177427354141E-5</v>
      </c>
      <c r="AK236" s="2">
        <f t="shared" ca="1" si="106"/>
        <v>1.6415076934032217E-2</v>
      </c>
      <c r="AL236" s="2">
        <f t="shared" ca="1" si="107"/>
        <v>5.0734919018364589E-4</v>
      </c>
      <c r="AM236" s="2">
        <f t="shared" ca="1" si="108"/>
        <v>-5.6935944125484128E-6</v>
      </c>
      <c r="AN236" s="2">
        <f t="shared" ca="1" si="109"/>
        <v>0.32141274449353974</v>
      </c>
      <c r="AO236" s="2">
        <f t="shared" ca="1" si="110"/>
        <v>-5.8887177427354141E-5</v>
      </c>
      <c r="AP236" s="2">
        <f t="shared" ca="1" si="111"/>
        <v>0.23215617386770324</v>
      </c>
      <c r="AQ236" s="2">
        <f t="shared" ca="1" si="112"/>
        <v>2.7925866554149548</v>
      </c>
      <c r="AS236" s="2">
        <f t="shared" ca="1" si="113"/>
        <v>8.6884751873026129</v>
      </c>
      <c r="AT236" s="2">
        <f t="shared" ca="1" si="114"/>
        <v>0.40026924583353052</v>
      </c>
      <c r="AU236" s="2">
        <f t="shared" ca="1" si="115"/>
        <v>2.0307627772906038E-4</v>
      </c>
      <c r="AV236" s="2">
        <f t="shared" ca="1" si="116"/>
        <v>0.23195309758997418</v>
      </c>
      <c r="AW236" s="2">
        <f t="shared" ca="1" si="117"/>
        <v>0.70844448215026146</v>
      </c>
      <c r="AX236" s="2">
        <f t="shared" ca="1" si="118"/>
        <v>5.3027180684334249E-2</v>
      </c>
      <c r="AY236" s="9">
        <f t="shared" ca="1" si="119"/>
        <v>0.70844448215026146</v>
      </c>
      <c r="AZ236" s="9">
        <f t="shared" ca="1" si="120"/>
        <v>0.70844448215026146</v>
      </c>
      <c r="BB236" s="2">
        <f t="shared" ca="1" si="121"/>
        <v>8.6884751873026129</v>
      </c>
      <c r="BC236" s="2">
        <f t="shared" ca="1" si="122"/>
        <v>0.40026924583353052</v>
      </c>
      <c r="BD236" s="2">
        <f t="shared" ca="1" si="123"/>
        <v>2.0307627772906038E-4</v>
      </c>
      <c r="BE236" s="2">
        <f t="shared" ca="1" si="124"/>
        <v>0.23195309758997418</v>
      </c>
      <c r="BF236" s="2">
        <f t="shared" ca="1" si="125"/>
        <v>0.70844448215026146</v>
      </c>
      <c r="BG236" s="2">
        <f t="shared" ca="1" si="126"/>
        <v>5.3027180684334249E-2</v>
      </c>
      <c r="BH236" s="2">
        <f t="shared" ca="1" si="127"/>
        <v>0.70844448215026146</v>
      </c>
      <c r="BI236" s="2">
        <f t="shared" ca="1" si="128"/>
        <v>0.70844448215026146</v>
      </c>
    </row>
    <row r="237" spans="1:61" ht="15" x14ac:dyDescent="0.25">
      <c r="A237" s="66">
        <v>171</v>
      </c>
      <c r="B237" s="66">
        <v>1498730209.5710001</v>
      </c>
      <c r="C237" s="67">
        <v>2.1495229501720999E-5</v>
      </c>
      <c r="D237" s="67">
        <v>1.9979026058052098E-5</v>
      </c>
      <c r="E237" s="67">
        <v>1.6673008615923E-2</v>
      </c>
      <c r="F237" s="67">
        <v>4.8352553305153998E-4</v>
      </c>
      <c r="G237" s="67">
        <v>-4.4378643851941598E-5</v>
      </c>
      <c r="H237" s="67">
        <v>0.31257726350396298</v>
      </c>
      <c r="I237" s="67">
        <v>1.9979026058052098E-5</v>
      </c>
      <c r="J237" s="67">
        <v>0.22582165418042999</v>
      </c>
      <c r="K237" s="67">
        <v>2.7149447492548999</v>
      </c>
      <c r="L237" s="67"/>
      <c r="M237" s="67"/>
      <c r="O237" s="11">
        <f t="shared" ca="1" si="86"/>
        <v>8.6912987917609715E-6</v>
      </c>
      <c r="P237" s="11">
        <f t="shared" ca="1" si="87"/>
        <v>1.9213925827747356E-5</v>
      </c>
      <c r="Q237" s="11">
        <f t="shared" ca="1" si="88"/>
        <v>1.5836517003654717E-2</v>
      </c>
      <c r="R237" s="11">
        <f t="shared" ca="1" si="89"/>
        <v>4.7187904540519287E-4</v>
      </c>
      <c r="S237" s="11">
        <f t="shared" ca="1" si="90"/>
        <v>-5.5306295898911719E-5</v>
      </c>
      <c r="T237" s="11">
        <f t="shared" ca="1" si="91"/>
        <v>0.31143870846538069</v>
      </c>
      <c r="U237" s="11">
        <f t="shared" ca="1" si="92"/>
        <v>1.9213925827747356E-5</v>
      </c>
      <c r="V237" s="11">
        <f t="shared" ca="1" si="93"/>
        <v>0.22517145817473622</v>
      </c>
      <c r="W237" s="11">
        <f t="shared" ca="1" si="94"/>
        <v>2.7078219009913949</v>
      </c>
      <c r="X237" s="11"/>
      <c r="Y237" s="2">
        <f t="shared" ca="1" si="95"/>
        <v>8.6912987917609715E-6</v>
      </c>
      <c r="Z237" s="11">
        <f t="shared" ca="1" si="96"/>
        <v>1.9213925827747356E-5</v>
      </c>
      <c r="AA237" s="2">
        <f t="shared" ca="1" si="97"/>
        <v>1.5836370002744203E-2</v>
      </c>
      <c r="AB237" s="2">
        <f t="shared" ca="1" si="98"/>
        <v>4.6832095518483996E-4</v>
      </c>
      <c r="AC237" s="2">
        <f t="shared" ca="1" si="99"/>
        <v>-5.5306295898911719E-5</v>
      </c>
      <c r="AD237" s="2">
        <f t="shared" ca="1" si="100"/>
        <v>0.31141283296420075</v>
      </c>
      <c r="AE237" s="2">
        <f t="shared" ca="1" si="101"/>
        <v>1.9213925827747356E-5</v>
      </c>
      <c r="AF237" s="2">
        <f t="shared" ca="1" si="102"/>
        <v>0.22513324629032749</v>
      </c>
      <c r="AG237" s="2">
        <f t="shared" ca="1" si="103"/>
        <v>2.7078063954976277</v>
      </c>
      <c r="AI237" s="2">
        <f t="shared" ca="1" si="104"/>
        <v>8.6912987917609715E-6</v>
      </c>
      <c r="AJ237" s="11">
        <f t="shared" ca="1" si="105"/>
        <v>1.9213925827747356E-5</v>
      </c>
      <c r="AK237" s="2">
        <f t="shared" ca="1" si="106"/>
        <v>1.5813701125352807E-2</v>
      </c>
      <c r="AL237" s="2">
        <f t="shared" ca="1" si="107"/>
        <v>4.5771097367879179E-4</v>
      </c>
      <c r="AM237" s="2">
        <f t="shared" ca="1" si="108"/>
        <v>-5.5306295898911719E-5</v>
      </c>
      <c r="AN237" s="2">
        <f t="shared" ca="1" si="109"/>
        <v>0.31141283296420075</v>
      </c>
      <c r="AO237" s="2">
        <f t="shared" ca="1" si="110"/>
        <v>1.9213925827747356E-5</v>
      </c>
      <c r="AP237" s="2">
        <f t="shared" ca="1" si="111"/>
        <v>0.22513324629032749</v>
      </c>
      <c r="AQ237" s="2">
        <f t="shared" ca="1" si="112"/>
        <v>2.7078063954976277</v>
      </c>
      <c r="AS237" s="2">
        <f t="shared" ca="1" si="113"/>
        <v>8.6945579575969578</v>
      </c>
      <c r="AT237" s="2">
        <f t="shared" ca="1" si="114"/>
        <v>0.40055287291405095</v>
      </c>
      <c r="AU237" s="2">
        <f t="shared" ca="1" si="115"/>
        <v>1.8901250730498989E-4</v>
      </c>
      <c r="AV237" s="2">
        <f t="shared" ca="1" si="116"/>
        <v>0.22498244566743122</v>
      </c>
      <c r="AW237" s="2">
        <f t="shared" ca="1" si="117"/>
        <v>0.70891100681726815</v>
      </c>
      <c r="AX237" s="2">
        <f t="shared" ca="1" si="118"/>
        <v>5.2834402239444286E-2</v>
      </c>
      <c r="AY237" s="9">
        <f t="shared" ca="1" si="119"/>
        <v>0.70891100681726815</v>
      </c>
      <c r="AZ237" s="9">
        <f t="shared" ca="1" si="120"/>
        <v>0.70891100681726815</v>
      </c>
      <c r="BB237" s="2">
        <f t="shared" ca="1" si="121"/>
        <v>8.695230603450792</v>
      </c>
      <c r="BC237" s="2">
        <f t="shared" ca="1" si="122"/>
        <v>0.40058423715593972</v>
      </c>
      <c r="BD237" s="2">
        <f t="shared" ca="1" si="123"/>
        <v>1.833518012290212E-4</v>
      </c>
      <c r="BE237" s="2">
        <f t="shared" ca="1" si="124"/>
        <v>0.22494989448909847</v>
      </c>
      <c r="BF237" s="2">
        <f t="shared" ca="1" si="125"/>
        <v>0.70883971881665908</v>
      </c>
      <c r="BG237" s="2">
        <f t="shared" ca="1" si="126"/>
        <v>5.2766843584434363E-2</v>
      </c>
      <c r="BH237" s="2">
        <f t="shared" ca="1" si="127"/>
        <v>0.70883971881665908</v>
      </c>
      <c r="BI237" s="2">
        <f t="shared" ca="1" si="128"/>
        <v>0.70883971881665908</v>
      </c>
    </row>
    <row r="238" spans="1:61" ht="15" x14ac:dyDescent="0.25">
      <c r="A238" s="66">
        <v>172</v>
      </c>
      <c r="B238" s="66">
        <v>1498730210.098</v>
      </c>
      <c r="C238" s="67">
        <v>4.53543440628895E-5</v>
      </c>
      <c r="D238" s="67">
        <v>-5.0000727962194501E-5</v>
      </c>
      <c r="E238" s="67">
        <v>1.7331037669013501E-2</v>
      </c>
      <c r="F238" s="67">
        <v>5.81845201843519E-4</v>
      </c>
      <c r="G238" s="67">
        <v>2.22088227308089E-5</v>
      </c>
      <c r="H238" s="67">
        <v>0.32231080086687902</v>
      </c>
      <c r="I238" s="67">
        <v>-5.0000727962194501E-5</v>
      </c>
      <c r="J238" s="67">
        <v>0.23277879349748101</v>
      </c>
      <c r="K238" s="67">
        <v>2.7963948808546801</v>
      </c>
      <c r="L238" s="67"/>
      <c r="M238" s="67"/>
      <c r="O238" s="11">
        <f t="shared" ca="1" si="86"/>
        <v>3.2550413352929472E-5</v>
      </c>
      <c r="P238" s="11">
        <f t="shared" ca="1" si="87"/>
        <v>-5.076582819249924E-5</v>
      </c>
      <c r="Q238" s="11">
        <f t="shared" ca="1" si="88"/>
        <v>1.6494546056745218E-2</v>
      </c>
      <c r="R238" s="11">
        <f t="shared" ca="1" si="89"/>
        <v>5.7019871419717184E-4</v>
      </c>
      <c r="S238" s="11">
        <f t="shared" ca="1" si="90"/>
        <v>1.1281170683838778E-5</v>
      </c>
      <c r="T238" s="11">
        <f t="shared" ca="1" si="91"/>
        <v>0.32117224582829673</v>
      </c>
      <c r="U238" s="11">
        <f t="shared" ca="1" si="92"/>
        <v>-5.076582819249924E-5</v>
      </c>
      <c r="V238" s="11">
        <f t="shared" ca="1" si="93"/>
        <v>0.23212859749178724</v>
      </c>
      <c r="W238" s="11">
        <f t="shared" ca="1" si="94"/>
        <v>2.7892720325911751</v>
      </c>
      <c r="X238" s="11"/>
      <c r="Y238" s="2">
        <f t="shared" ca="1" si="95"/>
        <v>3.2550413352929472E-5</v>
      </c>
      <c r="Z238" s="11">
        <f t="shared" ca="1" si="96"/>
        <v>-5.076582819249924E-5</v>
      </c>
      <c r="AA238" s="2">
        <f t="shared" ca="1" si="97"/>
        <v>1.6494546056745218E-2</v>
      </c>
      <c r="AB238" s="2">
        <f t="shared" ca="1" si="98"/>
        <v>5.7019871419717184E-4</v>
      </c>
      <c r="AC238" s="2">
        <f t="shared" ca="1" si="99"/>
        <v>1.1281170683838778E-5</v>
      </c>
      <c r="AD238" s="2">
        <f t="shared" ca="1" si="100"/>
        <v>0.32117224582829673</v>
      </c>
      <c r="AE238" s="2">
        <f t="shared" ca="1" si="101"/>
        <v>-5.076582819249924E-5</v>
      </c>
      <c r="AF238" s="2">
        <f t="shared" ca="1" si="102"/>
        <v>0.23212859749178724</v>
      </c>
      <c r="AG238" s="2">
        <f t="shared" ca="1" si="103"/>
        <v>2.7892720325911751</v>
      </c>
      <c r="AI238" s="2">
        <f t="shared" ca="1" si="104"/>
        <v>3.2550413352929472E-5</v>
      </c>
      <c r="AJ238" s="11">
        <f t="shared" ca="1" si="105"/>
        <v>-5.076582819249924E-5</v>
      </c>
      <c r="AK238" s="2">
        <f t="shared" ca="1" si="106"/>
        <v>1.6494546056745218E-2</v>
      </c>
      <c r="AL238" s="2">
        <f t="shared" ca="1" si="107"/>
        <v>5.7019871419717184E-4</v>
      </c>
      <c r="AM238" s="2">
        <f t="shared" ca="1" si="108"/>
        <v>1.1281170683838778E-5</v>
      </c>
      <c r="AN238" s="2">
        <f t="shared" ca="1" si="109"/>
        <v>0.32117224582829673</v>
      </c>
      <c r="AO238" s="2">
        <f t="shared" ca="1" si="110"/>
        <v>-5.076582819249924E-5</v>
      </c>
      <c r="AP238" s="2">
        <f t="shared" ca="1" si="111"/>
        <v>0.23212859749178724</v>
      </c>
      <c r="AQ238" s="2">
        <f t="shared" ca="1" si="112"/>
        <v>2.7892720325911751</v>
      </c>
      <c r="AS238" s="2">
        <f t="shared" ca="1" si="113"/>
        <v>8.6846608597754109</v>
      </c>
      <c r="AT238" s="2">
        <f t="shared" ca="1" si="114"/>
        <v>0.40009139280676337</v>
      </c>
      <c r="AU238" s="2">
        <f t="shared" ca="1" si="115"/>
        <v>2.2813159773977208E-4</v>
      </c>
      <c r="AV238" s="2">
        <f t="shared" ca="1" si="116"/>
        <v>0.23190046589404748</v>
      </c>
      <c r="AW238" s="2">
        <f t="shared" ca="1" si="117"/>
        <v>0.70897086316544677</v>
      </c>
      <c r="AX238" s="2">
        <f t="shared" ca="1" si="118"/>
        <v>5.3299843281483024E-2</v>
      </c>
      <c r="AY238" s="9">
        <f t="shared" ca="1" si="119"/>
        <v>0.70897086316544677</v>
      </c>
      <c r="AZ238" s="9">
        <f t="shared" ca="1" si="120"/>
        <v>0.70897086316544677</v>
      </c>
      <c r="BB238" s="2">
        <f t="shared" ca="1" si="121"/>
        <v>8.6846608597754109</v>
      </c>
      <c r="BC238" s="2">
        <f t="shared" ca="1" si="122"/>
        <v>0.40009139280676337</v>
      </c>
      <c r="BD238" s="2">
        <f t="shared" ca="1" si="123"/>
        <v>2.2813159773977208E-4</v>
      </c>
      <c r="BE238" s="2">
        <f t="shared" ca="1" si="124"/>
        <v>0.23190046589404748</v>
      </c>
      <c r="BF238" s="2">
        <f t="shared" ca="1" si="125"/>
        <v>0.70897086316544677</v>
      </c>
      <c r="BG238" s="2">
        <f t="shared" ca="1" si="126"/>
        <v>5.3299843281483024E-2</v>
      </c>
      <c r="BH238" s="2">
        <f t="shared" ca="1" si="127"/>
        <v>0.70897086316544677</v>
      </c>
      <c r="BI238" s="2">
        <f t="shared" ca="1" si="128"/>
        <v>0.70897086316544677</v>
      </c>
    </row>
    <row r="239" spans="1:61" ht="15" x14ac:dyDescent="0.25">
      <c r="A239" s="66">
        <v>173</v>
      </c>
      <c r="B239" s="66">
        <v>1498730210.625</v>
      </c>
      <c r="C239" s="67">
        <v>-5.2204550389862298E-5</v>
      </c>
      <c r="D239" s="67">
        <v>2.9051904176246001E-5</v>
      </c>
      <c r="E239" s="67">
        <v>1.69550032506946E-2</v>
      </c>
      <c r="F239" s="67">
        <v>5.9398704291792098E-4</v>
      </c>
      <c r="G239" s="67">
        <v>1.21219613659688E-4</v>
      </c>
      <c r="H239" s="67">
        <v>0.31621610979588699</v>
      </c>
      <c r="I239" s="67">
        <v>2.9051904176246001E-5</v>
      </c>
      <c r="J239" s="67">
        <v>0.22828650740245701</v>
      </c>
      <c r="K239" s="67">
        <v>2.74544334540749</v>
      </c>
      <c r="L239" s="67"/>
      <c r="M239" s="67"/>
      <c r="O239" s="11">
        <f t="shared" ca="1" si="86"/>
        <v>-6.5008481099822332E-5</v>
      </c>
      <c r="P239" s="11">
        <f t="shared" ca="1" si="87"/>
        <v>2.8286803945941259E-5</v>
      </c>
      <c r="Q239" s="11">
        <f t="shared" ca="1" si="88"/>
        <v>1.6118511638426317E-2</v>
      </c>
      <c r="R239" s="11">
        <f t="shared" ca="1" si="89"/>
        <v>5.8234055527157382E-4</v>
      </c>
      <c r="S239" s="11">
        <f t="shared" ca="1" si="90"/>
        <v>1.1029196161271787E-4</v>
      </c>
      <c r="T239" s="11">
        <f t="shared" ca="1" si="91"/>
        <v>0.3150775547573047</v>
      </c>
      <c r="U239" s="11">
        <f t="shared" ca="1" si="92"/>
        <v>2.8286803945941259E-5</v>
      </c>
      <c r="V239" s="11">
        <f t="shared" ca="1" si="93"/>
        <v>0.22763631139676324</v>
      </c>
      <c r="W239" s="11">
        <f t="shared" ca="1" si="94"/>
        <v>2.738320497143985</v>
      </c>
      <c r="X239" s="11"/>
      <c r="Y239" s="2">
        <f t="shared" ca="1" si="95"/>
        <v>-6.5008481099822332E-5</v>
      </c>
      <c r="Z239" s="11">
        <f t="shared" ca="1" si="96"/>
        <v>2.8286803945941259E-5</v>
      </c>
      <c r="AA239" s="2">
        <f t="shared" ca="1" si="97"/>
        <v>1.6118295223208897E-2</v>
      </c>
      <c r="AB239" s="2">
        <f t="shared" ca="1" si="98"/>
        <v>5.7710232330443749E-4</v>
      </c>
      <c r="AC239" s="2">
        <f t="shared" ca="1" si="99"/>
        <v>1.1029196161271787E-4</v>
      </c>
      <c r="AD239" s="2">
        <f t="shared" ca="1" si="100"/>
        <v>0.31503946076051081</v>
      </c>
      <c r="AE239" s="2">
        <f t="shared" ca="1" si="101"/>
        <v>2.8286803945941259E-5</v>
      </c>
      <c r="AF239" s="2">
        <f t="shared" ca="1" si="102"/>
        <v>0.22758005573655279</v>
      </c>
      <c r="AG239" s="2">
        <f t="shared" ca="1" si="103"/>
        <v>2.7382976699057511</v>
      </c>
      <c r="AI239" s="2">
        <f t="shared" ca="1" si="104"/>
        <v>-6.5008481099822332E-5</v>
      </c>
      <c r="AJ239" s="11">
        <f t="shared" ca="1" si="105"/>
        <v>2.8286803945941259E-5</v>
      </c>
      <c r="AK239" s="2">
        <f t="shared" ca="1" si="106"/>
        <v>1.6084922028360871E-2</v>
      </c>
      <c r="AL239" s="2">
        <f t="shared" ca="1" si="107"/>
        <v>5.614822741056302E-4</v>
      </c>
      <c r="AM239" s="2">
        <f t="shared" ca="1" si="108"/>
        <v>1.1029196161271787E-4</v>
      </c>
      <c r="AN239" s="2">
        <f t="shared" ca="1" si="109"/>
        <v>0.31503946076051081</v>
      </c>
      <c r="AO239" s="2">
        <f t="shared" ca="1" si="110"/>
        <v>2.8286803945941259E-5</v>
      </c>
      <c r="AP239" s="2">
        <f t="shared" ca="1" si="111"/>
        <v>0.22758005573655279</v>
      </c>
      <c r="AQ239" s="2">
        <f t="shared" ca="1" si="112"/>
        <v>2.7382976699057511</v>
      </c>
      <c r="AS239" s="2">
        <f t="shared" ca="1" si="113"/>
        <v>8.690941185109919</v>
      </c>
      <c r="AT239" s="2">
        <f t="shared" ca="1" si="114"/>
        <v>0.40038422995420858</v>
      </c>
      <c r="AU239" s="2">
        <f t="shared" ca="1" si="115"/>
        <v>2.3315997479351534E-4</v>
      </c>
      <c r="AV239" s="2">
        <f t="shared" ca="1" si="116"/>
        <v>0.22740315142196973</v>
      </c>
      <c r="AW239" s="2">
        <f t="shared" ca="1" si="117"/>
        <v>0.7084116351330314</v>
      </c>
      <c r="AX239" s="2">
        <f t="shared" ca="1" si="118"/>
        <v>5.3131526073984407E-2</v>
      </c>
      <c r="AY239" s="9">
        <f t="shared" ca="1" si="119"/>
        <v>0.7084116351330314</v>
      </c>
      <c r="AZ239" s="9">
        <f t="shared" ca="1" si="120"/>
        <v>0.7084116351330314</v>
      </c>
      <c r="BB239" s="2">
        <f t="shared" ca="1" si="121"/>
        <v>8.6919196195151311</v>
      </c>
      <c r="BC239" s="2">
        <f t="shared" ca="1" si="122"/>
        <v>0.4004298523346535</v>
      </c>
      <c r="BD239" s="2">
        <f t="shared" ca="1" si="123"/>
        <v>2.2483426410864295E-4</v>
      </c>
      <c r="BE239" s="2">
        <f t="shared" ca="1" si="124"/>
        <v>0.22735522147244416</v>
      </c>
      <c r="BF239" s="2">
        <f t="shared" ca="1" si="125"/>
        <v>0.70830780802024629</v>
      </c>
      <c r="BG239" s="2">
        <f t="shared" ca="1" si="126"/>
        <v>5.3033324326709604E-2</v>
      </c>
      <c r="BH239" s="2">
        <f t="shared" ca="1" si="127"/>
        <v>0.70830780802024629</v>
      </c>
      <c r="BI239" s="2">
        <f t="shared" ca="1" si="128"/>
        <v>0.70830780802024629</v>
      </c>
    </row>
    <row r="240" spans="1:61" ht="15" x14ac:dyDescent="0.25">
      <c r="A240" s="66">
        <v>174</v>
      </c>
      <c r="B240" s="66">
        <v>1498730211.152</v>
      </c>
      <c r="C240" s="67">
        <v>5.4331189171376099E-5</v>
      </c>
      <c r="D240" s="67">
        <v>4.61366849904334E-5</v>
      </c>
      <c r="E240" s="67">
        <v>1.68630083636639E-2</v>
      </c>
      <c r="F240" s="67">
        <v>4.8995291551187105E-4</v>
      </c>
      <c r="G240" s="67">
        <v>9.0372648953525298E-5</v>
      </c>
      <c r="H240" s="67">
        <v>0.314663811003215</v>
      </c>
      <c r="I240" s="67">
        <v>4.61366849904334E-5</v>
      </c>
      <c r="J240" s="67">
        <v>0.22721752106774801</v>
      </c>
      <c r="K240" s="67">
        <v>2.7322075791223202</v>
      </c>
      <c r="L240" s="67"/>
      <c r="M240" s="67"/>
      <c r="O240" s="11">
        <f t="shared" ca="1" si="86"/>
        <v>4.1527258461416072E-5</v>
      </c>
      <c r="P240" s="11">
        <f t="shared" ca="1" si="87"/>
        <v>4.5371584760128662E-5</v>
      </c>
      <c r="Q240" s="11">
        <f t="shared" ca="1" si="88"/>
        <v>1.6026516751395617E-2</v>
      </c>
      <c r="R240" s="11">
        <f t="shared" ca="1" si="89"/>
        <v>4.7830642786552395E-4</v>
      </c>
      <c r="S240" s="11">
        <f t="shared" ca="1" si="90"/>
        <v>7.944499690655517E-5</v>
      </c>
      <c r="T240" s="11">
        <f t="shared" ca="1" si="91"/>
        <v>0.31352525596463271</v>
      </c>
      <c r="U240" s="11">
        <f t="shared" ca="1" si="92"/>
        <v>4.5371584760128662E-5</v>
      </c>
      <c r="V240" s="11">
        <f t="shared" ca="1" si="93"/>
        <v>0.22656732506205424</v>
      </c>
      <c r="W240" s="11">
        <f t="shared" ca="1" si="94"/>
        <v>2.7250847308588151</v>
      </c>
      <c r="X240" s="11"/>
      <c r="Y240" s="2">
        <f t="shared" ca="1" si="95"/>
        <v>4.1527258461416072E-5</v>
      </c>
      <c r="Z240" s="11">
        <f t="shared" ca="1" si="96"/>
        <v>4.5371584760128662E-5</v>
      </c>
      <c r="AA240" s="2">
        <f t="shared" ca="1" si="97"/>
        <v>1.6026169624820293E-2</v>
      </c>
      <c r="AB240" s="2">
        <f t="shared" ca="1" si="98"/>
        <v>4.6990438689460527E-4</v>
      </c>
      <c r="AC240" s="2">
        <f t="shared" ca="1" si="99"/>
        <v>7.944499690655517E-5</v>
      </c>
      <c r="AD240" s="2">
        <f t="shared" ca="1" si="100"/>
        <v>0.3134641537981353</v>
      </c>
      <c r="AE240" s="2">
        <f t="shared" ca="1" si="101"/>
        <v>4.5371584760128662E-5</v>
      </c>
      <c r="AF240" s="2">
        <f t="shared" ca="1" si="102"/>
        <v>0.22647709187557077</v>
      </c>
      <c r="AG240" s="2">
        <f t="shared" ca="1" si="103"/>
        <v>2.7250481163308415</v>
      </c>
      <c r="AI240" s="2">
        <f t="shared" ca="1" si="104"/>
        <v>4.1527258461416072E-5</v>
      </c>
      <c r="AJ240" s="11">
        <f t="shared" ca="1" si="105"/>
        <v>4.5371584760128662E-5</v>
      </c>
      <c r="AK240" s="2">
        <f t="shared" ca="1" si="106"/>
        <v>1.5972639549748632E-2</v>
      </c>
      <c r="AL240" s="2">
        <f t="shared" ca="1" si="107"/>
        <v>4.4485007579125581E-4</v>
      </c>
      <c r="AM240" s="2">
        <f t="shared" ca="1" si="108"/>
        <v>7.944499690655517E-5</v>
      </c>
      <c r="AN240" s="2">
        <f t="shared" ca="1" si="109"/>
        <v>0.3134641537981353</v>
      </c>
      <c r="AO240" s="2">
        <f t="shared" ca="1" si="110"/>
        <v>4.5371584760128662E-5</v>
      </c>
      <c r="AP240" s="2">
        <f t="shared" ca="1" si="111"/>
        <v>0.22647709187557077</v>
      </c>
      <c r="AQ240" s="2">
        <f t="shared" ca="1" si="112"/>
        <v>2.7250481163308415</v>
      </c>
      <c r="AS240" s="2">
        <f t="shared" ca="1" si="113"/>
        <v>8.6917550628400377</v>
      </c>
      <c r="AT240" s="2">
        <f t="shared" ca="1" si="114"/>
        <v>0.40042217939157299</v>
      </c>
      <c r="AU240" s="2">
        <f t="shared" ca="1" si="115"/>
        <v>1.9152450226291129E-4</v>
      </c>
      <c r="AV240" s="2">
        <f t="shared" ca="1" si="116"/>
        <v>0.22637580055979131</v>
      </c>
      <c r="AW240" s="2">
        <f t="shared" ca="1" si="117"/>
        <v>0.70866936763485622</v>
      </c>
      <c r="AX240" s="2">
        <f t="shared" ca="1" si="118"/>
        <v>5.3094928948050291E-2</v>
      </c>
      <c r="AY240" s="9">
        <f t="shared" ca="1" si="119"/>
        <v>0.70866936763485622</v>
      </c>
      <c r="AZ240" s="9">
        <f t="shared" ca="1" si="120"/>
        <v>0.70866936763485622</v>
      </c>
      <c r="BB240" s="2">
        <f t="shared" ca="1" si="121"/>
        <v>8.6933325016988015</v>
      </c>
      <c r="BC240" s="2">
        <f t="shared" ca="1" si="122"/>
        <v>0.40049573222982837</v>
      </c>
      <c r="BD240" s="2">
        <f t="shared" ca="1" si="123"/>
        <v>1.7816055683651365E-4</v>
      </c>
      <c r="BE240" s="2">
        <f t="shared" ca="1" si="124"/>
        <v>0.22629893131873427</v>
      </c>
      <c r="BF240" s="2">
        <f t="shared" ca="1" si="125"/>
        <v>0.70850206833626106</v>
      </c>
      <c r="BG240" s="2">
        <f t="shared" ca="1" si="126"/>
        <v>5.2936580500210322E-2</v>
      </c>
      <c r="BH240" s="2">
        <f t="shared" ca="1" si="127"/>
        <v>0.70850206833626106</v>
      </c>
      <c r="BI240" s="2">
        <f t="shared" ca="1" si="128"/>
        <v>0.70850206833626106</v>
      </c>
    </row>
    <row r="241" spans="1:61" ht="15" x14ac:dyDescent="0.25">
      <c r="A241" s="66">
        <v>175</v>
      </c>
      <c r="B241" s="66">
        <v>1498730211.6789999</v>
      </c>
      <c r="C241" s="67">
        <v>5.6221061648603E-5</v>
      </c>
      <c r="D241" s="67">
        <v>2.7634212264747801E-5</v>
      </c>
      <c r="E241" s="67">
        <v>1.7090958489914401E-2</v>
      </c>
      <c r="F241" s="67">
        <v>6.5969839048126203E-4</v>
      </c>
      <c r="G241" s="67">
        <v>1.3920436774343499E-4</v>
      </c>
      <c r="H241" s="67">
        <v>0.32002315570454398</v>
      </c>
      <c r="I241" s="67">
        <v>2.7634212264747801E-5</v>
      </c>
      <c r="J241" s="67">
        <v>0.23081033014563601</v>
      </c>
      <c r="K241" s="67">
        <v>2.7771500974273899</v>
      </c>
      <c r="L241" s="67"/>
      <c r="M241" s="67"/>
      <c r="O241" s="11">
        <f t="shared" ca="1" si="86"/>
        <v>4.3417130938642972E-5</v>
      </c>
      <c r="P241" s="11">
        <f t="shared" ca="1" si="87"/>
        <v>2.6869112034443059E-5</v>
      </c>
      <c r="Q241" s="11">
        <f t="shared" ca="1" si="88"/>
        <v>1.6254466877646118E-2</v>
      </c>
      <c r="R241" s="11">
        <f t="shared" ca="1" si="89"/>
        <v>6.4805190283491487E-4</v>
      </c>
      <c r="S241" s="11">
        <f t="shared" ca="1" si="90"/>
        <v>1.2827671569646488E-4</v>
      </c>
      <c r="T241" s="11">
        <f t="shared" ca="1" si="91"/>
        <v>0.31888460066596169</v>
      </c>
      <c r="U241" s="11">
        <f t="shared" ca="1" si="92"/>
        <v>2.6869112034443059E-5</v>
      </c>
      <c r="V241" s="11">
        <f t="shared" ca="1" si="93"/>
        <v>0.23016013413994224</v>
      </c>
      <c r="W241" s="11">
        <f t="shared" ca="1" si="94"/>
        <v>2.7700272491638849</v>
      </c>
      <c r="X241" s="11"/>
      <c r="Y241" s="2">
        <f t="shared" ca="1" si="95"/>
        <v>4.3417130938642972E-5</v>
      </c>
      <c r="Z241" s="11">
        <f t="shared" ca="1" si="96"/>
        <v>2.6869112034443059E-5</v>
      </c>
      <c r="AA241" s="2">
        <f t="shared" ca="1" si="97"/>
        <v>1.6254261308832688E-2</v>
      </c>
      <c r="AB241" s="2">
        <f t="shared" ca="1" si="98"/>
        <v>6.4307620314624139E-4</v>
      </c>
      <c r="AC241" s="2">
        <f t="shared" ca="1" si="99"/>
        <v>1.2827671569646488E-4</v>
      </c>
      <c r="AD241" s="2">
        <f t="shared" ca="1" si="100"/>
        <v>0.31884841588277973</v>
      </c>
      <c r="AE241" s="2">
        <f t="shared" ca="1" si="101"/>
        <v>2.6869112034443059E-5</v>
      </c>
      <c r="AF241" s="2">
        <f t="shared" ca="1" si="102"/>
        <v>0.23010669792849697</v>
      </c>
      <c r="AG241" s="2">
        <f t="shared" ca="1" si="103"/>
        <v>2.770005565992371</v>
      </c>
      <c r="AI241" s="2">
        <f t="shared" ca="1" si="104"/>
        <v>4.3417130938642972E-5</v>
      </c>
      <c r="AJ241" s="11">
        <f t="shared" ca="1" si="105"/>
        <v>2.6869112034443059E-5</v>
      </c>
      <c r="AK241" s="2">
        <f t="shared" ca="1" si="106"/>
        <v>1.6222560728129665E-2</v>
      </c>
      <c r="AL241" s="2">
        <f t="shared" ca="1" si="107"/>
        <v>6.2823900723296873E-4</v>
      </c>
      <c r="AM241" s="2">
        <f t="shared" ca="1" si="108"/>
        <v>1.2827671569646488E-4</v>
      </c>
      <c r="AN241" s="2">
        <f t="shared" ca="1" si="109"/>
        <v>0.31884841588277973</v>
      </c>
      <c r="AO241" s="2">
        <f t="shared" ca="1" si="110"/>
        <v>2.6869112034443059E-5</v>
      </c>
      <c r="AP241" s="2">
        <f t="shared" ca="1" si="111"/>
        <v>0.23010669792849697</v>
      </c>
      <c r="AQ241" s="2">
        <f t="shared" ca="1" si="112"/>
        <v>2.770005565992371</v>
      </c>
      <c r="AS241" s="2">
        <f t="shared" ca="1" si="113"/>
        <v>8.6866134124348839</v>
      </c>
      <c r="AT241" s="2">
        <f t="shared" ca="1" si="114"/>
        <v>0.40018243557814737</v>
      </c>
      <c r="AU241" s="2">
        <f t="shared" ca="1" si="115"/>
        <v>2.5933898885752913E-4</v>
      </c>
      <c r="AV241" s="2">
        <f t="shared" ca="1" si="116"/>
        <v>0.22990079515108472</v>
      </c>
      <c r="AW241" s="2">
        <f t="shared" ca="1" si="117"/>
        <v>0.70781951918790487</v>
      </c>
      <c r="AX241" s="2">
        <f t="shared" ca="1" si="118"/>
        <v>5.2913032959357321E-2</v>
      </c>
      <c r="AY241" s="9" t="str">
        <f t="shared" ca="1" si="119"/>
        <v>rejected</v>
      </c>
      <c r="AZ241" s="9" t="e">
        <f t="shared" ca="1" si="120"/>
        <v>#N/A</v>
      </c>
      <c r="BB241" s="2">
        <f t="shared" ca="1" si="121"/>
        <v>8.6875312154937152</v>
      </c>
      <c r="BC241" s="2">
        <f t="shared" ca="1" si="122"/>
        <v>0.40022523058349857</v>
      </c>
      <c r="BD241" s="2">
        <f t="shared" ca="1" si="123"/>
        <v>2.5143710153136315E-4</v>
      </c>
      <c r="BE241" s="2">
        <f t="shared" ca="1" si="124"/>
        <v>0.22985526082696561</v>
      </c>
      <c r="BF241" s="2">
        <f t="shared" ca="1" si="125"/>
        <v>0.70772198385372032</v>
      </c>
      <c r="BG241" s="2">
        <f t="shared" ca="1" si="126"/>
        <v>5.2820872278046507E-2</v>
      </c>
      <c r="BH241" s="2" t="str">
        <f t="shared" ca="1" si="127"/>
        <v>rejected</v>
      </c>
      <c r="BI241" s="2" t="e">
        <f t="shared" ca="1" si="128"/>
        <v>#N/A</v>
      </c>
    </row>
    <row r="242" spans="1:61" ht="15" x14ac:dyDescent="0.25">
      <c r="A242" s="66">
        <v>176</v>
      </c>
      <c r="B242" s="66">
        <v>1498730212.2049999</v>
      </c>
      <c r="C242" s="67">
        <v>8.0317251273706402E-5</v>
      </c>
      <c r="D242" s="67">
        <v>6.7964790638740898E-6</v>
      </c>
      <c r="E242" s="67">
        <v>1.7465352233216699E-2</v>
      </c>
      <c r="F242" s="67">
        <v>5.7541722808092703E-4</v>
      </c>
      <c r="G242" s="67">
        <v>8.0901332522113594E-5</v>
      </c>
      <c r="H242" s="67">
        <v>0.32560329637581797</v>
      </c>
      <c r="I242" s="67">
        <v>6.7964790638740898E-6</v>
      </c>
      <c r="J242" s="67">
        <v>0.23537103705721399</v>
      </c>
      <c r="K242" s="67">
        <v>2.8295387408964201</v>
      </c>
      <c r="L242" s="67"/>
      <c r="M242" s="67"/>
      <c r="O242" s="11">
        <f t="shared" ca="1" si="86"/>
        <v>6.7513320563746367E-5</v>
      </c>
      <c r="P242" s="11">
        <f t="shared" ca="1" si="87"/>
        <v>6.0313788335693495E-6</v>
      </c>
      <c r="Q242" s="11">
        <f t="shared" ca="1" si="88"/>
        <v>1.6628860620948416E-2</v>
      </c>
      <c r="R242" s="11">
        <f t="shared" ca="1" si="89"/>
        <v>5.6377074043457986E-4</v>
      </c>
      <c r="S242" s="11">
        <f t="shared" ca="1" si="90"/>
        <v>6.9973680475143466E-5</v>
      </c>
      <c r="T242" s="11">
        <f t="shared" ca="1" si="91"/>
        <v>0.32446474133723568</v>
      </c>
      <c r="U242" s="11">
        <f t="shared" ca="1" si="92"/>
        <v>6.0313788335693495E-6</v>
      </c>
      <c r="V242" s="11">
        <f t="shared" ca="1" si="93"/>
        <v>0.23472084105152022</v>
      </c>
      <c r="W242" s="11">
        <f t="shared" ca="1" si="94"/>
        <v>2.822415892632915</v>
      </c>
      <c r="X242" s="11"/>
      <c r="Y242" s="2">
        <f t="shared" ca="1" si="95"/>
        <v>6.7513320563746367E-5</v>
      </c>
      <c r="Z242" s="11">
        <f t="shared" ca="1" si="96"/>
        <v>6.0313788335693495E-6</v>
      </c>
      <c r="AA242" s="2">
        <f t="shared" ca="1" si="97"/>
        <v>1.6628814476387012E-2</v>
      </c>
      <c r="AB242" s="2">
        <f t="shared" ca="1" si="98"/>
        <v>5.6265383230058596E-4</v>
      </c>
      <c r="AC242" s="2">
        <f t="shared" ca="1" si="99"/>
        <v>6.9973680475143466E-5</v>
      </c>
      <c r="AD242" s="2">
        <f t="shared" ca="1" si="100"/>
        <v>0.32445661884568849</v>
      </c>
      <c r="AE242" s="2">
        <f t="shared" ca="1" si="101"/>
        <v>6.0313788335693495E-6</v>
      </c>
      <c r="AF242" s="2">
        <f t="shared" ca="1" si="102"/>
        <v>0.23470884608740514</v>
      </c>
      <c r="AG242" s="2">
        <f t="shared" ca="1" si="103"/>
        <v>2.822411025355517</v>
      </c>
      <c r="AI242" s="2">
        <f t="shared" ca="1" si="104"/>
        <v>6.7513320563746367E-5</v>
      </c>
      <c r="AJ242" s="11">
        <f t="shared" ca="1" si="105"/>
        <v>6.0313788335693495E-6</v>
      </c>
      <c r="AK242" s="2">
        <f t="shared" ca="1" si="106"/>
        <v>1.6621698565328285E-2</v>
      </c>
      <c r="AL242" s="2">
        <f t="shared" ca="1" si="107"/>
        <v>5.5932328869102716E-4</v>
      </c>
      <c r="AM242" s="2">
        <f t="shared" ca="1" si="108"/>
        <v>6.9973680475143466E-5</v>
      </c>
      <c r="AN242" s="2">
        <f t="shared" ca="1" si="109"/>
        <v>0.32445661884568849</v>
      </c>
      <c r="AO242" s="2">
        <f t="shared" ca="1" si="110"/>
        <v>6.0313788335693495E-6</v>
      </c>
      <c r="AP242" s="2">
        <f t="shared" ca="1" si="111"/>
        <v>0.23470884608740514</v>
      </c>
      <c r="AQ242" s="2">
        <f t="shared" ca="1" si="112"/>
        <v>2.822411025355517</v>
      </c>
      <c r="AS242" s="2">
        <f t="shared" ca="1" si="113"/>
        <v>8.698682886161146</v>
      </c>
      <c r="AT242" s="2">
        <f t="shared" ca="1" si="114"/>
        <v>0.40074521122699114</v>
      </c>
      <c r="AU242" s="2">
        <f t="shared" ca="1" si="115"/>
        <v>2.2592842445905289E-4</v>
      </c>
      <c r="AV242" s="2">
        <f t="shared" ca="1" si="116"/>
        <v>0.23449491262706115</v>
      </c>
      <c r="AW242" s="2">
        <f t="shared" ca="1" si="117"/>
        <v>0.70905162140893674</v>
      </c>
      <c r="AX242" s="2">
        <f t="shared" ca="1" si="118"/>
        <v>5.3276474824981442E-2</v>
      </c>
      <c r="AY242" s="9">
        <f t="shared" ca="1" si="119"/>
        <v>0.70905162140893674</v>
      </c>
      <c r="AZ242" s="9">
        <f t="shared" ca="1" si="120"/>
        <v>0.70905162140893674</v>
      </c>
      <c r="BB242" s="2">
        <f t="shared" ca="1" si="121"/>
        <v>8.6988856488634472</v>
      </c>
      <c r="BC242" s="2">
        <f t="shared" ca="1" si="122"/>
        <v>0.40075466573102986</v>
      </c>
      <c r="BD242" s="2">
        <f t="shared" ca="1" si="123"/>
        <v>2.2415141759495291E-4</v>
      </c>
      <c r="BE242" s="2">
        <f t="shared" ca="1" si="124"/>
        <v>0.23448469466981017</v>
      </c>
      <c r="BF242" s="2">
        <f t="shared" ca="1" si="125"/>
        <v>0.70903015174738726</v>
      </c>
      <c r="BG242" s="2">
        <f t="shared" ca="1" si="126"/>
        <v>5.3256131997378879E-2</v>
      </c>
      <c r="BH242" s="2">
        <f t="shared" ca="1" si="127"/>
        <v>0.70903015174738726</v>
      </c>
      <c r="BI242" s="2">
        <f t="shared" ca="1" si="128"/>
        <v>0.70903015174738726</v>
      </c>
    </row>
    <row r="243" spans="1:61" ht="15" x14ac:dyDescent="0.25">
      <c r="A243" s="66">
        <v>177</v>
      </c>
      <c r="B243" s="66">
        <v>1498730212.7320001</v>
      </c>
      <c r="C243" s="67">
        <v>2.07865517045659E-5</v>
      </c>
      <c r="D243" s="67">
        <v>2.2743330703107099E-5</v>
      </c>
      <c r="E243" s="67">
        <v>1.72305549566109E-2</v>
      </c>
      <c r="F243" s="67">
        <v>6.4088926610778897E-4</v>
      </c>
      <c r="G243" s="67">
        <v>1.52076198626351E-4</v>
      </c>
      <c r="H243" s="67">
        <v>0.32091677457783702</v>
      </c>
      <c r="I243" s="67">
        <v>2.2743330703107099E-5</v>
      </c>
      <c r="J243" s="67">
        <v>0.231459843165542</v>
      </c>
      <c r="K243" s="67">
        <v>2.78375112672457</v>
      </c>
      <c r="L243" s="67"/>
      <c r="M243" s="67"/>
      <c r="O243" s="11">
        <f t="shared" ca="1" si="86"/>
        <v>7.9826209946058718E-6</v>
      </c>
      <c r="P243" s="11">
        <f t="shared" ca="1" si="87"/>
        <v>2.1978230472802357E-5</v>
      </c>
      <c r="Q243" s="11">
        <f t="shared" ca="1" si="88"/>
        <v>1.6394063344342617E-2</v>
      </c>
      <c r="R243" s="11">
        <f t="shared" ca="1" si="89"/>
        <v>6.2924277846144181E-4</v>
      </c>
      <c r="S243" s="11">
        <f t="shared" ca="1" si="90"/>
        <v>1.4114854657938089E-4</v>
      </c>
      <c r="T243" s="11">
        <f t="shared" ca="1" si="91"/>
        <v>0.31977821953925473</v>
      </c>
      <c r="U243" s="11">
        <f t="shared" ca="1" si="92"/>
        <v>2.1978230472802357E-5</v>
      </c>
      <c r="V243" s="11">
        <f t="shared" ca="1" si="93"/>
        <v>0.23080964715984822</v>
      </c>
      <c r="W243" s="11">
        <f t="shared" ca="1" si="94"/>
        <v>2.776628278461065</v>
      </c>
      <c r="X243" s="11"/>
      <c r="Y243" s="2">
        <f t="shared" ca="1" si="95"/>
        <v>7.9826209946058718E-6</v>
      </c>
      <c r="Z243" s="11">
        <f t="shared" ca="1" si="96"/>
        <v>2.1978230472802357E-5</v>
      </c>
      <c r="AA243" s="2">
        <f t="shared" ca="1" si="97"/>
        <v>1.639389519443302E-2</v>
      </c>
      <c r="AB243" s="2">
        <f t="shared" ca="1" si="98"/>
        <v>6.2517278633141037E-4</v>
      </c>
      <c r="AC243" s="2">
        <f t="shared" ca="1" si="99"/>
        <v>1.4114854657938089E-4</v>
      </c>
      <c r="AD243" s="2">
        <f t="shared" ca="1" si="100"/>
        <v>0.31974862133357668</v>
      </c>
      <c r="AE243" s="2">
        <f t="shared" ca="1" si="101"/>
        <v>2.1978230472802357E-5</v>
      </c>
      <c r="AF243" s="2">
        <f t="shared" ca="1" si="102"/>
        <v>0.23076593773732501</v>
      </c>
      <c r="AG243" s="2">
        <f t="shared" ca="1" si="103"/>
        <v>2.7766105421942204</v>
      </c>
      <c r="AI243" s="2">
        <f t="shared" ca="1" si="104"/>
        <v>7.9826209946058718E-6</v>
      </c>
      <c r="AJ243" s="11">
        <f t="shared" ca="1" si="105"/>
        <v>2.1978230472802357E-5</v>
      </c>
      <c r="AK243" s="2">
        <f t="shared" ca="1" si="106"/>
        <v>1.6367964949030062E-2</v>
      </c>
      <c r="AL243" s="2">
        <f t="shared" ca="1" si="107"/>
        <v>6.1303634836747567E-4</v>
      </c>
      <c r="AM243" s="2">
        <f t="shared" ca="1" si="108"/>
        <v>1.4114854657938089E-4</v>
      </c>
      <c r="AN243" s="2">
        <f t="shared" ca="1" si="109"/>
        <v>0.31974862133357668</v>
      </c>
      <c r="AO243" s="2">
        <f t="shared" ca="1" si="110"/>
        <v>2.1978230472802357E-5</v>
      </c>
      <c r="AP243" s="2">
        <f t="shared" ca="1" si="111"/>
        <v>0.23076593773732501</v>
      </c>
      <c r="AQ243" s="2">
        <f t="shared" ca="1" si="112"/>
        <v>2.7766105421942204</v>
      </c>
      <c r="AS243" s="2">
        <f t="shared" ca="1" si="113"/>
        <v>8.682981231372505</v>
      </c>
      <c r="AT243" s="2">
        <f t="shared" ca="1" si="114"/>
        <v>0.40001307602687475</v>
      </c>
      <c r="AU243" s="2">
        <f t="shared" ca="1" si="115"/>
        <v>2.5170533938005863E-4</v>
      </c>
      <c r="AV243" s="2">
        <f t="shared" ca="1" si="116"/>
        <v>0.23055794182046815</v>
      </c>
      <c r="AW243" s="2">
        <f t="shared" ca="1" si="117"/>
        <v>0.70800819345334898</v>
      </c>
      <c r="AX243" s="2">
        <f t="shared" ca="1" si="118"/>
        <v>5.319555531600232E-2</v>
      </c>
      <c r="AY243" s="9">
        <f t="shared" ca="1" si="119"/>
        <v>0.70800819345334898</v>
      </c>
      <c r="AZ243" s="9">
        <f t="shared" ca="1" si="120"/>
        <v>0.70800819345334898</v>
      </c>
      <c r="BB243" s="2">
        <f t="shared" ca="1" si="121"/>
        <v>8.6837295204395293</v>
      </c>
      <c r="BC243" s="2">
        <f t="shared" ca="1" si="122"/>
        <v>0.40004796681101334</v>
      </c>
      <c r="BD243" s="2">
        <f t="shared" ca="1" si="123"/>
        <v>2.4524394474565673E-4</v>
      </c>
      <c r="BE243" s="2">
        <f t="shared" ca="1" si="124"/>
        <v>0.23052069379257936</v>
      </c>
      <c r="BF243" s="2">
        <f t="shared" ca="1" si="125"/>
        <v>0.70792861534774787</v>
      </c>
      <c r="BG243" s="2">
        <f t="shared" ca="1" si="126"/>
        <v>5.312047129429591E-2</v>
      </c>
      <c r="BH243" s="2">
        <f t="shared" ca="1" si="127"/>
        <v>0.70792861534774787</v>
      </c>
      <c r="BI243" s="2">
        <f t="shared" ca="1" si="128"/>
        <v>0.70792861534774787</v>
      </c>
    </row>
    <row r="244" spans="1:61" ht="15" x14ac:dyDescent="0.25">
      <c r="A244" s="66">
        <v>178</v>
      </c>
      <c r="B244" s="66">
        <v>1498730213.2590001</v>
      </c>
      <c r="C244" s="67">
        <v>4.2283336749914901E-5</v>
      </c>
      <c r="D244" s="67">
        <v>1.46868970512839E-5</v>
      </c>
      <c r="E244" s="67">
        <v>1.68989843724578E-2</v>
      </c>
      <c r="F244" s="67">
        <v>4.8352553305153998E-4</v>
      </c>
      <c r="G244" s="67">
        <v>8.8982523343864402E-5</v>
      </c>
      <c r="H244" s="67">
        <v>0.31378061327935303</v>
      </c>
      <c r="I244" s="67">
        <v>1.46868970512839E-5</v>
      </c>
      <c r="J244" s="67">
        <v>0.22686071496872501</v>
      </c>
      <c r="K244" s="67">
        <v>2.7267286039081502</v>
      </c>
      <c r="L244" s="67"/>
      <c r="M244" s="67"/>
      <c r="O244" s="11">
        <f t="shared" ca="1" si="86"/>
        <v>2.9479406039954874E-5</v>
      </c>
      <c r="P244" s="11">
        <f t="shared" ca="1" si="87"/>
        <v>1.3921796820979159E-5</v>
      </c>
      <c r="Q244" s="11">
        <f t="shared" ca="1" si="88"/>
        <v>1.6062492760189517E-2</v>
      </c>
      <c r="R244" s="11">
        <f t="shared" ca="1" si="89"/>
        <v>4.7187904540519287E-4</v>
      </c>
      <c r="S244" s="11">
        <f t="shared" ca="1" si="90"/>
        <v>7.8054871296894275E-5</v>
      </c>
      <c r="T244" s="11">
        <f t="shared" ca="1" si="91"/>
        <v>0.31264205824077074</v>
      </c>
      <c r="U244" s="11">
        <f t="shared" ca="1" si="92"/>
        <v>1.3921796820979159E-5</v>
      </c>
      <c r="V244" s="11">
        <f t="shared" ca="1" si="93"/>
        <v>0.22621051896303124</v>
      </c>
      <c r="W244" s="11">
        <f t="shared" ca="1" si="94"/>
        <v>2.7196057556446451</v>
      </c>
      <c r="X244" s="11"/>
      <c r="Y244" s="2">
        <f t="shared" ca="1" si="95"/>
        <v>2.9479406039954874E-5</v>
      </c>
      <c r="Z244" s="11">
        <f t="shared" ca="1" si="96"/>
        <v>1.3921796820979159E-5</v>
      </c>
      <c r="AA244" s="2">
        <f t="shared" ca="1" si="97"/>
        <v>1.6062386248026049E-2</v>
      </c>
      <c r="AB244" s="2">
        <f t="shared" ca="1" si="98"/>
        <v>4.6930096690304046E-4</v>
      </c>
      <c r="AC244" s="2">
        <f t="shared" ca="1" si="99"/>
        <v>7.8054871296894275E-5</v>
      </c>
      <c r="AD244" s="2">
        <f t="shared" ca="1" si="100"/>
        <v>0.31262330967926916</v>
      </c>
      <c r="AE244" s="2">
        <f t="shared" ca="1" si="101"/>
        <v>1.3921796820979159E-5</v>
      </c>
      <c r="AF244" s="2">
        <f t="shared" ca="1" si="102"/>
        <v>0.22618283185235671</v>
      </c>
      <c r="AG244" s="2">
        <f t="shared" ca="1" si="103"/>
        <v>2.7195945208592209</v>
      </c>
      <c r="AI244" s="2">
        <f t="shared" ca="1" si="104"/>
        <v>2.9479406039954874E-5</v>
      </c>
      <c r="AJ244" s="11">
        <f t="shared" ca="1" si="105"/>
        <v>1.3921796820979159E-5</v>
      </c>
      <c r="AK244" s="2">
        <f t="shared" ca="1" si="106"/>
        <v>1.604596110367856E-2</v>
      </c>
      <c r="AL244" s="2">
        <f t="shared" ca="1" si="107"/>
        <v>4.6161331326443646E-4</v>
      </c>
      <c r="AM244" s="2">
        <f t="shared" ca="1" si="108"/>
        <v>7.8054871296894275E-5</v>
      </c>
      <c r="AN244" s="2">
        <f t="shared" ca="1" si="109"/>
        <v>0.31262330967926916</v>
      </c>
      <c r="AO244" s="2">
        <f t="shared" ca="1" si="110"/>
        <v>1.3921796820979159E-5</v>
      </c>
      <c r="AP244" s="2">
        <f t="shared" ca="1" si="111"/>
        <v>0.22618283185235671</v>
      </c>
      <c r="AQ244" s="2">
        <f t="shared" ca="1" si="112"/>
        <v>2.7195945208592209</v>
      </c>
      <c r="AS244" s="2">
        <f t="shared" ca="1" si="113"/>
        <v>8.698784069385292</v>
      </c>
      <c r="AT244" s="2">
        <f t="shared" ca="1" si="114"/>
        <v>0.40074992924032754</v>
      </c>
      <c r="AU244" s="2">
        <f t="shared" ca="1" si="115"/>
        <v>1.8910549405612434E-4</v>
      </c>
      <c r="AV244" s="2">
        <f t="shared" ca="1" si="116"/>
        <v>0.22602141346897511</v>
      </c>
      <c r="AW244" s="2">
        <f t="shared" ca="1" si="117"/>
        <v>0.70926998365550131</v>
      </c>
      <c r="AX244" s="2">
        <f t="shared" ca="1" si="118"/>
        <v>5.3408602068618881E-2</v>
      </c>
      <c r="AY244" s="9">
        <f t="shared" ca="1" si="119"/>
        <v>0.70926998365550131</v>
      </c>
      <c r="AZ244" s="9">
        <f t="shared" ca="1" si="120"/>
        <v>0.70926998365550131</v>
      </c>
      <c r="BB244" s="2">
        <f t="shared" ca="1" si="121"/>
        <v>8.6992698134036939</v>
      </c>
      <c r="BC244" s="2">
        <f t="shared" ca="1" si="122"/>
        <v>0.40077257872312472</v>
      </c>
      <c r="BD244" s="2">
        <f t="shared" ca="1" si="123"/>
        <v>1.8500195792991379E-4</v>
      </c>
      <c r="BE244" s="2">
        <f t="shared" ca="1" si="124"/>
        <v>0.22599782989442679</v>
      </c>
      <c r="BF244" s="2">
        <f t="shared" ca="1" si="125"/>
        <v>0.70921856499589653</v>
      </c>
      <c r="BG244" s="2">
        <f t="shared" ca="1" si="126"/>
        <v>5.3359881928774548E-2</v>
      </c>
      <c r="BH244" s="2">
        <f t="shared" ca="1" si="127"/>
        <v>0.70921856499589653</v>
      </c>
      <c r="BI244" s="2">
        <f t="shared" ca="1" si="128"/>
        <v>0.70921856499589653</v>
      </c>
    </row>
    <row r="245" spans="1:61" ht="15" x14ac:dyDescent="0.25">
      <c r="A245" s="66">
        <v>179</v>
      </c>
      <c r="B245" s="66">
        <v>1498730213.7850001</v>
      </c>
      <c r="C245" s="67">
        <v>-1.22845158521407E-5</v>
      </c>
      <c r="D245" s="67">
        <v>2.9264559710593001E-5</v>
      </c>
      <c r="E245" s="67">
        <v>1.6489802445833E-2</v>
      </c>
      <c r="F245" s="67">
        <v>4.7614599678422903E-4</v>
      </c>
      <c r="G245" s="67">
        <v>-9.0960973751770199E-5</v>
      </c>
      <c r="H245" s="67">
        <v>0.30905031694311702</v>
      </c>
      <c r="I245" s="67">
        <v>2.9264559710593001E-5</v>
      </c>
      <c r="J245" s="67">
        <v>0.223246888659068</v>
      </c>
      <c r="K245" s="67">
        <v>2.6835893173117702</v>
      </c>
      <c r="L245" s="67"/>
      <c r="M245" s="67"/>
      <c r="O245" s="11">
        <f t="shared" ca="1" si="86"/>
        <v>-2.5088446562100728E-5</v>
      </c>
      <c r="P245" s="11">
        <f t="shared" ca="1" si="87"/>
        <v>2.8499459480288259E-5</v>
      </c>
      <c r="Q245" s="11">
        <f t="shared" ca="1" si="88"/>
        <v>1.5653310833564717E-2</v>
      </c>
      <c r="R245" s="11">
        <f t="shared" ca="1" si="89"/>
        <v>4.6449950913788192E-4</v>
      </c>
      <c r="S245" s="11">
        <f t="shared" ca="1" si="90"/>
        <v>-1.0188862579874033E-4</v>
      </c>
      <c r="T245" s="11">
        <f t="shared" ca="1" si="91"/>
        <v>0.30791176190453473</v>
      </c>
      <c r="U245" s="11">
        <f t="shared" ca="1" si="92"/>
        <v>2.8499459480288259E-5</v>
      </c>
      <c r="V245" s="11">
        <f t="shared" ca="1" si="93"/>
        <v>0.22259669265337423</v>
      </c>
      <c r="W245" s="11">
        <f t="shared" ca="1" si="94"/>
        <v>2.6764664690482651</v>
      </c>
      <c r="X245" s="11"/>
      <c r="Y245" s="2">
        <f t="shared" ca="1" si="95"/>
        <v>-2.5088446562100728E-5</v>
      </c>
      <c r="Z245" s="11">
        <f t="shared" ca="1" si="96"/>
        <v>2.8499459480288259E-5</v>
      </c>
      <c r="AA245" s="2">
        <f t="shared" ca="1" si="97"/>
        <v>1.5653092791373325E-2</v>
      </c>
      <c r="AB245" s="2">
        <f t="shared" ca="1" si="98"/>
        <v>4.5922189700534641E-4</v>
      </c>
      <c r="AC245" s="2">
        <f t="shared" ca="1" si="99"/>
        <v>-1.0188862579874033E-4</v>
      </c>
      <c r="AD245" s="2">
        <f t="shared" ca="1" si="100"/>
        <v>0.30787338152334554</v>
      </c>
      <c r="AE245" s="2">
        <f t="shared" ca="1" si="101"/>
        <v>2.8499459480288259E-5</v>
      </c>
      <c r="AF245" s="2">
        <f t="shared" ca="1" si="102"/>
        <v>0.22254001407237339</v>
      </c>
      <c r="AG245" s="2">
        <f t="shared" ca="1" si="103"/>
        <v>2.6764434701986133</v>
      </c>
      <c r="AI245" s="2">
        <f t="shared" ca="1" si="104"/>
        <v>-2.5088446562100728E-5</v>
      </c>
      <c r="AJ245" s="11">
        <f t="shared" ca="1" si="105"/>
        <v>2.8499459480288259E-5</v>
      </c>
      <c r="AK245" s="2">
        <f t="shared" ca="1" si="106"/>
        <v>1.5619468702341677E-2</v>
      </c>
      <c r="AL245" s="2">
        <f t="shared" ca="1" si="107"/>
        <v>4.4348441884866719E-4</v>
      </c>
      <c r="AM245" s="2">
        <f t="shared" ca="1" si="108"/>
        <v>-1.0188862579874033E-4</v>
      </c>
      <c r="AN245" s="2">
        <f t="shared" ca="1" si="109"/>
        <v>0.30787338152334554</v>
      </c>
      <c r="AO245" s="2">
        <f t="shared" ca="1" si="110"/>
        <v>2.8499459480288259E-5</v>
      </c>
      <c r="AP245" s="2">
        <f t="shared" ca="1" si="111"/>
        <v>0.22254001407237339</v>
      </c>
      <c r="AQ245" s="2">
        <f t="shared" ca="1" si="112"/>
        <v>2.6764434701986133</v>
      </c>
      <c r="AS245" s="2">
        <f t="shared" ca="1" si="113"/>
        <v>8.6923164366747354</v>
      </c>
      <c r="AT245" s="2">
        <f t="shared" ca="1" si="114"/>
        <v>0.40044835511899679</v>
      </c>
      <c r="AU245" s="2">
        <f t="shared" ca="1" si="115"/>
        <v>1.8600806438784622E-4</v>
      </c>
      <c r="AV245" s="2">
        <f t="shared" ca="1" si="116"/>
        <v>0.22241068458898638</v>
      </c>
      <c r="AW245" s="2">
        <f t="shared" ca="1" si="117"/>
        <v>0.70892686677626648</v>
      </c>
      <c r="AX245" s="2">
        <f t="shared" ca="1" si="118"/>
        <v>5.2807433971403903E-2</v>
      </c>
      <c r="AY245" s="9">
        <f t="shared" ca="1" si="119"/>
        <v>0.70892686677626648</v>
      </c>
      <c r="AZ245" s="9">
        <f t="shared" ca="1" si="120"/>
        <v>0.70892686677626648</v>
      </c>
      <c r="BB245" s="2">
        <f t="shared" ca="1" si="121"/>
        <v>8.6933253435411491</v>
      </c>
      <c r="BC245" s="2">
        <f t="shared" ca="1" si="122"/>
        <v>0.40049539845880089</v>
      </c>
      <c r="BD245" s="2">
        <f t="shared" ca="1" si="123"/>
        <v>1.7761346903706672E-4</v>
      </c>
      <c r="BE245" s="2">
        <f t="shared" ca="1" si="124"/>
        <v>0.22236240060333631</v>
      </c>
      <c r="BF245" s="2">
        <f t="shared" ca="1" si="125"/>
        <v>0.70881989043324267</v>
      </c>
      <c r="BG245" s="2">
        <f t="shared" ca="1" si="126"/>
        <v>5.2706093330030235E-2</v>
      </c>
      <c r="BH245" s="2">
        <f t="shared" ca="1" si="127"/>
        <v>0.70881989043324267</v>
      </c>
      <c r="BI245" s="2">
        <f t="shared" ca="1" si="128"/>
        <v>0.70881989043324267</v>
      </c>
    </row>
    <row r="246" spans="1:61" ht="15" x14ac:dyDescent="0.25">
      <c r="A246" s="66">
        <v>180</v>
      </c>
      <c r="B246" s="66">
        <v>1498730214.312</v>
      </c>
      <c r="C246" s="67">
        <v>-1.02279482330948E-4</v>
      </c>
      <c r="D246" s="67">
        <v>1.30804137565718E-5</v>
      </c>
      <c r="E246" s="67">
        <v>1.66276263993064E-2</v>
      </c>
      <c r="F246" s="67">
        <v>5.1494868490481699E-4</v>
      </c>
      <c r="G246" s="67">
        <v>-9.4283383798166105E-5</v>
      </c>
      <c r="H246" s="67">
        <v>0.31107703560275302</v>
      </c>
      <c r="I246" s="67">
        <v>1.30804137565718E-5</v>
      </c>
      <c r="J246" s="67">
        <v>0.22464825960402299</v>
      </c>
      <c r="K246" s="67">
        <v>2.7021401321254599</v>
      </c>
      <c r="L246" s="67"/>
      <c r="M246" s="67"/>
      <c r="O246" s="11">
        <f t="shared" ca="1" si="86"/>
        <v>-1.1508341304090802E-4</v>
      </c>
      <c r="P246" s="11">
        <f t="shared" ca="1" si="87"/>
        <v>1.231531352626706E-5</v>
      </c>
      <c r="Q246" s="11">
        <f t="shared" ca="1" si="88"/>
        <v>1.5791134787038117E-2</v>
      </c>
      <c r="R246" s="11">
        <f t="shared" ca="1" si="89"/>
        <v>5.0330219725846983E-4</v>
      </c>
      <c r="S246" s="11">
        <f t="shared" ca="1" si="90"/>
        <v>-1.0521103584513623E-4</v>
      </c>
      <c r="T246" s="11">
        <f t="shared" ca="1" si="91"/>
        <v>0.30993848056417073</v>
      </c>
      <c r="U246" s="11">
        <f t="shared" ca="1" si="92"/>
        <v>1.231531352626706E-5</v>
      </c>
      <c r="V246" s="11">
        <f t="shared" ca="1" si="93"/>
        <v>0.22399806359832922</v>
      </c>
      <c r="W246" s="11">
        <f t="shared" ca="1" si="94"/>
        <v>2.6950172838619548</v>
      </c>
      <c r="X246" s="11"/>
      <c r="Y246" s="2">
        <f t="shared" ca="1" si="95"/>
        <v>-1.1508341304090802E-4</v>
      </c>
      <c r="Z246" s="11">
        <f t="shared" ca="1" si="96"/>
        <v>1.231531352626706E-5</v>
      </c>
      <c r="AA246" s="2">
        <f t="shared" ca="1" si="97"/>
        <v>1.5791040565673996E-2</v>
      </c>
      <c r="AB246" s="2">
        <f t="shared" ca="1" si="98"/>
        <v>5.0102161196782032E-4</v>
      </c>
      <c r="AC246" s="2">
        <f t="shared" ca="1" si="99"/>
        <v>-1.0521103584513623E-4</v>
      </c>
      <c r="AD246" s="2">
        <f t="shared" ca="1" si="100"/>
        <v>0.30992189546269083</v>
      </c>
      <c r="AE246" s="2">
        <f t="shared" ca="1" si="101"/>
        <v>1.231531352626706E-5</v>
      </c>
      <c r="AF246" s="2">
        <f t="shared" ca="1" si="102"/>
        <v>0.22397357139714444</v>
      </c>
      <c r="AG246" s="2">
        <f t="shared" ca="1" si="103"/>
        <v>2.695007345496478</v>
      </c>
      <c r="AI246" s="2">
        <f t="shared" ca="1" si="104"/>
        <v>-1.1508341304090802E-4</v>
      </c>
      <c r="AJ246" s="11">
        <f t="shared" ca="1" si="105"/>
        <v>1.231531352626706E-5</v>
      </c>
      <c r="AK246" s="2">
        <f t="shared" ca="1" si="106"/>
        <v>1.5776510774372296E-2</v>
      </c>
      <c r="AL246" s="2">
        <f t="shared" ca="1" si="107"/>
        <v>4.942210627241993E-4</v>
      </c>
      <c r="AM246" s="2">
        <f t="shared" ca="1" si="108"/>
        <v>-1.0521103584513623E-4</v>
      </c>
      <c r="AN246" s="2">
        <f t="shared" ca="1" si="109"/>
        <v>0.30992189546269083</v>
      </c>
      <c r="AO246" s="2">
        <f t="shared" ca="1" si="110"/>
        <v>1.231531352626706E-5</v>
      </c>
      <c r="AP246" s="2">
        <f t="shared" ca="1" si="111"/>
        <v>0.22397357139714444</v>
      </c>
      <c r="AQ246" s="2">
        <f t="shared" ca="1" si="112"/>
        <v>2.695007345496478</v>
      </c>
      <c r="AS246" s="2">
        <f t="shared" ca="1" si="113"/>
        <v>8.6953297278747197</v>
      </c>
      <c r="AT246" s="2">
        <f t="shared" ca="1" si="114"/>
        <v>0.40058885914842635</v>
      </c>
      <c r="AU246" s="2">
        <f t="shared" ca="1" si="115"/>
        <v>2.0161725300666666E-4</v>
      </c>
      <c r="AV246" s="2">
        <f t="shared" ca="1" si="116"/>
        <v>0.22379644634532256</v>
      </c>
      <c r="AW246" s="2">
        <f t="shared" ca="1" si="117"/>
        <v>0.70855562392404203</v>
      </c>
      <c r="AX246" s="2">
        <f t="shared" ca="1" si="118"/>
        <v>5.2942811677514898E-2</v>
      </c>
      <c r="AY246" s="9">
        <f t="shared" ca="1" si="119"/>
        <v>0.70855562392404203</v>
      </c>
      <c r="AZ246" s="9">
        <f t="shared" ca="1" si="120"/>
        <v>0.70855562392404203</v>
      </c>
      <c r="BB246" s="2">
        <f t="shared" ca="1" si="121"/>
        <v>8.695762980776264</v>
      </c>
      <c r="BC246" s="2">
        <f t="shared" ca="1" si="122"/>
        <v>0.40060906095460036</v>
      </c>
      <c r="BD246" s="2">
        <f t="shared" ca="1" si="123"/>
        <v>1.9798943584192611E-4</v>
      </c>
      <c r="BE246" s="2">
        <f t="shared" ca="1" si="124"/>
        <v>0.22377558196130251</v>
      </c>
      <c r="BF246" s="2">
        <f t="shared" ca="1" si="125"/>
        <v>0.70850970205271113</v>
      </c>
      <c r="BG246" s="2">
        <f t="shared" ca="1" si="126"/>
        <v>5.2899309318673468E-2</v>
      </c>
      <c r="BH246" s="2">
        <f t="shared" ca="1" si="127"/>
        <v>0.70850970205271113</v>
      </c>
      <c r="BI246" s="2">
        <f t="shared" ca="1" si="128"/>
        <v>0.70850970205271113</v>
      </c>
    </row>
    <row r="247" spans="1:61" ht="15" x14ac:dyDescent="0.25">
      <c r="A247" s="66">
        <v>181</v>
      </c>
      <c r="B247" s="66">
        <v>1498730214.839</v>
      </c>
      <c r="C247" s="67">
        <v>-1.6536430278375002E-5</v>
      </c>
      <c r="D247" s="67">
        <v>-3.2929560917300098E-5</v>
      </c>
      <c r="E247" s="67">
        <v>1.6402435147319101E-2</v>
      </c>
      <c r="F247" s="67">
        <v>3.8830989683816399E-4</v>
      </c>
      <c r="G247" s="67">
        <v>-9.7417185950996496E-5</v>
      </c>
      <c r="H247" s="67">
        <v>0.306965746634487</v>
      </c>
      <c r="I247" s="67">
        <v>-3.2929560917300098E-5</v>
      </c>
      <c r="J247" s="67">
        <v>0.221704520470453</v>
      </c>
      <c r="K247" s="67">
        <v>2.6664908148361901</v>
      </c>
      <c r="L247" s="67"/>
      <c r="M247" s="67"/>
      <c r="O247" s="11">
        <f t="shared" ca="1" si="86"/>
        <v>-2.9340360988335029E-5</v>
      </c>
      <c r="P247" s="11">
        <f t="shared" ca="1" si="87"/>
        <v>-3.3694661147604837E-5</v>
      </c>
      <c r="Q247" s="11">
        <f t="shared" ca="1" si="88"/>
        <v>1.5565943535050817E-2</v>
      </c>
      <c r="R247" s="11">
        <f t="shared" ca="1" si="89"/>
        <v>3.7666340919181689E-4</v>
      </c>
      <c r="S247" s="11">
        <f t="shared" ca="1" si="90"/>
        <v>-1.0834483799796662E-4</v>
      </c>
      <c r="T247" s="11">
        <f t="shared" ca="1" si="91"/>
        <v>0.30582719159590471</v>
      </c>
      <c r="U247" s="11">
        <f t="shared" ca="1" si="92"/>
        <v>-3.3694661147604837E-5</v>
      </c>
      <c r="V247" s="11">
        <f t="shared" ca="1" si="93"/>
        <v>0.22105432446475923</v>
      </c>
      <c r="W247" s="11">
        <f t="shared" ca="1" si="94"/>
        <v>2.659367966572685</v>
      </c>
      <c r="X247" s="11"/>
      <c r="Y247" s="2">
        <f t="shared" ca="1" si="95"/>
        <v>-2.9340360988335029E-5</v>
      </c>
      <c r="Z247" s="11">
        <f t="shared" ca="1" si="96"/>
        <v>-3.3694661147604837E-5</v>
      </c>
      <c r="AA247" s="2">
        <f t="shared" ca="1" si="97"/>
        <v>1.5565943535050817E-2</v>
      </c>
      <c r="AB247" s="2">
        <f t="shared" ca="1" si="98"/>
        <v>3.7666340919181689E-4</v>
      </c>
      <c r="AC247" s="2">
        <f t="shared" ca="1" si="99"/>
        <v>-1.0834483799796662E-4</v>
      </c>
      <c r="AD247" s="2">
        <f t="shared" ca="1" si="100"/>
        <v>0.30582719159590471</v>
      </c>
      <c r="AE247" s="2">
        <f t="shared" ca="1" si="101"/>
        <v>-3.3694661147604837E-5</v>
      </c>
      <c r="AF247" s="2">
        <f t="shared" ca="1" si="102"/>
        <v>0.22105432446475923</v>
      </c>
      <c r="AG247" s="2">
        <f t="shared" ca="1" si="103"/>
        <v>2.659367966572685</v>
      </c>
      <c r="AI247" s="2">
        <f t="shared" ca="1" si="104"/>
        <v>-2.9340360988335029E-5</v>
      </c>
      <c r="AJ247" s="11">
        <f t="shared" ca="1" si="105"/>
        <v>-3.3694661147604837E-5</v>
      </c>
      <c r="AK247" s="2">
        <f t="shared" ca="1" si="106"/>
        <v>1.5565943535050817E-2</v>
      </c>
      <c r="AL247" s="2">
        <f t="shared" ca="1" si="107"/>
        <v>3.7666340919181689E-4</v>
      </c>
      <c r="AM247" s="2">
        <f t="shared" ca="1" si="108"/>
        <v>-1.0834483799796662E-4</v>
      </c>
      <c r="AN247" s="2">
        <f t="shared" ca="1" si="109"/>
        <v>0.30582719159590471</v>
      </c>
      <c r="AO247" s="2">
        <f t="shared" ca="1" si="110"/>
        <v>-3.3694661147604837E-5</v>
      </c>
      <c r="AP247" s="2">
        <f t="shared" ca="1" si="111"/>
        <v>0.22105432446475923</v>
      </c>
      <c r="AQ247" s="2">
        <f t="shared" ca="1" si="112"/>
        <v>2.659367966572685</v>
      </c>
      <c r="AS247" s="2">
        <f t="shared" ca="1" si="113"/>
        <v>8.6956557155537642</v>
      </c>
      <c r="AT247" s="2">
        <f t="shared" ca="1" si="114"/>
        <v>0.4006040593684157</v>
      </c>
      <c r="AU247" s="2">
        <f t="shared" ca="1" si="115"/>
        <v>1.5089289073778848E-4</v>
      </c>
      <c r="AV247" s="2">
        <f t="shared" ca="1" si="116"/>
        <v>0.22090343157402145</v>
      </c>
      <c r="AW247" s="2">
        <f t="shared" ca="1" si="117"/>
        <v>0.70878485559789539</v>
      </c>
      <c r="AX247" s="2">
        <f t="shared" ca="1" si="118"/>
        <v>5.2891413700825493E-2</v>
      </c>
      <c r="AY247" s="9">
        <f t="shared" ca="1" si="119"/>
        <v>0.70878485559789539</v>
      </c>
      <c r="AZ247" s="9">
        <f t="shared" ca="1" si="120"/>
        <v>0.70878485559789539</v>
      </c>
      <c r="BB247" s="2">
        <f t="shared" ca="1" si="121"/>
        <v>8.6956557155537642</v>
      </c>
      <c r="BC247" s="2">
        <f t="shared" ca="1" si="122"/>
        <v>0.4006040593684157</v>
      </c>
      <c r="BD247" s="2">
        <f t="shared" ca="1" si="123"/>
        <v>1.5089289073778848E-4</v>
      </c>
      <c r="BE247" s="2">
        <f t="shared" ca="1" si="124"/>
        <v>0.22090343157402145</v>
      </c>
      <c r="BF247" s="2">
        <f t="shared" ca="1" si="125"/>
        <v>0.70878485559789539</v>
      </c>
      <c r="BG247" s="2">
        <f t="shared" ca="1" si="126"/>
        <v>5.2891413700825493E-2</v>
      </c>
      <c r="BH247" s="2">
        <f t="shared" ca="1" si="127"/>
        <v>0.70878485559789539</v>
      </c>
      <c r="BI247" s="2">
        <f t="shared" ca="1" si="128"/>
        <v>0.70878485559789539</v>
      </c>
    </row>
    <row r="248" spans="1:61" ht="15" x14ac:dyDescent="0.25">
      <c r="A248" s="66">
        <v>182</v>
      </c>
      <c r="B248" s="66">
        <v>1498730215.3659999</v>
      </c>
      <c r="C248" s="67">
        <v>-1.15978787556927E-4</v>
      </c>
      <c r="D248" s="67">
        <v>-2.30349666781669E-5</v>
      </c>
      <c r="E248" s="67">
        <v>1.52511941376686E-2</v>
      </c>
      <c r="F248" s="67">
        <v>4.1187492159639198E-4</v>
      </c>
      <c r="G248" s="67">
        <v>-1.5595153770976301E-4</v>
      </c>
      <c r="H248" s="67">
        <v>0.28430513864465501</v>
      </c>
      <c r="I248" s="67">
        <v>-2.30349666781669E-5</v>
      </c>
      <c r="J248" s="67">
        <v>0.20527463788615</v>
      </c>
      <c r="K248" s="67">
        <v>2.4683629026368901</v>
      </c>
      <c r="L248" s="67"/>
      <c r="M248" s="67"/>
      <c r="O248" s="11">
        <f t="shared" ca="1" si="86"/>
        <v>-1.2878271826688702E-4</v>
      </c>
      <c r="P248" s="11">
        <f t="shared" ca="1" si="87"/>
        <v>-2.3800066908471642E-5</v>
      </c>
      <c r="Q248" s="11">
        <f t="shared" ca="1" si="88"/>
        <v>1.4414702525400315E-2</v>
      </c>
      <c r="R248" s="11">
        <f t="shared" ca="1" si="89"/>
        <v>4.0022843395004487E-4</v>
      </c>
      <c r="S248" s="11">
        <f t="shared" ca="1" si="90"/>
        <v>-1.6687918975673313E-4</v>
      </c>
      <c r="T248" s="11">
        <f t="shared" ca="1" si="91"/>
        <v>0.28316658360607272</v>
      </c>
      <c r="U248" s="11">
        <f t="shared" ca="1" si="92"/>
        <v>-2.3800066908471642E-5</v>
      </c>
      <c r="V248" s="11">
        <f t="shared" ca="1" si="93"/>
        <v>0.20462444188045623</v>
      </c>
      <c r="W248" s="11">
        <f t="shared" ca="1" si="94"/>
        <v>2.461240054373385</v>
      </c>
      <c r="X248" s="11"/>
      <c r="Y248" s="2">
        <f t="shared" ca="1" si="95"/>
        <v>-1.2878271826688702E-4</v>
      </c>
      <c r="Z248" s="11">
        <f t="shared" ca="1" si="96"/>
        <v>-2.3800066908471642E-5</v>
      </c>
      <c r="AA248" s="2">
        <f t="shared" ca="1" si="97"/>
        <v>1.4414702525400315E-2</v>
      </c>
      <c r="AB248" s="2">
        <f t="shared" ca="1" si="98"/>
        <v>4.0022843395004487E-4</v>
      </c>
      <c r="AC248" s="2">
        <f t="shared" ca="1" si="99"/>
        <v>-1.6687918975673313E-4</v>
      </c>
      <c r="AD248" s="2">
        <f t="shared" ca="1" si="100"/>
        <v>0.28316658360607272</v>
      </c>
      <c r="AE248" s="2">
        <f t="shared" ca="1" si="101"/>
        <v>-2.3800066908471642E-5</v>
      </c>
      <c r="AF248" s="2">
        <f t="shared" ca="1" si="102"/>
        <v>0.20462444188045623</v>
      </c>
      <c r="AG248" s="2">
        <f t="shared" ca="1" si="103"/>
        <v>2.461240054373385</v>
      </c>
      <c r="AI248" s="2">
        <f t="shared" ca="1" si="104"/>
        <v>-1.2878271826688702E-4</v>
      </c>
      <c r="AJ248" s="11">
        <f t="shared" ca="1" si="105"/>
        <v>-2.3800066908471642E-5</v>
      </c>
      <c r="AK248" s="2">
        <f t="shared" ca="1" si="106"/>
        <v>1.4414702525400315E-2</v>
      </c>
      <c r="AL248" s="2">
        <f t="shared" ca="1" si="107"/>
        <v>4.0022843395004487E-4</v>
      </c>
      <c r="AM248" s="2">
        <f t="shared" ca="1" si="108"/>
        <v>-1.6687918975673313E-4</v>
      </c>
      <c r="AN248" s="2">
        <f t="shared" ca="1" si="109"/>
        <v>0.28316658360607272</v>
      </c>
      <c r="AO248" s="2">
        <f t="shared" ca="1" si="110"/>
        <v>-2.3800066908471642E-5</v>
      </c>
      <c r="AP248" s="2">
        <f t="shared" ca="1" si="111"/>
        <v>0.20462444188045623</v>
      </c>
      <c r="AQ248" s="2">
        <f t="shared" ca="1" si="112"/>
        <v>2.461240054373385</v>
      </c>
      <c r="AS248" s="2">
        <f t="shared" ca="1" si="113"/>
        <v>8.691845001729936</v>
      </c>
      <c r="AT248" s="2">
        <f t="shared" ca="1" si="114"/>
        <v>0.40042637305887085</v>
      </c>
      <c r="AU248" s="2">
        <f t="shared" ca="1" si="115"/>
        <v>1.6026202020164832E-4</v>
      </c>
      <c r="AV248" s="2">
        <f t="shared" ca="1" si="116"/>
        <v>0.20446417986025459</v>
      </c>
      <c r="AW248" s="2">
        <f t="shared" ca="1" si="117"/>
        <v>0.70869466471007936</v>
      </c>
      <c r="AX248" s="2">
        <f t="shared" ca="1" si="118"/>
        <v>5.2875527718569369E-2</v>
      </c>
      <c r="AY248" s="9">
        <f t="shared" ca="1" si="119"/>
        <v>0.70869466471007936</v>
      </c>
      <c r="AZ248" s="9">
        <f t="shared" ca="1" si="120"/>
        <v>0.70869466471007936</v>
      </c>
      <c r="BB248" s="2">
        <f t="shared" ca="1" si="121"/>
        <v>8.691845001729936</v>
      </c>
      <c r="BC248" s="2">
        <f t="shared" ca="1" si="122"/>
        <v>0.40042637305887085</v>
      </c>
      <c r="BD248" s="2">
        <f t="shared" ca="1" si="123"/>
        <v>1.6026202020164832E-4</v>
      </c>
      <c r="BE248" s="2">
        <f t="shared" ca="1" si="124"/>
        <v>0.20446417986025459</v>
      </c>
      <c r="BF248" s="2">
        <f t="shared" ca="1" si="125"/>
        <v>0.70869466471007936</v>
      </c>
      <c r="BG248" s="2">
        <f t="shared" ca="1" si="126"/>
        <v>5.2875527718569369E-2</v>
      </c>
      <c r="BH248" s="2">
        <f t="shared" ca="1" si="127"/>
        <v>0.70869466471007936</v>
      </c>
      <c r="BI248" s="2">
        <f t="shared" ca="1" si="128"/>
        <v>0.70869466471007936</v>
      </c>
    </row>
    <row r="249" spans="1:61" ht="15" x14ac:dyDescent="0.25">
      <c r="A249" s="66">
        <v>183</v>
      </c>
      <c r="B249" s="66">
        <v>1498730215.8929999</v>
      </c>
      <c r="C249" s="67">
        <v>5.1732620392753702E-5</v>
      </c>
      <c r="D249" s="67">
        <v>-3.4554018323744901E-6</v>
      </c>
      <c r="E249" s="67">
        <v>1.52275703771427E-2</v>
      </c>
      <c r="F249" s="67">
        <v>5.02569749502984E-4</v>
      </c>
      <c r="G249" s="67">
        <v>7.5035225630824194E-5</v>
      </c>
      <c r="H249" s="67">
        <v>0.282006667617063</v>
      </c>
      <c r="I249" s="67">
        <v>-3.4554018323744901E-6</v>
      </c>
      <c r="J249" s="67">
        <v>0.20361573106525599</v>
      </c>
      <c r="K249" s="67">
        <v>2.4481384931607799</v>
      </c>
      <c r="L249" s="67"/>
      <c r="M249" s="67"/>
      <c r="O249" s="11">
        <f t="shared" ca="1" si="86"/>
        <v>3.8928689682793674E-5</v>
      </c>
      <c r="P249" s="11">
        <f t="shared" ca="1" si="87"/>
        <v>-4.2205020626792304E-6</v>
      </c>
      <c r="Q249" s="11">
        <f t="shared" ca="1" si="88"/>
        <v>1.4391078764874415E-2</v>
      </c>
      <c r="R249" s="11">
        <f t="shared" ca="1" si="89"/>
        <v>4.9092326185663684E-4</v>
      </c>
      <c r="S249" s="11">
        <f t="shared" ca="1" si="90"/>
        <v>6.4107573583854066E-5</v>
      </c>
      <c r="T249" s="11">
        <f t="shared" ca="1" si="91"/>
        <v>0.28086811257848071</v>
      </c>
      <c r="U249" s="11">
        <f t="shared" ca="1" si="92"/>
        <v>-4.2205020626792304E-6</v>
      </c>
      <c r="V249" s="11">
        <f t="shared" ca="1" si="93"/>
        <v>0.20296553505956222</v>
      </c>
      <c r="W249" s="11">
        <f t="shared" ca="1" si="94"/>
        <v>2.4410156448972748</v>
      </c>
      <c r="X249" s="11"/>
      <c r="Y249" s="2">
        <f t="shared" ca="1" si="95"/>
        <v>3.8928689682793674E-5</v>
      </c>
      <c r="Z249" s="11">
        <f t="shared" ca="1" si="96"/>
        <v>-4.2205020626792304E-6</v>
      </c>
      <c r="AA249" s="2">
        <f t="shared" ca="1" si="97"/>
        <v>1.4391078764874415E-2</v>
      </c>
      <c r="AB249" s="2">
        <f t="shared" ca="1" si="98"/>
        <v>4.9092326185663684E-4</v>
      </c>
      <c r="AC249" s="2">
        <f t="shared" ca="1" si="99"/>
        <v>6.4107573583854066E-5</v>
      </c>
      <c r="AD249" s="2">
        <f t="shared" ca="1" si="100"/>
        <v>0.28086811257848071</v>
      </c>
      <c r="AE249" s="2">
        <f t="shared" ca="1" si="101"/>
        <v>-4.2205020626792304E-6</v>
      </c>
      <c r="AF249" s="2">
        <f t="shared" ca="1" si="102"/>
        <v>0.20296553505956222</v>
      </c>
      <c r="AG249" s="2">
        <f t="shared" ca="1" si="103"/>
        <v>2.4410156448972748</v>
      </c>
      <c r="AI249" s="2">
        <f t="shared" ca="1" si="104"/>
        <v>3.8928689682793674E-5</v>
      </c>
      <c r="AJ249" s="11">
        <f t="shared" ca="1" si="105"/>
        <v>-4.2205020626792304E-6</v>
      </c>
      <c r="AK249" s="2">
        <f t="shared" ca="1" si="106"/>
        <v>1.4391078764874415E-2</v>
      </c>
      <c r="AL249" s="2">
        <f t="shared" ca="1" si="107"/>
        <v>4.9092326185663684E-4</v>
      </c>
      <c r="AM249" s="2">
        <f t="shared" ca="1" si="108"/>
        <v>6.4107573583854066E-5</v>
      </c>
      <c r="AN249" s="2">
        <f t="shared" ca="1" si="109"/>
        <v>0.28086811257848071</v>
      </c>
      <c r="AO249" s="2">
        <f t="shared" ca="1" si="110"/>
        <v>-4.2205020626792304E-6</v>
      </c>
      <c r="AP249" s="2">
        <f t="shared" ca="1" si="111"/>
        <v>0.20296553505956222</v>
      </c>
      <c r="AQ249" s="2">
        <f t="shared" ca="1" si="112"/>
        <v>2.4410156448972748</v>
      </c>
      <c r="AS249" s="2">
        <f t="shared" ca="1" si="113"/>
        <v>8.6909675238238435</v>
      </c>
      <c r="AT249" s="2">
        <f t="shared" ca="1" si="114"/>
        <v>0.40038545807335735</v>
      </c>
      <c r="AU249" s="2">
        <f t="shared" ca="1" si="115"/>
        <v>1.965585350773363E-4</v>
      </c>
      <c r="AV249" s="2">
        <f t="shared" ca="1" si="116"/>
        <v>0.20276897652448489</v>
      </c>
      <c r="AW249" s="2">
        <f t="shared" ca="1" si="117"/>
        <v>0.70860642098269888</v>
      </c>
      <c r="AX249" s="2">
        <f t="shared" ca="1" si="118"/>
        <v>5.3215369307459695E-2</v>
      </c>
      <c r="AY249" s="9">
        <f t="shared" ca="1" si="119"/>
        <v>0.70860642098269888</v>
      </c>
      <c r="AZ249" s="9">
        <f t="shared" ca="1" si="120"/>
        <v>0.70860642098269888</v>
      </c>
      <c r="BB249" s="2">
        <f t="shared" ca="1" si="121"/>
        <v>8.6909675238238435</v>
      </c>
      <c r="BC249" s="2">
        <f t="shared" ca="1" si="122"/>
        <v>0.40038545807335735</v>
      </c>
      <c r="BD249" s="2">
        <f t="shared" ca="1" si="123"/>
        <v>1.965585350773363E-4</v>
      </c>
      <c r="BE249" s="2">
        <f t="shared" ca="1" si="124"/>
        <v>0.20276897652448489</v>
      </c>
      <c r="BF249" s="2">
        <f t="shared" ca="1" si="125"/>
        <v>0.70860642098269888</v>
      </c>
      <c r="BG249" s="2">
        <f t="shared" ca="1" si="126"/>
        <v>5.3215369307459695E-2</v>
      </c>
      <c r="BH249" s="2">
        <f t="shared" ca="1" si="127"/>
        <v>0.70860642098269888</v>
      </c>
      <c r="BI249" s="2">
        <f t="shared" ca="1" si="128"/>
        <v>0.70860642098269888</v>
      </c>
    </row>
    <row r="250" spans="1:61" ht="15" x14ac:dyDescent="0.25">
      <c r="A250" s="66">
        <v>184</v>
      </c>
      <c r="B250" s="66">
        <v>1498730216.4200001</v>
      </c>
      <c r="C250" s="67">
        <v>-6.0944225288249398E-5</v>
      </c>
      <c r="D250" s="67">
        <v>-6.1191018545364996E-5</v>
      </c>
      <c r="E250" s="67">
        <v>1.52707203149294E-2</v>
      </c>
      <c r="F250" s="67">
        <v>4.6138708780512299E-4</v>
      </c>
      <c r="G250" s="67">
        <v>2.76224752578549E-6</v>
      </c>
      <c r="H250" s="67">
        <v>0.283386391665016</v>
      </c>
      <c r="I250" s="67">
        <v>-6.1191018545364996E-5</v>
      </c>
      <c r="J250" s="67">
        <v>0.20449662362988399</v>
      </c>
      <c r="K250" s="67">
        <v>2.45931960467591</v>
      </c>
      <c r="L250" s="67"/>
      <c r="M250" s="67"/>
      <c r="O250" s="11">
        <f t="shared" ca="1" si="86"/>
        <v>-7.3748155998209426E-5</v>
      </c>
      <c r="P250" s="11">
        <f t="shared" ca="1" si="87"/>
        <v>-6.1956118775669734E-5</v>
      </c>
      <c r="Q250" s="11">
        <f t="shared" ca="1" si="88"/>
        <v>1.4434228702661115E-2</v>
      </c>
      <c r="R250" s="11">
        <f t="shared" ca="1" si="89"/>
        <v>4.4974060015877588E-4</v>
      </c>
      <c r="S250" s="11">
        <f t="shared" ca="1" si="90"/>
        <v>-8.1654045211846333E-6</v>
      </c>
      <c r="T250" s="11">
        <f t="shared" ca="1" si="91"/>
        <v>0.28224783662643371</v>
      </c>
      <c r="U250" s="11">
        <f t="shared" ca="1" si="92"/>
        <v>-6.1956118775669734E-5</v>
      </c>
      <c r="V250" s="11">
        <f t="shared" ca="1" si="93"/>
        <v>0.20384642762419022</v>
      </c>
      <c r="W250" s="11">
        <f t="shared" ca="1" si="94"/>
        <v>2.452196756412405</v>
      </c>
      <c r="X250" s="11"/>
      <c r="Y250" s="2">
        <f t="shared" ca="1" si="95"/>
        <v>-7.3748155998209426E-5</v>
      </c>
      <c r="Z250" s="11">
        <f t="shared" ca="1" si="96"/>
        <v>-6.1956118775669734E-5</v>
      </c>
      <c r="AA250" s="2">
        <f t="shared" ca="1" si="97"/>
        <v>1.4434228702661115E-2</v>
      </c>
      <c r="AB250" s="2">
        <f t="shared" ca="1" si="98"/>
        <v>4.4974060015877588E-4</v>
      </c>
      <c r="AC250" s="2">
        <f t="shared" ca="1" si="99"/>
        <v>-8.1654045211846333E-6</v>
      </c>
      <c r="AD250" s="2">
        <f t="shared" ca="1" si="100"/>
        <v>0.28224783662643371</v>
      </c>
      <c r="AE250" s="2">
        <f t="shared" ca="1" si="101"/>
        <v>-6.1956118775669734E-5</v>
      </c>
      <c r="AF250" s="2">
        <f t="shared" ca="1" si="102"/>
        <v>0.20384642762419022</v>
      </c>
      <c r="AG250" s="2">
        <f t="shared" ca="1" si="103"/>
        <v>2.452196756412405</v>
      </c>
      <c r="AI250" s="2">
        <f t="shared" ca="1" si="104"/>
        <v>-7.3748155998209426E-5</v>
      </c>
      <c r="AJ250" s="11">
        <f t="shared" ca="1" si="105"/>
        <v>-6.1956118775669734E-5</v>
      </c>
      <c r="AK250" s="2">
        <f t="shared" ca="1" si="106"/>
        <v>1.4434228702661115E-2</v>
      </c>
      <c r="AL250" s="2">
        <f t="shared" ca="1" si="107"/>
        <v>4.4974060015877588E-4</v>
      </c>
      <c r="AM250" s="2">
        <f t="shared" ca="1" si="108"/>
        <v>-8.1654045211846333E-6</v>
      </c>
      <c r="AN250" s="2">
        <f t="shared" ca="1" si="109"/>
        <v>0.28224783662643371</v>
      </c>
      <c r="AO250" s="2">
        <f t="shared" ca="1" si="110"/>
        <v>-6.1956118775669734E-5</v>
      </c>
      <c r="AP250" s="2">
        <f t="shared" ca="1" si="111"/>
        <v>0.20384642762419022</v>
      </c>
      <c r="AQ250" s="2">
        <f t="shared" ca="1" si="112"/>
        <v>2.452196756412405</v>
      </c>
      <c r="AS250" s="2">
        <f t="shared" ca="1" si="113"/>
        <v>8.6880976156355292</v>
      </c>
      <c r="AT250" s="2">
        <f t="shared" ca="1" si="114"/>
        <v>0.40025164052186191</v>
      </c>
      <c r="AU250" s="2">
        <f t="shared" ca="1" si="115"/>
        <v>1.8000941302283679E-4</v>
      </c>
      <c r="AV250" s="2">
        <f t="shared" ca="1" si="116"/>
        <v>0.20366641821116738</v>
      </c>
      <c r="AW250" s="2">
        <f t="shared" ca="1" si="117"/>
        <v>0.70838123304870559</v>
      </c>
      <c r="AX250" s="2">
        <f t="shared" ca="1" si="118"/>
        <v>5.3096067442335873E-2</v>
      </c>
      <c r="AY250" s="9">
        <f t="shared" ca="1" si="119"/>
        <v>0.70838123304870559</v>
      </c>
      <c r="AZ250" s="9">
        <f t="shared" ca="1" si="120"/>
        <v>0.70838123304870559</v>
      </c>
      <c r="BB250" s="2">
        <f t="shared" ca="1" si="121"/>
        <v>8.6880976156355292</v>
      </c>
      <c r="BC250" s="2">
        <f t="shared" ca="1" si="122"/>
        <v>0.40025164052186191</v>
      </c>
      <c r="BD250" s="2">
        <f t="shared" ca="1" si="123"/>
        <v>1.8000941302283679E-4</v>
      </c>
      <c r="BE250" s="2">
        <f t="shared" ca="1" si="124"/>
        <v>0.20366641821116738</v>
      </c>
      <c r="BF250" s="2">
        <f t="shared" ca="1" si="125"/>
        <v>0.70838123304870559</v>
      </c>
      <c r="BG250" s="2">
        <f t="shared" ca="1" si="126"/>
        <v>5.3096067442335873E-2</v>
      </c>
      <c r="BH250" s="2">
        <f t="shared" ca="1" si="127"/>
        <v>0.70838123304870559</v>
      </c>
      <c r="BI250" s="2">
        <f t="shared" ca="1" si="128"/>
        <v>0.70838123304870559</v>
      </c>
    </row>
    <row r="251" spans="1:61" ht="15" x14ac:dyDescent="0.25">
      <c r="A251" s="66">
        <v>185</v>
      </c>
      <c r="B251" s="66">
        <v>1498730216.947</v>
      </c>
      <c r="C251" s="67">
        <v>5.4319903940314998E-6</v>
      </c>
      <c r="D251" s="67">
        <v>-3.7179918773530202E-5</v>
      </c>
      <c r="E251" s="67">
        <v>1.5797587074805199E-2</v>
      </c>
      <c r="F251" s="67">
        <v>5.7970253932662804E-4</v>
      </c>
      <c r="G251" s="67">
        <v>6.7025842253669399E-5</v>
      </c>
      <c r="H251" s="67">
        <v>0.29058082507015498</v>
      </c>
      <c r="I251" s="67">
        <v>-3.7179918773530202E-5</v>
      </c>
      <c r="J251" s="67">
        <v>0.20976833237851</v>
      </c>
      <c r="K251" s="67">
        <v>2.5225675347281502</v>
      </c>
      <c r="L251" s="67"/>
      <c r="M251" s="67"/>
      <c r="O251" s="11">
        <f t="shared" ca="1" si="86"/>
        <v>-7.371940315928528E-6</v>
      </c>
      <c r="P251" s="11">
        <f t="shared" ca="1" si="87"/>
        <v>-3.794501900383494E-5</v>
      </c>
      <c r="Q251" s="11">
        <f t="shared" ca="1" si="88"/>
        <v>1.4961095462536914E-2</v>
      </c>
      <c r="R251" s="11">
        <f t="shared" ca="1" si="89"/>
        <v>5.6805605168028087E-4</v>
      </c>
      <c r="S251" s="11">
        <f t="shared" ca="1" si="90"/>
        <v>5.6098190206699279E-5</v>
      </c>
      <c r="T251" s="11">
        <f t="shared" ca="1" si="91"/>
        <v>0.28944227003157269</v>
      </c>
      <c r="U251" s="11">
        <f t="shared" ca="1" si="92"/>
        <v>-3.794501900383494E-5</v>
      </c>
      <c r="V251" s="11">
        <f t="shared" ca="1" si="93"/>
        <v>0.20911813637281623</v>
      </c>
      <c r="W251" s="11">
        <f t="shared" ca="1" si="94"/>
        <v>2.5154446864646451</v>
      </c>
      <c r="X251" s="11"/>
      <c r="Y251" s="2">
        <f t="shared" ca="1" si="95"/>
        <v>-7.371940315928528E-6</v>
      </c>
      <c r="Z251" s="11">
        <f t="shared" ca="1" si="96"/>
        <v>-3.794501900383494E-5</v>
      </c>
      <c r="AA251" s="2">
        <f t="shared" ca="1" si="97"/>
        <v>1.4961095462536914E-2</v>
      </c>
      <c r="AB251" s="2">
        <f t="shared" ca="1" si="98"/>
        <v>5.6805605168028087E-4</v>
      </c>
      <c r="AC251" s="2">
        <f t="shared" ca="1" si="99"/>
        <v>5.6098190206699279E-5</v>
      </c>
      <c r="AD251" s="2">
        <f t="shared" ca="1" si="100"/>
        <v>0.28944227003157269</v>
      </c>
      <c r="AE251" s="2">
        <f t="shared" ca="1" si="101"/>
        <v>-3.794501900383494E-5</v>
      </c>
      <c r="AF251" s="2">
        <f t="shared" ca="1" si="102"/>
        <v>0.20911813637281623</v>
      </c>
      <c r="AG251" s="2">
        <f t="shared" ca="1" si="103"/>
        <v>2.5154446864646451</v>
      </c>
      <c r="AI251" s="2">
        <f t="shared" ca="1" si="104"/>
        <v>-7.371940315928528E-6</v>
      </c>
      <c r="AJ251" s="11">
        <f t="shared" ca="1" si="105"/>
        <v>-3.794501900383494E-5</v>
      </c>
      <c r="AK251" s="2">
        <f t="shared" ca="1" si="106"/>
        <v>1.4961095462536914E-2</v>
      </c>
      <c r="AL251" s="2">
        <f t="shared" ca="1" si="107"/>
        <v>5.6805605168028087E-4</v>
      </c>
      <c r="AM251" s="2">
        <f t="shared" ca="1" si="108"/>
        <v>5.6098190206699279E-5</v>
      </c>
      <c r="AN251" s="2">
        <f t="shared" ca="1" si="109"/>
        <v>0.28944227003157269</v>
      </c>
      <c r="AO251" s="2">
        <f t="shared" ca="1" si="110"/>
        <v>-3.794501900383494E-5</v>
      </c>
      <c r="AP251" s="2">
        <f t="shared" ca="1" si="111"/>
        <v>0.20911813637281623</v>
      </c>
      <c r="AQ251" s="2">
        <f t="shared" ca="1" si="112"/>
        <v>2.5154446864646451</v>
      </c>
      <c r="AS251" s="2">
        <f t="shared" ca="1" si="113"/>
        <v>8.6906611331864472</v>
      </c>
      <c r="AT251" s="2">
        <f t="shared" ca="1" si="114"/>
        <v>0.40037117172147546</v>
      </c>
      <c r="AU251" s="2">
        <f t="shared" ca="1" si="115"/>
        <v>2.2743326701470907E-4</v>
      </c>
      <c r="AV251" s="2">
        <f t="shared" ca="1" si="116"/>
        <v>0.20889070310580152</v>
      </c>
      <c r="AW251" s="2">
        <f t="shared" ca="1" si="117"/>
        <v>0.70838747957477888</v>
      </c>
      <c r="AX251" s="2">
        <f t="shared" ca="1" si="118"/>
        <v>5.3682401725616974E-2</v>
      </c>
      <c r="AY251" s="9">
        <f t="shared" ca="1" si="119"/>
        <v>0.70838747957477888</v>
      </c>
      <c r="AZ251" s="9">
        <f t="shared" ca="1" si="120"/>
        <v>0.70838747957477888</v>
      </c>
      <c r="BB251" s="2">
        <f t="shared" ca="1" si="121"/>
        <v>8.6906611331864472</v>
      </c>
      <c r="BC251" s="2">
        <f t="shared" ca="1" si="122"/>
        <v>0.40037117172147546</v>
      </c>
      <c r="BD251" s="2">
        <f t="shared" ca="1" si="123"/>
        <v>2.2743326701470907E-4</v>
      </c>
      <c r="BE251" s="2">
        <f t="shared" ca="1" si="124"/>
        <v>0.20889070310580152</v>
      </c>
      <c r="BF251" s="2">
        <f t="shared" ca="1" si="125"/>
        <v>0.70838747957477888</v>
      </c>
      <c r="BG251" s="2">
        <f t="shared" ca="1" si="126"/>
        <v>5.3682401725616974E-2</v>
      </c>
      <c r="BH251" s="2">
        <f t="shared" ca="1" si="127"/>
        <v>0.70838747957477888</v>
      </c>
      <c r="BI251" s="2">
        <f t="shared" ca="1" si="128"/>
        <v>0.70838747957477888</v>
      </c>
    </row>
    <row r="252" spans="1:61" ht="15" x14ac:dyDescent="0.25">
      <c r="A252" s="66">
        <v>186</v>
      </c>
      <c r="B252" s="66">
        <v>1498730217.473</v>
      </c>
      <c r="C252" s="67">
        <v>8.0553491323702602E-5</v>
      </c>
      <c r="D252" s="67">
        <v>7.5421596681063196E-5</v>
      </c>
      <c r="E252" s="67">
        <v>1.5301336190326901E-2</v>
      </c>
      <c r="F252" s="67">
        <v>4.9733255378347498E-4</v>
      </c>
      <c r="G252" s="67">
        <v>2.2106095778126299E-4</v>
      </c>
      <c r="H252" s="67">
        <v>0.28026399326259299</v>
      </c>
      <c r="I252" s="67">
        <v>7.5421596681063196E-5</v>
      </c>
      <c r="J252" s="67">
        <v>0.20258224404733999</v>
      </c>
      <c r="K252" s="67">
        <v>2.4351711899027202</v>
      </c>
      <c r="L252" s="67"/>
      <c r="M252" s="67"/>
      <c r="O252" s="11">
        <f t="shared" ca="1" si="86"/>
        <v>6.7749560613742581E-5</v>
      </c>
      <c r="P252" s="11">
        <f t="shared" ca="1" si="87"/>
        <v>7.4656496450758458E-5</v>
      </c>
      <c r="Q252" s="11">
        <f t="shared" ca="1" si="88"/>
        <v>1.4464844578058616E-2</v>
      </c>
      <c r="R252" s="11">
        <f t="shared" ca="1" si="89"/>
        <v>4.8568606613712788E-4</v>
      </c>
      <c r="S252" s="11">
        <f t="shared" ca="1" si="90"/>
        <v>2.1013330573429288E-4</v>
      </c>
      <c r="T252" s="11">
        <f t="shared" ca="1" si="91"/>
        <v>0.2791254382240107</v>
      </c>
      <c r="U252" s="11">
        <f t="shared" ca="1" si="92"/>
        <v>7.4656496450758458E-5</v>
      </c>
      <c r="V252" s="11">
        <f t="shared" ca="1" si="93"/>
        <v>0.20193204804164622</v>
      </c>
      <c r="W252" s="11">
        <f t="shared" ca="1" si="94"/>
        <v>2.4280483416392151</v>
      </c>
      <c r="X252" s="11"/>
      <c r="Y252" s="2">
        <f t="shared" ca="1" si="95"/>
        <v>6.7749560613742581E-5</v>
      </c>
      <c r="Z252" s="11">
        <f t="shared" ca="1" si="96"/>
        <v>7.4656496450758458E-5</v>
      </c>
      <c r="AA252" s="2">
        <f t="shared" ca="1" si="97"/>
        <v>1.4464273399994731E-2</v>
      </c>
      <c r="AB252" s="2">
        <f t="shared" ca="1" si="98"/>
        <v>4.718609607271942E-4</v>
      </c>
      <c r="AC252" s="2">
        <f t="shared" ca="1" si="99"/>
        <v>2.1013330573429288E-4</v>
      </c>
      <c r="AD252" s="2">
        <f t="shared" ca="1" si="100"/>
        <v>0.27902489790344737</v>
      </c>
      <c r="AE252" s="2">
        <f t="shared" ca="1" si="101"/>
        <v>7.4656496450758458E-5</v>
      </c>
      <c r="AF252" s="2">
        <f t="shared" ca="1" si="102"/>
        <v>0.20178357419833531</v>
      </c>
      <c r="AG252" s="2">
        <f t="shared" ca="1" si="103"/>
        <v>2.4279880944075578</v>
      </c>
      <c r="AI252" s="2">
        <f t="shared" ca="1" si="104"/>
        <v>6.7749560613742581E-5</v>
      </c>
      <c r="AJ252" s="11">
        <f t="shared" ca="1" si="105"/>
        <v>7.4656496450758458E-5</v>
      </c>
      <c r="AK252" s="2">
        <f t="shared" ca="1" si="106"/>
        <v>1.4376192547612691E-2</v>
      </c>
      <c r="AL252" s="2">
        <f t="shared" ca="1" si="107"/>
        <v>4.3063544264462718E-4</v>
      </c>
      <c r="AM252" s="2">
        <f t="shared" ca="1" si="108"/>
        <v>2.1013330573429288E-4</v>
      </c>
      <c r="AN252" s="2">
        <f t="shared" ca="1" si="109"/>
        <v>0.27902489790344737</v>
      </c>
      <c r="AO252" s="2">
        <f t="shared" ca="1" si="110"/>
        <v>7.4656496450758458E-5</v>
      </c>
      <c r="AP252" s="2">
        <f t="shared" ca="1" si="111"/>
        <v>0.20178357419833531</v>
      </c>
      <c r="AQ252" s="2">
        <f t="shared" ca="1" si="112"/>
        <v>2.4279880944075578</v>
      </c>
      <c r="AS252" s="2">
        <f t="shared" ca="1" si="113"/>
        <v>8.6987712660234049</v>
      </c>
      <c r="AT252" s="2">
        <f t="shared" ca="1" si="114"/>
        <v>0.40074933223982317</v>
      </c>
      <c r="AU252" s="2">
        <f t="shared" ca="1" si="115"/>
        <v>1.9463836668264059E-4</v>
      </c>
      <c r="AV252" s="2">
        <f t="shared" ca="1" si="116"/>
        <v>0.20173740967496356</v>
      </c>
      <c r="AW252" s="2">
        <f t="shared" ca="1" si="117"/>
        <v>0.70908245498347566</v>
      </c>
      <c r="AX252" s="2">
        <f t="shared" ca="1" si="118"/>
        <v>5.3871537014055261E-2</v>
      </c>
      <c r="AY252" s="9">
        <f t="shared" ca="1" si="119"/>
        <v>0.70908245498347566</v>
      </c>
      <c r="AZ252" s="9">
        <f t="shared" ca="1" si="120"/>
        <v>0.70908245498347566</v>
      </c>
      <c r="BB252" s="2">
        <f t="shared" ca="1" si="121"/>
        <v>8.7016897511695497</v>
      </c>
      <c r="BC252" s="2">
        <f t="shared" ca="1" si="122"/>
        <v>0.40088541685954421</v>
      </c>
      <c r="BD252" s="2">
        <f t="shared" ca="1" si="123"/>
        <v>1.726354689390857E-4</v>
      </c>
      <c r="BE252" s="2">
        <f t="shared" ca="1" si="124"/>
        <v>0.20161093872939623</v>
      </c>
      <c r="BF252" s="2">
        <f t="shared" ca="1" si="125"/>
        <v>0.70877352347263256</v>
      </c>
      <c r="BG252" s="2">
        <f t="shared" ca="1" si="126"/>
        <v>5.3579049741339209E-2</v>
      </c>
      <c r="BH252" s="2">
        <f t="shared" ca="1" si="127"/>
        <v>0.70877352347263256</v>
      </c>
      <c r="BI252" s="2">
        <f t="shared" ca="1" si="128"/>
        <v>0.70877352347263256</v>
      </c>
    </row>
    <row r="253" spans="1:61" ht="15" x14ac:dyDescent="0.25">
      <c r="A253" s="66">
        <v>187</v>
      </c>
      <c r="B253" s="66">
        <v>1498730218</v>
      </c>
      <c r="C253" s="67">
        <v>3.5196433074349799E-5</v>
      </c>
      <c r="D253" s="67">
        <v>-5.6658394790243803E-5</v>
      </c>
      <c r="E253" s="67">
        <v>1.50930700792573E-2</v>
      </c>
      <c r="F253" s="67">
        <v>4.8995291551187105E-4</v>
      </c>
      <c r="G253" s="67">
        <v>-1.55272270526323E-5</v>
      </c>
      <c r="H253" s="67">
        <v>0.28050967451527498</v>
      </c>
      <c r="I253" s="67">
        <v>-5.6658394790243803E-5</v>
      </c>
      <c r="J253" s="67">
        <v>0.202458782622841</v>
      </c>
      <c r="K253" s="67">
        <v>2.4352937259109102</v>
      </c>
      <c r="L253" s="67"/>
      <c r="M253" s="67"/>
      <c r="O253" s="11">
        <f t="shared" ca="1" si="86"/>
        <v>2.2392502364389771E-5</v>
      </c>
      <c r="P253" s="11">
        <f t="shared" ca="1" si="87"/>
        <v>-5.7423495020548541E-5</v>
      </c>
      <c r="Q253" s="11">
        <f t="shared" ca="1" si="88"/>
        <v>1.4256578466989016E-2</v>
      </c>
      <c r="R253" s="11">
        <f t="shared" ca="1" si="89"/>
        <v>4.7830642786552395E-4</v>
      </c>
      <c r="S253" s="11">
        <f t="shared" ca="1" si="90"/>
        <v>-2.645487909960242E-5</v>
      </c>
      <c r="T253" s="11">
        <f t="shared" ca="1" si="91"/>
        <v>0.27937111947669269</v>
      </c>
      <c r="U253" s="11">
        <f t="shared" ca="1" si="92"/>
        <v>-5.7423495020548541E-5</v>
      </c>
      <c r="V253" s="11">
        <f t="shared" ca="1" si="93"/>
        <v>0.20180858661714723</v>
      </c>
      <c r="W253" s="11">
        <f t="shared" ca="1" si="94"/>
        <v>2.4281708776474051</v>
      </c>
      <c r="X253" s="11"/>
      <c r="Y253" s="2">
        <f t="shared" ca="1" si="95"/>
        <v>2.2392502364389771E-5</v>
      </c>
      <c r="Z253" s="11">
        <f t="shared" ca="1" si="96"/>
        <v>-5.7423495020548541E-5</v>
      </c>
      <c r="AA253" s="2">
        <f t="shared" ca="1" si="97"/>
        <v>1.4256578466989016E-2</v>
      </c>
      <c r="AB253" s="2">
        <f t="shared" ca="1" si="98"/>
        <v>4.7830642786552395E-4</v>
      </c>
      <c r="AC253" s="2">
        <f t="shared" ca="1" si="99"/>
        <v>-2.645487909960242E-5</v>
      </c>
      <c r="AD253" s="2">
        <f t="shared" ca="1" si="100"/>
        <v>0.27937111947669269</v>
      </c>
      <c r="AE253" s="2">
        <f t="shared" ca="1" si="101"/>
        <v>-5.7423495020548541E-5</v>
      </c>
      <c r="AF253" s="2">
        <f t="shared" ca="1" si="102"/>
        <v>0.20180858661714723</v>
      </c>
      <c r="AG253" s="2">
        <f t="shared" ca="1" si="103"/>
        <v>2.4281708776474051</v>
      </c>
      <c r="AI253" s="2">
        <f t="shared" ca="1" si="104"/>
        <v>2.2392502364389771E-5</v>
      </c>
      <c r="AJ253" s="11">
        <f t="shared" ca="1" si="105"/>
        <v>-5.7423495020548541E-5</v>
      </c>
      <c r="AK253" s="2">
        <f t="shared" ca="1" si="106"/>
        <v>1.4256578466989016E-2</v>
      </c>
      <c r="AL253" s="2">
        <f t="shared" ca="1" si="107"/>
        <v>4.7830642786552395E-4</v>
      </c>
      <c r="AM253" s="2">
        <f t="shared" ca="1" si="108"/>
        <v>-2.645487909960242E-5</v>
      </c>
      <c r="AN253" s="2">
        <f t="shared" ca="1" si="109"/>
        <v>0.27937111947669269</v>
      </c>
      <c r="AO253" s="2">
        <f t="shared" ca="1" si="110"/>
        <v>-5.7423495020548541E-5</v>
      </c>
      <c r="AP253" s="2">
        <f t="shared" ca="1" si="111"/>
        <v>0.20180858661714723</v>
      </c>
      <c r="AQ253" s="2">
        <f t="shared" ca="1" si="112"/>
        <v>2.4281708776474051</v>
      </c>
      <c r="AS253" s="2">
        <f t="shared" ca="1" si="113"/>
        <v>8.6915601089896555</v>
      </c>
      <c r="AT253" s="2">
        <f t="shared" ca="1" si="114"/>
        <v>0.40041308909231155</v>
      </c>
      <c r="AU253" s="2">
        <f t="shared" ca="1" si="115"/>
        <v>1.9152015431434332E-4</v>
      </c>
      <c r="AV253" s="2">
        <f t="shared" ca="1" si="116"/>
        <v>0.20161706646283289</v>
      </c>
      <c r="AW253" s="2">
        <f t="shared" ca="1" si="117"/>
        <v>0.7083320316956313</v>
      </c>
      <c r="AX253" s="2">
        <f t="shared" ca="1" si="118"/>
        <v>5.3004197821977656E-2</v>
      </c>
      <c r="AY253" s="9">
        <f t="shared" ca="1" si="119"/>
        <v>0.7083320316956313</v>
      </c>
      <c r="AZ253" s="9">
        <f t="shared" ca="1" si="120"/>
        <v>0.7083320316956313</v>
      </c>
      <c r="BB253" s="2">
        <f t="shared" ca="1" si="121"/>
        <v>8.6915601089896555</v>
      </c>
      <c r="BC253" s="2">
        <f t="shared" ca="1" si="122"/>
        <v>0.40041308909231155</v>
      </c>
      <c r="BD253" s="2">
        <f t="shared" ca="1" si="123"/>
        <v>1.9152015431434332E-4</v>
      </c>
      <c r="BE253" s="2">
        <f t="shared" ca="1" si="124"/>
        <v>0.20161706646283289</v>
      </c>
      <c r="BF253" s="2">
        <f t="shared" ca="1" si="125"/>
        <v>0.7083320316956313</v>
      </c>
      <c r="BG253" s="2">
        <f t="shared" ca="1" si="126"/>
        <v>5.3004197821977656E-2</v>
      </c>
      <c r="BH253" s="2">
        <f t="shared" ca="1" si="127"/>
        <v>0.7083320316956313</v>
      </c>
      <c r="BI253" s="2">
        <f t="shared" ca="1" si="128"/>
        <v>0.7083320316956313</v>
      </c>
    </row>
    <row r="254" spans="1:61" ht="15" x14ac:dyDescent="0.25">
      <c r="A254" s="66">
        <v>188</v>
      </c>
      <c r="B254" s="66">
        <v>1498730218.527</v>
      </c>
      <c r="C254" s="67">
        <v>6.6851661405978395E-5</v>
      </c>
      <c r="D254" s="67">
        <v>-2.1932347415096201E-7</v>
      </c>
      <c r="E254" s="67">
        <v>1.4814966633729399E-2</v>
      </c>
      <c r="F254" s="67">
        <v>4.3996325312424501E-4</v>
      </c>
      <c r="G254" s="67">
        <v>7.5600618375035904E-5</v>
      </c>
      <c r="H254" s="67">
        <v>0.27372018964827299</v>
      </c>
      <c r="I254" s="67">
        <v>-2.1932347415096201E-7</v>
      </c>
      <c r="J254" s="67">
        <v>0.197684163478344</v>
      </c>
      <c r="K254" s="67">
        <v>2.3776736433201102</v>
      </c>
      <c r="L254" s="67"/>
      <c r="M254" s="67"/>
      <c r="O254" s="11">
        <f t="shared" ca="1" si="86"/>
        <v>5.4047730696018367E-5</v>
      </c>
      <c r="P254" s="11">
        <f t="shared" ca="1" si="87"/>
        <v>-9.8442370445570231E-7</v>
      </c>
      <c r="Q254" s="11">
        <f t="shared" ca="1" si="88"/>
        <v>1.3978475021461115E-2</v>
      </c>
      <c r="R254" s="11">
        <f t="shared" ca="1" si="89"/>
        <v>4.283167654778979E-4</v>
      </c>
      <c r="S254" s="11">
        <f t="shared" ca="1" si="90"/>
        <v>6.4672966328065777E-5</v>
      </c>
      <c r="T254" s="11">
        <f t="shared" ca="1" si="91"/>
        <v>0.2725816346096907</v>
      </c>
      <c r="U254" s="11">
        <f t="shared" ca="1" si="92"/>
        <v>-9.8442370445570231E-7</v>
      </c>
      <c r="V254" s="11">
        <f t="shared" ca="1" si="93"/>
        <v>0.19703396747265023</v>
      </c>
      <c r="W254" s="11">
        <f t="shared" ca="1" si="94"/>
        <v>2.3705507950566052</v>
      </c>
      <c r="X254" s="11"/>
      <c r="Y254" s="2">
        <f t="shared" ca="1" si="95"/>
        <v>5.4047730696018367E-5</v>
      </c>
      <c r="Z254" s="11">
        <f t="shared" ca="1" si="96"/>
        <v>-9.8442370445570231E-7</v>
      </c>
      <c r="AA254" s="2">
        <f t="shared" ca="1" si="97"/>
        <v>1.3978475021461115E-2</v>
      </c>
      <c r="AB254" s="2">
        <f t="shared" ca="1" si="98"/>
        <v>4.283167654778979E-4</v>
      </c>
      <c r="AC254" s="2">
        <f t="shared" ca="1" si="99"/>
        <v>6.4672966328065777E-5</v>
      </c>
      <c r="AD254" s="2">
        <f t="shared" ca="1" si="100"/>
        <v>0.2725816346096907</v>
      </c>
      <c r="AE254" s="2">
        <f t="shared" ca="1" si="101"/>
        <v>-9.8442370445570231E-7</v>
      </c>
      <c r="AF254" s="2">
        <f t="shared" ca="1" si="102"/>
        <v>0.19703396747265023</v>
      </c>
      <c r="AG254" s="2">
        <f t="shared" ca="1" si="103"/>
        <v>2.3705507950566052</v>
      </c>
      <c r="AI254" s="2">
        <f t="shared" ca="1" si="104"/>
        <v>5.4047730696018367E-5</v>
      </c>
      <c r="AJ254" s="11">
        <f t="shared" ca="1" si="105"/>
        <v>-9.8442370445570231E-7</v>
      </c>
      <c r="AK254" s="2">
        <f t="shared" ca="1" si="106"/>
        <v>1.3978475021461115E-2</v>
      </c>
      <c r="AL254" s="2">
        <f t="shared" ca="1" si="107"/>
        <v>4.283167654778979E-4</v>
      </c>
      <c r="AM254" s="2">
        <f t="shared" ca="1" si="108"/>
        <v>6.4672966328065777E-5</v>
      </c>
      <c r="AN254" s="2">
        <f t="shared" ca="1" si="109"/>
        <v>0.2725816346096907</v>
      </c>
      <c r="AO254" s="2">
        <f t="shared" ca="1" si="110"/>
        <v>-9.8442370445570231E-7</v>
      </c>
      <c r="AP254" s="2">
        <f t="shared" ca="1" si="111"/>
        <v>0.19703396747265023</v>
      </c>
      <c r="AQ254" s="2">
        <f t="shared" ca="1" si="112"/>
        <v>2.3705507950566052</v>
      </c>
      <c r="AS254" s="2">
        <f t="shared" ca="1" si="113"/>
        <v>8.6966636561960371</v>
      </c>
      <c r="AT254" s="2">
        <f t="shared" ca="1" si="114"/>
        <v>0.40065105787399163</v>
      </c>
      <c r="AU254" s="2">
        <f t="shared" ca="1" si="115"/>
        <v>1.7160556519388618E-4</v>
      </c>
      <c r="AV254" s="2">
        <f t="shared" ca="1" si="116"/>
        <v>0.19686236190745635</v>
      </c>
      <c r="AW254" s="2">
        <f t="shared" ca="1" si="117"/>
        <v>0.7086451415217313</v>
      </c>
      <c r="AX254" s="2">
        <f t="shared" ca="1" si="118"/>
        <v>5.3296726100904676E-2</v>
      </c>
      <c r="AY254" s="9">
        <f t="shared" ca="1" si="119"/>
        <v>0.7086451415217313</v>
      </c>
      <c r="AZ254" s="9">
        <f t="shared" ca="1" si="120"/>
        <v>0.7086451415217313</v>
      </c>
      <c r="BB254" s="2">
        <f t="shared" ca="1" si="121"/>
        <v>8.6966636561960371</v>
      </c>
      <c r="BC254" s="2">
        <f t="shared" ca="1" si="122"/>
        <v>0.40065105787399163</v>
      </c>
      <c r="BD254" s="2">
        <f t="shared" ca="1" si="123"/>
        <v>1.7160556519388618E-4</v>
      </c>
      <c r="BE254" s="2">
        <f t="shared" ca="1" si="124"/>
        <v>0.19686236190745635</v>
      </c>
      <c r="BF254" s="2">
        <f t="shared" ca="1" si="125"/>
        <v>0.7086451415217313</v>
      </c>
      <c r="BG254" s="2">
        <f t="shared" ca="1" si="126"/>
        <v>5.3296726100904676E-2</v>
      </c>
      <c r="BH254" s="2">
        <f t="shared" ca="1" si="127"/>
        <v>0.7086451415217313</v>
      </c>
      <c r="BI254" s="2">
        <f t="shared" ca="1" si="128"/>
        <v>0.7086451415217313</v>
      </c>
    </row>
    <row r="255" spans="1:61" ht="15" x14ac:dyDescent="0.25">
      <c r="A255" s="66">
        <v>189</v>
      </c>
      <c r="B255" s="66">
        <v>1498730219.0539999</v>
      </c>
      <c r="C255" s="67">
        <v>-4.3937219493156801E-5</v>
      </c>
      <c r="D255" s="67">
        <v>-3.5314506369495597E-5</v>
      </c>
      <c r="E255" s="67">
        <v>1.49448511971786E-2</v>
      </c>
      <c r="F255" s="67">
        <v>4.9185733307219705E-4</v>
      </c>
      <c r="G255" s="67">
        <v>-1.0655883801289601E-4</v>
      </c>
      <c r="H255" s="67">
        <v>0.27698850825029298</v>
      </c>
      <c r="I255" s="67">
        <v>-3.5314506369495597E-5</v>
      </c>
      <c r="J255" s="67">
        <v>0.200072229642834</v>
      </c>
      <c r="K255" s="67">
        <v>2.4037945510976102</v>
      </c>
      <c r="L255" s="67"/>
      <c r="M255" s="67"/>
      <c r="O255" s="11">
        <f t="shared" ca="1" si="86"/>
        <v>-5.6741150203116828E-5</v>
      </c>
      <c r="P255" s="11">
        <f t="shared" ca="1" si="87"/>
        <v>-3.6079606599800336E-5</v>
      </c>
      <c r="Q255" s="11">
        <f t="shared" ca="1" si="88"/>
        <v>1.4108359584910315E-2</v>
      </c>
      <c r="R255" s="11">
        <f t="shared" ca="1" si="89"/>
        <v>4.8021084542584994E-4</v>
      </c>
      <c r="S255" s="11">
        <f t="shared" ca="1" si="90"/>
        <v>-1.1748649005986613E-4</v>
      </c>
      <c r="T255" s="11">
        <f t="shared" ca="1" si="91"/>
        <v>0.27584995321171069</v>
      </c>
      <c r="U255" s="11">
        <f t="shared" ca="1" si="92"/>
        <v>-3.6079606599800336E-5</v>
      </c>
      <c r="V255" s="11">
        <f t="shared" ca="1" si="93"/>
        <v>0.19942203363714023</v>
      </c>
      <c r="W255" s="11">
        <f t="shared" ca="1" si="94"/>
        <v>2.3966717028341051</v>
      </c>
      <c r="X255" s="11"/>
      <c r="Y255" s="2">
        <f t="shared" ca="1" si="95"/>
        <v>-5.6741150203116828E-5</v>
      </c>
      <c r="Z255" s="11">
        <f t="shared" ca="1" si="96"/>
        <v>-3.6079606599800336E-5</v>
      </c>
      <c r="AA255" s="2">
        <f t="shared" ca="1" si="97"/>
        <v>1.4108359584910315E-2</v>
      </c>
      <c r="AB255" s="2">
        <f t="shared" ca="1" si="98"/>
        <v>4.8021084542584994E-4</v>
      </c>
      <c r="AC255" s="2">
        <f t="shared" ca="1" si="99"/>
        <v>-1.1748649005986613E-4</v>
      </c>
      <c r="AD255" s="2">
        <f t="shared" ca="1" si="100"/>
        <v>0.27584995321171069</v>
      </c>
      <c r="AE255" s="2">
        <f t="shared" ca="1" si="101"/>
        <v>-3.6079606599800336E-5</v>
      </c>
      <c r="AF255" s="2">
        <f t="shared" ca="1" si="102"/>
        <v>0.19942203363714023</v>
      </c>
      <c r="AG255" s="2">
        <f t="shared" ca="1" si="103"/>
        <v>2.3966717028341051</v>
      </c>
      <c r="AI255" s="2">
        <f t="shared" ca="1" si="104"/>
        <v>-5.6741150203116828E-5</v>
      </c>
      <c r="AJ255" s="11">
        <f t="shared" ca="1" si="105"/>
        <v>-3.6079606599800336E-5</v>
      </c>
      <c r="AK255" s="2">
        <f t="shared" ca="1" si="106"/>
        <v>1.4108359584910315E-2</v>
      </c>
      <c r="AL255" s="2">
        <f t="shared" ca="1" si="107"/>
        <v>4.8021084542584994E-4</v>
      </c>
      <c r="AM255" s="2">
        <f t="shared" ca="1" si="108"/>
        <v>-1.1748649005986613E-4</v>
      </c>
      <c r="AN255" s="2">
        <f t="shared" ca="1" si="109"/>
        <v>0.27584995321171069</v>
      </c>
      <c r="AO255" s="2">
        <f t="shared" ca="1" si="110"/>
        <v>-3.6079606599800336E-5</v>
      </c>
      <c r="AP255" s="2">
        <f t="shared" ca="1" si="111"/>
        <v>0.19942203363714023</v>
      </c>
      <c r="AQ255" s="2">
        <f t="shared" ca="1" si="112"/>
        <v>2.3966717028341051</v>
      </c>
      <c r="AS255" s="2">
        <f t="shared" ca="1" si="113"/>
        <v>8.6883165102250199</v>
      </c>
      <c r="AT255" s="2">
        <f t="shared" ca="1" si="114"/>
        <v>0.40026184707966195</v>
      </c>
      <c r="AU255" s="2">
        <f t="shared" ca="1" si="115"/>
        <v>1.9221007997783672E-4</v>
      </c>
      <c r="AV255" s="2">
        <f t="shared" ca="1" si="116"/>
        <v>0.1992298235571624</v>
      </c>
      <c r="AW255" s="2">
        <f t="shared" ca="1" si="117"/>
        <v>0.7090129517081899</v>
      </c>
      <c r="AX255" s="2">
        <f t="shared" ca="1" si="118"/>
        <v>5.3102405856105615E-2</v>
      </c>
      <c r="AY255" s="9">
        <f t="shared" ca="1" si="119"/>
        <v>0.7090129517081899</v>
      </c>
      <c r="AZ255" s="9">
        <f t="shared" ca="1" si="120"/>
        <v>0.7090129517081899</v>
      </c>
      <c r="BB255" s="2">
        <f t="shared" ca="1" si="121"/>
        <v>8.6883165102250199</v>
      </c>
      <c r="BC255" s="2">
        <f t="shared" ca="1" si="122"/>
        <v>0.40026184707966195</v>
      </c>
      <c r="BD255" s="2">
        <f t="shared" ca="1" si="123"/>
        <v>1.9221007997783672E-4</v>
      </c>
      <c r="BE255" s="2">
        <f t="shared" ca="1" si="124"/>
        <v>0.1992298235571624</v>
      </c>
      <c r="BF255" s="2">
        <f t="shared" ca="1" si="125"/>
        <v>0.7090129517081899</v>
      </c>
      <c r="BG255" s="2">
        <f t="shared" ca="1" si="126"/>
        <v>5.3102405856105615E-2</v>
      </c>
      <c r="BH255" s="2">
        <f t="shared" ca="1" si="127"/>
        <v>0.7090129517081899</v>
      </c>
      <c r="BI255" s="2">
        <f t="shared" ca="1" si="128"/>
        <v>0.7090129517081899</v>
      </c>
    </row>
    <row r="256" spans="1:61" ht="15" x14ac:dyDescent="0.25">
      <c r="A256" s="66">
        <v>190</v>
      </c>
      <c r="B256" s="66">
        <v>1498730219.5810001</v>
      </c>
      <c r="C256" s="67">
        <v>-7.5825116217187905E-5</v>
      </c>
      <c r="D256" s="67">
        <v>-2.3200278271271899E-5</v>
      </c>
      <c r="E256" s="67">
        <v>1.6291668105070701E-2</v>
      </c>
      <c r="F256" s="67">
        <v>5.3780250715176696E-4</v>
      </c>
      <c r="G256" s="67">
        <v>-7.02577422243469E-5</v>
      </c>
      <c r="H256" s="67">
        <v>0.303220890465557</v>
      </c>
      <c r="I256" s="67">
        <v>-2.3200278271271899E-5</v>
      </c>
      <c r="J256" s="67">
        <v>0.21870887756523999</v>
      </c>
      <c r="K256" s="67">
        <v>2.6297101488424399</v>
      </c>
      <c r="L256" s="67"/>
      <c r="M256" s="67"/>
      <c r="O256" s="11">
        <f t="shared" ca="1" si="86"/>
        <v>-8.862904692714794E-5</v>
      </c>
      <c r="P256" s="11">
        <f t="shared" ca="1" si="87"/>
        <v>-2.3965378501576641E-5</v>
      </c>
      <c r="Q256" s="11">
        <f t="shared" ca="1" si="88"/>
        <v>1.5455176492802416E-2</v>
      </c>
      <c r="R256" s="11">
        <f t="shared" ca="1" si="89"/>
        <v>5.261560195054198E-4</v>
      </c>
      <c r="S256" s="11">
        <f t="shared" ca="1" si="90"/>
        <v>-8.1185394271317027E-5</v>
      </c>
      <c r="T256" s="11">
        <f t="shared" ca="1" si="91"/>
        <v>0.30208233542697471</v>
      </c>
      <c r="U256" s="11">
        <f t="shared" ca="1" si="92"/>
        <v>-2.3965378501576641E-5</v>
      </c>
      <c r="V256" s="11">
        <f t="shared" ca="1" si="93"/>
        <v>0.21805868155954622</v>
      </c>
      <c r="W256" s="11">
        <f t="shared" ca="1" si="94"/>
        <v>2.6225873005789349</v>
      </c>
      <c r="X256" s="11"/>
      <c r="Y256" s="2">
        <f t="shared" ca="1" si="95"/>
        <v>-8.862904692714794E-5</v>
      </c>
      <c r="Z256" s="11">
        <f t="shared" ca="1" si="96"/>
        <v>-2.3965378501576641E-5</v>
      </c>
      <c r="AA256" s="2">
        <f t="shared" ca="1" si="97"/>
        <v>1.5455176492802416E-2</v>
      </c>
      <c r="AB256" s="2">
        <f t="shared" ca="1" si="98"/>
        <v>5.261560195054198E-4</v>
      </c>
      <c r="AC256" s="2">
        <f t="shared" ca="1" si="99"/>
        <v>-8.1185394271317027E-5</v>
      </c>
      <c r="AD256" s="2">
        <f t="shared" ca="1" si="100"/>
        <v>0.30208233542697471</v>
      </c>
      <c r="AE256" s="2">
        <f t="shared" ca="1" si="101"/>
        <v>-2.3965378501576641E-5</v>
      </c>
      <c r="AF256" s="2">
        <f t="shared" ca="1" si="102"/>
        <v>0.21805868155954622</v>
      </c>
      <c r="AG256" s="2">
        <f t="shared" ca="1" si="103"/>
        <v>2.6225873005789349</v>
      </c>
      <c r="AI256" s="2">
        <f t="shared" ca="1" si="104"/>
        <v>-8.862904692714794E-5</v>
      </c>
      <c r="AJ256" s="11">
        <f t="shared" ca="1" si="105"/>
        <v>-2.3965378501576641E-5</v>
      </c>
      <c r="AK256" s="2">
        <f t="shared" ca="1" si="106"/>
        <v>1.5455176492802416E-2</v>
      </c>
      <c r="AL256" s="2">
        <f t="shared" ca="1" si="107"/>
        <v>5.261560195054198E-4</v>
      </c>
      <c r="AM256" s="2">
        <f t="shared" ca="1" si="108"/>
        <v>-8.1185394271317027E-5</v>
      </c>
      <c r="AN256" s="2">
        <f t="shared" ca="1" si="109"/>
        <v>0.30208233542697471</v>
      </c>
      <c r="AO256" s="2">
        <f t="shared" ca="1" si="110"/>
        <v>-2.3965378501576641E-5</v>
      </c>
      <c r="AP256" s="2">
        <f t="shared" ca="1" si="111"/>
        <v>0.21805868155954622</v>
      </c>
      <c r="AQ256" s="2">
        <f t="shared" ca="1" si="112"/>
        <v>2.6225873005789349</v>
      </c>
      <c r="AS256" s="2">
        <f t="shared" ca="1" si="113"/>
        <v>8.6816969846054377</v>
      </c>
      <c r="AT256" s="2">
        <f t="shared" ca="1" si="114"/>
        <v>0.39995319500616311</v>
      </c>
      <c r="AU256" s="2">
        <f t="shared" ca="1" si="115"/>
        <v>2.1043778107291772E-4</v>
      </c>
      <c r="AV256" s="2">
        <f t="shared" ca="1" si="116"/>
        <v>0.21784824377847331</v>
      </c>
      <c r="AW256" s="2">
        <f t="shared" ca="1" si="117"/>
        <v>0.70821995637841262</v>
      </c>
      <c r="AX256" s="2">
        <f t="shared" ca="1" si="118"/>
        <v>5.3078730207697794E-2</v>
      </c>
      <c r="AY256" s="9">
        <f t="shared" ca="1" si="119"/>
        <v>0.70821995637841262</v>
      </c>
      <c r="AZ256" s="9">
        <f t="shared" ca="1" si="120"/>
        <v>0.70821995637841262</v>
      </c>
      <c r="BB256" s="2">
        <f t="shared" ca="1" si="121"/>
        <v>8.6816969846054377</v>
      </c>
      <c r="BC256" s="2">
        <f t="shared" ca="1" si="122"/>
        <v>0.39995319500616311</v>
      </c>
      <c r="BD256" s="2">
        <f t="shared" ca="1" si="123"/>
        <v>2.1043778107291772E-4</v>
      </c>
      <c r="BE256" s="2">
        <f t="shared" ca="1" si="124"/>
        <v>0.21784824377847331</v>
      </c>
      <c r="BF256" s="2">
        <f t="shared" ca="1" si="125"/>
        <v>0.70821995637841262</v>
      </c>
      <c r="BG256" s="2">
        <f t="shared" ca="1" si="126"/>
        <v>5.3078730207697794E-2</v>
      </c>
      <c r="BH256" s="2">
        <f t="shared" ca="1" si="127"/>
        <v>0.70821995637841262</v>
      </c>
      <c r="BI256" s="2">
        <f t="shared" ca="1" si="128"/>
        <v>0.70821995637841262</v>
      </c>
    </row>
    <row r="257" spans="1:61" ht="15" x14ac:dyDescent="0.25">
      <c r="A257" s="66">
        <v>191</v>
      </c>
      <c r="B257" s="66">
        <v>1498730220.108</v>
      </c>
      <c r="C257" s="67">
        <v>4.7133675668969602E-7</v>
      </c>
      <c r="D257" s="67">
        <v>5.7806924155453796E-6</v>
      </c>
      <c r="E257" s="67">
        <v>1.6300113967218699E-2</v>
      </c>
      <c r="F257" s="67">
        <v>4.3567854132839102E-4</v>
      </c>
      <c r="G257" s="67">
        <v>-7.3386301410014194E-5</v>
      </c>
      <c r="H257" s="67">
        <v>0.30243586034841502</v>
      </c>
      <c r="I257" s="67">
        <v>5.7806924155453796E-6</v>
      </c>
      <c r="J257" s="67">
        <v>0.218399700686225</v>
      </c>
      <c r="K257" s="67">
        <v>2.6273022390026002</v>
      </c>
      <c r="L257" s="67"/>
      <c r="M257" s="67"/>
      <c r="O257" s="11">
        <f t="shared" ca="1" si="86"/>
        <v>-1.2332593953270332E-5</v>
      </c>
      <c r="P257" s="11">
        <f t="shared" ca="1" si="87"/>
        <v>5.0155921852406393E-6</v>
      </c>
      <c r="Q257" s="11">
        <f t="shared" ca="1" si="88"/>
        <v>1.5463622354950414E-2</v>
      </c>
      <c r="R257" s="11">
        <f t="shared" ca="1" si="89"/>
        <v>4.2403205368204391E-4</v>
      </c>
      <c r="S257" s="11">
        <f t="shared" ca="1" si="90"/>
        <v>-8.4313953456984322E-5</v>
      </c>
      <c r="T257" s="11">
        <f t="shared" ca="1" si="91"/>
        <v>0.30129730530983273</v>
      </c>
      <c r="U257" s="11">
        <f t="shared" ca="1" si="92"/>
        <v>5.0155921852406393E-6</v>
      </c>
      <c r="V257" s="11">
        <f t="shared" ca="1" si="93"/>
        <v>0.21774950468053123</v>
      </c>
      <c r="W257" s="11">
        <f t="shared" ca="1" si="94"/>
        <v>2.6201793907390951</v>
      </c>
      <c r="X257" s="11"/>
      <c r="Y257" s="2">
        <f t="shared" ca="1" si="95"/>
        <v>-1.2332593953270332E-5</v>
      </c>
      <c r="Z257" s="11">
        <f t="shared" ca="1" si="96"/>
        <v>5.0155921852406393E-6</v>
      </c>
      <c r="AA257" s="2">
        <f t="shared" ca="1" si="97"/>
        <v>1.546358398191699E-2</v>
      </c>
      <c r="AB257" s="2">
        <f t="shared" ca="1" si="98"/>
        <v>4.2310325185031147E-4</v>
      </c>
      <c r="AC257" s="2">
        <f t="shared" ca="1" si="99"/>
        <v>-8.4313953456984322E-5</v>
      </c>
      <c r="AD257" s="2">
        <f t="shared" ca="1" si="100"/>
        <v>0.30129055078383576</v>
      </c>
      <c r="AE257" s="2">
        <f t="shared" ca="1" si="101"/>
        <v>5.0155921852406393E-6</v>
      </c>
      <c r="AF257" s="2">
        <f t="shared" ca="1" si="102"/>
        <v>0.21773952987212705</v>
      </c>
      <c r="AG257" s="2">
        <f t="shared" ca="1" si="103"/>
        <v>2.6201753431938895</v>
      </c>
      <c r="AI257" s="2">
        <f t="shared" ca="1" si="104"/>
        <v>-1.2332593953270332E-5</v>
      </c>
      <c r="AJ257" s="11">
        <f t="shared" ca="1" si="105"/>
        <v>5.0155921852406393E-6</v>
      </c>
      <c r="AK257" s="2">
        <f t="shared" ca="1" si="106"/>
        <v>1.5457666511155847E-2</v>
      </c>
      <c r="AL257" s="2">
        <f t="shared" ca="1" si="107"/>
        <v>4.2033362835928952E-4</v>
      </c>
      <c r="AM257" s="2">
        <f t="shared" ca="1" si="108"/>
        <v>-8.4313953456984322E-5</v>
      </c>
      <c r="AN257" s="2">
        <f t="shared" ca="1" si="109"/>
        <v>0.30129055078383576</v>
      </c>
      <c r="AO257" s="2">
        <f t="shared" ca="1" si="110"/>
        <v>5.0155921852406393E-6</v>
      </c>
      <c r="AP257" s="2">
        <f t="shared" ca="1" si="111"/>
        <v>0.21773952987212705</v>
      </c>
      <c r="AQ257" s="2">
        <f t="shared" ca="1" si="112"/>
        <v>2.6201753431938895</v>
      </c>
      <c r="AS257" s="2">
        <f t="shared" ca="1" si="113"/>
        <v>8.6963253390025805</v>
      </c>
      <c r="AT257" s="2">
        <f t="shared" ca="1" si="114"/>
        <v>0.40063528272884791</v>
      </c>
      <c r="AU257" s="2">
        <f t="shared" ca="1" si="115"/>
        <v>1.6988220171299968E-4</v>
      </c>
      <c r="AV257" s="2">
        <f t="shared" ca="1" si="116"/>
        <v>0.21757962247881824</v>
      </c>
      <c r="AW257" s="2">
        <f t="shared" ca="1" si="117"/>
        <v>0.70858865359240519</v>
      </c>
      <c r="AX257" s="2">
        <f t="shared" ca="1" si="118"/>
        <v>5.3337914194099868E-2</v>
      </c>
      <c r="AY257" s="9">
        <f t="shared" ca="1" si="119"/>
        <v>0.70858865359240519</v>
      </c>
      <c r="AZ257" s="9">
        <f t="shared" ca="1" si="120"/>
        <v>0.70858865359240519</v>
      </c>
      <c r="BB257" s="2">
        <f t="shared" ca="1" si="121"/>
        <v>8.6965068648095869</v>
      </c>
      <c r="BC257" s="2">
        <f t="shared" ca="1" si="122"/>
        <v>0.40064374696210342</v>
      </c>
      <c r="BD257" s="2">
        <f t="shared" ca="1" si="123"/>
        <v>1.68404039840042E-4</v>
      </c>
      <c r="BE257" s="2">
        <f t="shared" ca="1" si="124"/>
        <v>0.21757112583228702</v>
      </c>
      <c r="BF257" s="2">
        <f t="shared" ca="1" si="125"/>
        <v>0.70856941925954076</v>
      </c>
      <c r="BG257" s="2">
        <f t="shared" ca="1" si="126"/>
        <v>5.331970513848848E-2</v>
      </c>
      <c r="BH257" s="2">
        <f t="shared" ca="1" si="127"/>
        <v>0.70856941925954076</v>
      </c>
      <c r="BI257" s="2">
        <f t="shared" ca="1" si="128"/>
        <v>0.70856941925954076</v>
      </c>
    </row>
    <row r="258" spans="1:61" ht="15" x14ac:dyDescent="0.25">
      <c r="A258" s="66">
        <v>192</v>
      </c>
      <c r="B258" s="66">
        <v>1498730220.635</v>
      </c>
      <c r="C258" s="67">
        <v>-4.9133835527194299E-5</v>
      </c>
      <c r="D258" s="67">
        <v>-7.8328129209840702E-5</v>
      </c>
      <c r="E258" s="67">
        <v>1.6058348840232099E-2</v>
      </c>
      <c r="F258" s="67">
        <v>3.6664960688139099E-4</v>
      </c>
      <c r="G258" s="67">
        <v>-1.5211312355390899E-4</v>
      </c>
      <c r="H258" s="67">
        <v>0.30059789620513</v>
      </c>
      <c r="I258" s="67">
        <v>-7.8328129209840702E-5</v>
      </c>
      <c r="J258" s="67">
        <v>0.21687621434190599</v>
      </c>
      <c r="K258" s="67">
        <v>2.6083046892718902</v>
      </c>
      <c r="L258" s="67"/>
      <c r="M258" s="67"/>
      <c r="O258" s="11">
        <f t="shared" ca="1" si="86"/>
        <v>-6.193776623715432E-5</v>
      </c>
      <c r="P258" s="11">
        <f t="shared" ca="1" si="87"/>
        <v>-7.9093229440145441E-5</v>
      </c>
      <c r="Q258" s="11">
        <f t="shared" ca="1" si="88"/>
        <v>1.5221857227963815E-2</v>
      </c>
      <c r="R258" s="11">
        <f t="shared" ca="1" si="89"/>
        <v>3.5500311923504388E-4</v>
      </c>
      <c r="S258" s="11">
        <f t="shared" ca="1" si="90"/>
        <v>-1.6304077560087911E-4</v>
      </c>
      <c r="T258" s="11">
        <f t="shared" ca="1" si="91"/>
        <v>0.29945934116654771</v>
      </c>
      <c r="U258" s="11">
        <f t="shared" ca="1" si="92"/>
        <v>-7.9093229440145441E-5</v>
      </c>
      <c r="V258" s="11">
        <f t="shared" ca="1" si="93"/>
        <v>0.21622601833621222</v>
      </c>
      <c r="W258" s="11">
        <f t="shared" ca="1" si="94"/>
        <v>2.6011818410083851</v>
      </c>
      <c r="X258" s="11"/>
      <c r="Y258" s="2">
        <f t="shared" ca="1" si="95"/>
        <v>-6.193776623715432E-5</v>
      </c>
      <c r="Z258" s="11">
        <f t="shared" ca="1" si="96"/>
        <v>-7.9093229440145441E-5</v>
      </c>
      <c r="AA258" s="2">
        <f t="shared" ca="1" si="97"/>
        <v>1.5221857227963815E-2</v>
      </c>
      <c r="AB258" s="2">
        <f t="shared" ca="1" si="98"/>
        <v>3.5500311923504388E-4</v>
      </c>
      <c r="AC258" s="2">
        <f t="shared" ca="1" si="99"/>
        <v>-1.6304077560087911E-4</v>
      </c>
      <c r="AD258" s="2">
        <f t="shared" ca="1" si="100"/>
        <v>0.29945934116654771</v>
      </c>
      <c r="AE258" s="2">
        <f t="shared" ca="1" si="101"/>
        <v>-7.9093229440145441E-5</v>
      </c>
      <c r="AF258" s="2">
        <f t="shared" ca="1" si="102"/>
        <v>0.21622601833621222</v>
      </c>
      <c r="AG258" s="2">
        <f t="shared" ca="1" si="103"/>
        <v>2.6011818410083851</v>
      </c>
      <c r="AI258" s="2">
        <f t="shared" ca="1" si="104"/>
        <v>-6.193776623715432E-5</v>
      </c>
      <c r="AJ258" s="11">
        <f t="shared" ca="1" si="105"/>
        <v>-7.9093229440145441E-5</v>
      </c>
      <c r="AK258" s="2">
        <f t="shared" ca="1" si="106"/>
        <v>1.5221857227963815E-2</v>
      </c>
      <c r="AL258" s="2">
        <f t="shared" ca="1" si="107"/>
        <v>3.5500311923504388E-4</v>
      </c>
      <c r="AM258" s="2">
        <f t="shared" ca="1" si="108"/>
        <v>-1.6304077560087911E-4</v>
      </c>
      <c r="AN258" s="2">
        <f t="shared" ca="1" si="109"/>
        <v>0.29945934116654771</v>
      </c>
      <c r="AO258" s="2">
        <f t="shared" ca="1" si="110"/>
        <v>-7.9093229440145441E-5</v>
      </c>
      <c r="AP258" s="2">
        <f t="shared" ca="1" si="111"/>
        <v>0.21622601833621222</v>
      </c>
      <c r="AQ258" s="2">
        <f t="shared" ca="1" si="112"/>
        <v>2.6011818410083851</v>
      </c>
      <c r="AS258" s="2">
        <f t="shared" ca="1" si="113"/>
        <v>8.6862604815580227</v>
      </c>
      <c r="AT258" s="2">
        <f t="shared" ca="1" si="114"/>
        <v>0.40016597925320951</v>
      </c>
      <c r="AU258" s="2">
        <f t="shared" ca="1" si="115"/>
        <v>1.4206017084663524E-4</v>
      </c>
      <c r="AV258" s="2">
        <f t="shared" ca="1" si="116"/>
        <v>0.21608395816536557</v>
      </c>
      <c r="AW258" s="2">
        <f t="shared" ca="1" si="117"/>
        <v>0.70844992140774332</v>
      </c>
      <c r="AX258" s="2">
        <f t="shared" ca="1" si="118"/>
        <v>5.2763694470935034E-2</v>
      </c>
      <c r="AY258" s="9">
        <f t="shared" ca="1" si="119"/>
        <v>0.70844992140774332</v>
      </c>
      <c r="AZ258" s="9">
        <f t="shared" ca="1" si="120"/>
        <v>0.70844992140774332</v>
      </c>
      <c r="BB258" s="2">
        <f t="shared" ca="1" si="121"/>
        <v>8.6862604815580227</v>
      </c>
      <c r="BC258" s="2">
        <f t="shared" ca="1" si="122"/>
        <v>0.40016597925320951</v>
      </c>
      <c r="BD258" s="2">
        <f t="shared" ca="1" si="123"/>
        <v>1.4206017084663524E-4</v>
      </c>
      <c r="BE258" s="2">
        <f t="shared" ca="1" si="124"/>
        <v>0.21608395816536557</v>
      </c>
      <c r="BF258" s="2">
        <f t="shared" ca="1" si="125"/>
        <v>0.70844992140774332</v>
      </c>
      <c r="BG258" s="2">
        <f t="shared" ca="1" si="126"/>
        <v>5.2763694470935034E-2</v>
      </c>
      <c r="BH258" s="2">
        <f t="shared" ca="1" si="127"/>
        <v>0.70844992140774332</v>
      </c>
      <c r="BI258" s="2">
        <f t="shared" ca="1" si="128"/>
        <v>0.70844992140774332</v>
      </c>
    </row>
    <row r="259" spans="1:61" ht="15" x14ac:dyDescent="0.25">
      <c r="A259" s="66">
        <v>193</v>
      </c>
      <c r="B259" s="66">
        <v>1498730221.1619999</v>
      </c>
      <c r="C259" s="67">
        <v>4.1574644104345101E-5</v>
      </c>
      <c r="D259" s="67">
        <v>-5.0143507999861799E-6</v>
      </c>
      <c r="E259" s="67">
        <v>1.6448289972403999E-2</v>
      </c>
      <c r="F259" s="67">
        <v>4.5829250551375299E-4</v>
      </c>
      <c r="G259" s="67">
        <v>1.08705285168796E-4</v>
      </c>
      <c r="H259" s="67">
        <v>0.30529049447768802</v>
      </c>
      <c r="I259" s="67">
        <v>-5.0143507999861799E-6</v>
      </c>
      <c r="J259" s="67">
        <v>0.22046541714522799</v>
      </c>
      <c r="K259" s="67">
        <v>2.6503718836400401</v>
      </c>
      <c r="L259" s="67"/>
      <c r="M259" s="67"/>
      <c r="O259" s="11">
        <f t="shared" ref="O259:O322" ca="1" si="129">C259-AVERAGE(OFFSET(C$67,$J$2,0,$J$3))</f>
        <v>2.8770713394385074E-5</v>
      </c>
      <c r="P259" s="11">
        <f t="shared" ref="P259:P322" ca="1" si="130">D259-AVERAGE(OFFSET(D$67,$J$2,0,$J$3))</f>
        <v>-5.7794510302909202E-6</v>
      </c>
      <c r="Q259" s="11">
        <f t="shared" ref="Q259:Q322" ca="1" si="131">E259-AVERAGE(OFFSET(E$67,$J$2,0,$J$3))</f>
        <v>1.5611798360135714E-2</v>
      </c>
      <c r="R259" s="11">
        <f t="shared" ref="R259:R322" ca="1" si="132">F259-AVERAGE(OFFSET(F$67,$J$2,0,$J$3))</f>
        <v>4.4664601786740588E-4</v>
      </c>
      <c r="S259" s="11">
        <f t="shared" ref="S259:S322" ca="1" si="133">G259-AVERAGE(OFFSET(G$67,$J$2,0,$J$3))</f>
        <v>9.7777633121825876E-5</v>
      </c>
      <c r="T259" s="11">
        <f t="shared" ref="T259:T322" ca="1" si="134">H259-AVERAGE(OFFSET(H$67,$J$2,0,$J$3))</f>
        <v>0.30415193943910573</v>
      </c>
      <c r="U259" s="11">
        <f t="shared" ref="U259:U322" ca="1" si="135">I259-AVERAGE(OFFSET(I$67,$J$2,0,$J$3))</f>
        <v>-5.7794510302909202E-6</v>
      </c>
      <c r="V259" s="11">
        <f t="shared" ref="V259:V322" ca="1" si="136">J259-AVERAGE(OFFSET(J$67,$J$2,0,$J$3))</f>
        <v>0.21981522113953422</v>
      </c>
      <c r="W259" s="11">
        <f t="shared" ref="W259:W322" ca="1" si="137">K259-AVERAGE(OFFSET(K$67,$J$2,0,$J$3))</f>
        <v>2.643249035376535</v>
      </c>
      <c r="X259" s="11"/>
      <c r="Y259" s="2">
        <f t="shared" ref="Y259:Y322" ca="1" si="138">O259</f>
        <v>2.8770713394385074E-5</v>
      </c>
      <c r="Z259" s="11">
        <f t="shared" ref="Z259:Z322" ca="1" si="139">P259</f>
        <v>-5.7794510302909202E-6</v>
      </c>
      <c r="AA259" s="2">
        <f t="shared" ref="AA259:AA322" ca="1" si="140">IF($U259&gt;0,Q259-($B$14/$B$18*$U259), Q259)</f>
        <v>1.5611798360135714E-2</v>
      </c>
      <c r="AB259" s="2">
        <f t="shared" ref="AB259:AB322" ca="1" si="141">IF($U259&gt;0,R259-($B$15/$B$18*$U259), R259)</f>
        <v>4.4664601786740588E-4</v>
      </c>
      <c r="AC259" s="2">
        <f t="shared" ref="AC259:AC322" ca="1" si="142">S259</f>
        <v>9.7777633121825876E-5</v>
      </c>
      <c r="AD259" s="2">
        <f t="shared" ref="AD259:AD322" ca="1" si="143">IF($U259&gt;0,T259-($B$17/$B$18*$U259), T259)</f>
        <v>0.30415193943910573</v>
      </c>
      <c r="AE259" s="2">
        <f t="shared" ref="AE259:AE322" ca="1" si="144">U259</f>
        <v>-5.7794510302909202E-6</v>
      </c>
      <c r="AF259" s="2">
        <f t="shared" ref="AF259:AF322" ca="1" si="145">IF($U259&gt;0,V259-($B$19/$B$18*$U259), V259)</f>
        <v>0.21981522113953422</v>
      </c>
      <c r="AG259" s="2">
        <f t="shared" ref="AG259:AG322" ca="1" si="146">IF($U259&gt;0,W259-($B$20/$B$18*$U259), W259)</f>
        <v>2.643249035376535</v>
      </c>
      <c r="AI259" s="2">
        <f t="shared" ref="AI259:AI322" ca="1" si="147">Y259</f>
        <v>2.8770713394385074E-5</v>
      </c>
      <c r="AJ259" s="11">
        <f t="shared" ref="AJ259:AJ322" ca="1" si="148">Z259</f>
        <v>-5.7794510302909202E-6</v>
      </c>
      <c r="AK259" s="2">
        <f t="shared" ref="AK259:AK322" ca="1" si="149">IF($AJ259&gt;0,AA259-($B$25/$B$24*$AJ259),AA259)</f>
        <v>1.5611798360135714E-2</v>
      </c>
      <c r="AL259" s="2">
        <f t="shared" ref="AL259:AL322" ca="1" si="150">IF($AJ259&gt;0,AB259-($B$26/$B$25*$AJ259),AB259)</f>
        <v>4.4664601786740588E-4</v>
      </c>
      <c r="AM259" s="2">
        <f t="shared" ref="AM259:AM322" ca="1" si="151">AC259</f>
        <v>9.7777633121825876E-5</v>
      </c>
      <c r="AN259" s="2">
        <f t="shared" ref="AN259:AN322" ca="1" si="152">AD259</f>
        <v>0.30415193943910573</v>
      </c>
      <c r="AO259" s="2">
        <f t="shared" ref="AO259:AO322" ca="1" si="153">AE259</f>
        <v>-5.7794510302909202E-6</v>
      </c>
      <c r="AP259" s="2">
        <f t="shared" ref="AP259:AP322" ca="1" si="154">AF259</f>
        <v>0.21981522113953422</v>
      </c>
      <c r="AQ259" s="2">
        <f t="shared" ref="AQ259:AQ322" ca="1" si="155">AG259</f>
        <v>2.643249035376535</v>
      </c>
      <c r="AS259" s="2">
        <f t="shared" ref="AS259:AS322" ca="1" si="156">IF(AND(T259&gt;0,W259&gt;0),W259/T259, #N/A)</f>
        <v>8.6905545966631585</v>
      </c>
      <c r="AT259" s="2">
        <f t="shared" ref="AT259:AT322" ca="1" si="157">$B$8*((AS259/$B$10)^$B$11)</f>
        <v>0.40036620414859408</v>
      </c>
      <c r="AU259" s="2">
        <f t="shared" ref="AU259:AU322" ca="1" si="158">AT259*R259</f>
        <v>1.7882197077165841E-4</v>
      </c>
      <c r="AV259" s="2">
        <f t="shared" ref="AV259:AV322" ca="1" si="159">V259-AU259</f>
        <v>0.21963639916876257</v>
      </c>
      <c r="AW259" s="2">
        <f t="shared" ref="AW259:AW322" ca="1" si="160">(AV259/T259)/((AS259/$B$10)^$B$12)</f>
        <v>0.70881047423588184</v>
      </c>
      <c r="AX259" s="2">
        <f t="shared" ref="AX259:AX322" ca="1" si="161">(Q259/T259)/((AS259/$B$10)^$B$13)</f>
        <v>5.3307386979380519E-2</v>
      </c>
      <c r="AY259" s="9">
        <f t="shared" ref="AY259:AY322" ca="1" si="162">IF(AND(AW259&lt;$M$3,AW259&gt;$M$4),AW259,"rejected")</f>
        <v>0.70881047423588184</v>
      </c>
      <c r="AZ259" s="9">
        <f t="shared" ref="AZ259:AZ322" ca="1" si="163">IF(AND(AW259&lt;$M$3,AW259&gt;$M$4),AW259,#N/A)</f>
        <v>0.70881047423588184</v>
      </c>
      <c r="BB259" s="2">
        <f t="shared" ref="BB259:BB322" ca="1" si="164">IF(AND(AQ259&gt;0, AN259&gt;0),AQ259/AN259, #N/A)</f>
        <v>8.6905545966631585</v>
      </c>
      <c r="BC259" s="2">
        <f t="shared" ref="BC259:BC322" ca="1" si="165">$B$8*((BB259/$B$10)^$B$11)</f>
        <v>0.40036620414859408</v>
      </c>
      <c r="BD259" s="2">
        <f t="shared" ref="BD259:BD322" ca="1" si="166">BC259*AL259</f>
        <v>1.7882197077165841E-4</v>
      </c>
      <c r="BE259" s="2">
        <f t="shared" ref="BE259:BE322" ca="1" si="167">AP259-BD259</f>
        <v>0.21963639916876257</v>
      </c>
      <c r="BF259" s="2">
        <f t="shared" ref="BF259:BF322" ca="1" si="168">(BE259/AN259)/((BB259/$B$10)^$B$12)</f>
        <v>0.70881047423588184</v>
      </c>
      <c r="BG259" s="2">
        <f t="shared" ref="BG259:BG322" ca="1" si="169">(AK259/AN259)/((BB259/$B$10)^$B$13)</f>
        <v>5.3307386979380519E-2</v>
      </c>
      <c r="BH259" s="2">
        <f t="shared" ref="BH259:BH322" ca="1" si="170">IF(AND(BF259&lt;$P$3,BF259&gt;$P$4),BF259,"rejected")</f>
        <v>0.70881047423588184</v>
      </c>
      <c r="BI259" s="2">
        <f t="shared" ref="BI259:BI322" ca="1" si="171">IF(AND(BF259&lt;$P$3,BF259&gt;$P$4),BF259,#N/A)</f>
        <v>0.70881047423588184</v>
      </c>
    </row>
    <row r="260" spans="1:61" ht="15" x14ac:dyDescent="0.25">
      <c r="A260" s="66">
        <v>194</v>
      </c>
      <c r="B260" s="66">
        <v>1498730221.688</v>
      </c>
      <c r="C260" s="67">
        <v>9.92022219950617E-6</v>
      </c>
      <c r="D260" s="67">
        <v>5.9111741531252197E-5</v>
      </c>
      <c r="E260" s="67">
        <v>1.6149546871680201E-2</v>
      </c>
      <c r="F260" s="67">
        <v>5.3304125106454496E-4</v>
      </c>
      <c r="G260" s="67">
        <v>8.6697105053799603E-5</v>
      </c>
      <c r="H260" s="67">
        <v>0.29849156815904598</v>
      </c>
      <c r="I260" s="67">
        <v>5.9111741531252197E-5</v>
      </c>
      <c r="J260" s="67">
        <v>0.21551513277457801</v>
      </c>
      <c r="K260" s="67">
        <v>2.59143022455173</v>
      </c>
      <c r="L260" s="67"/>
      <c r="M260" s="67"/>
      <c r="O260" s="11">
        <f t="shared" ca="1" si="129"/>
        <v>-2.8837085104538578E-6</v>
      </c>
      <c r="P260" s="11">
        <f t="shared" ca="1" si="130"/>
        <v>5.8346641300947459E-5</v>
      </c>
      <c r="Q260" s="11">
        <f t="shared" ca="1" si="131"/>
        <v>1.5313055259411916E-2</v>
      </c>
      <c r="R260" s="11">
        <f t="shared" ca="1" si="132"/>
        <v>5.213947634181978E-4</v>
      </c>
      <c r="S260" s="11">
        <f t="shared" ca="1" si="133"/>
        <v>7.5769453006829476E-5</v>
      </c>
      <c r="T260" s="11">
        <f t="shared" ca="1" si="134"/>
        <v>0.29735301312046369</v>
      </c>
      <c r="U260" s="11">
        <f t="shared" ca="1" si="135"/>
        <v>5.8346641300947459E-5</v>
      </c>
      <c r="V260" s="11">
        <f t="shared" ca="1" si="136"/>
        <v>0.21486493676888424</v>
      </c>
      <c r="W260" s="11">
        <f t="shared" ca="1" si="137"/>
        <v>2.5843073762882249</v>
      </c>
      <c r="X260" s="11"/>
      <c r="Y260" s="2">
        <f t="shared" ca="1" si="138"/>
        <v>-2.8837085104538578E-6</v>
      </c>
      <c r="Z260" s="11">
        <f t="shared" ca="1" si="139"/>
        <v>5.8346641300947459E-5</v>
      </c>
      <c r="AA260" s="2">
        <f t="shared" ca="1" si="140"/>
        <v>1.531260886394472E-2</v>
      </c>
      <c r="AB260" s="2">
        <f t="shared" ca="1" si="141"/>
        <v>5.1058996404171981E-4</v>
      </c>
      <c r="AC260" s="2">
        <f t="shared" ca="1" si="142"/>
        <v>7.5769453006829476E-5</v>
      </c>
      <c r="AD260" s="2">
        <f t="shared" ca="1" si="143"/>
        <v>0.29727443737288545</v>
      </c>
      <c r="AE260" s="2">
        <f t="shared" ca="1" si="144"/>
        <v>5.8346641300947459E-5</v>
      </c>
      <c r="AF260" s="2">
        <f t="shared" ca="1" si="145"/>
        <v>0.21474889931079177</v>
      </c>
      <c r="AG260" s="2">
        <f t="shared" ca="1" si="146"/>
        <v>2.5842602909871193</v>
      </c>
      <c r="AI260" s="2">
        <f t="shared" ca="1" si="147"/>
        <v>-2.8837085104538578E-6</v>
      </c>
      <c r="AJ260" s="11">
        <f t="shared" ca="1" si="148"/>
        <v>5.8346641300947459E-5</v>
      </c>
      <c r="AK260" s="2">
        <f t="shared" ca="1" si="149"/>
        <v>1.5243770622884126E-2</v>
      </c>
      <c r="AL260" s="2">
        <f t="shared" ca="1" si="150"/>
        <v>4.7837079182814319E-4</v>
      </c>
      <c r="AM260" s="2">
        <f t="shared" ca="1" si="151"/>
        <v>7.5769453006829476E-5</v>
      </c>
      <c r="AN260" s="2">
        <f t="shared" ca="1" si="152"/>
        <v>0.29727443737288545</v>
      </c>
      <c r="AO260" s="2">
        <f t="shared" ca="1" si="153"/>
        <v>5.8346641300947459E-5</v>
      </c>
      <c r="AP260" s="2">
        <f t="shared" ca="1" si="154"/>
        <v>0.21474889931079177</v>
      </c>
      <c r="AQ260" s="2">
        <f t="shared" ca="1" si="155"/>
        <v>2.5842602909871193</v>
      </c>
      <c r="AS260" s="2">
        <f t="shared" ca="1" si="156"/>
        <v>8.6910414970009739</v>
      </c>
      <c r="AT260" s="2">
        <f t="shared" ca="1" si="157"/>
        <v>0.40038890728814985</v>
      </c>
      <c r="AU260" s="2">
        <f t="shared" ca="1" si="158"/>
        <v>2.0876067959077564E-4</v>
      </c>
      <c r="AV260" s="2">
        <f t="shared" ca="1" si="159"/>
        <v>0.21465617608929347</v>
      </c>
      <c r="AW260" s="2">
        <f t="shared" ca="1" si="160"/>
        <v>0.70855765355547262</v>
      </c>
      <c r="AX260" s="2">
        <f t="shared" ca="1" si="161"/>
        <v>5.3485918059028977E-2</v>
      </c>
      <c r="AY260" s="9">
        <f t="shared" ca="1" si="162"/>
        <v>0.70855765355547262</v>
      </c>
      <c r="AZ260" s="9">
        <f t="shared" ca="1" si="163"/>
        <v>0.70855765355547262</v>
      </c>
      <c r="BB260" s="2">
        <f t="shared" ca="1" si="164"/>
        <v>8.6931803279996078</v>
      </c>
      <c r="BC260" s="2">
        <f t="shared" ca="1" si="165"/>
        <v>0.40048863666567985</v>
      </c>
      <c r="BD260" s="2">
        <f t="shared" ca="1" si="166"/>
        <v>1.915820662399348E-4</v>
      </c>
      <c r="BE260" s="2">
        <f t="shared" ca="1" si="167"/>
        <v>0.21455731724455185</v>
      </c>
      <c r="BF260" s="2">
        <f t="shared" ca="1" si="168"/>
        <v>0.70833075121124423</v>
      </c>
      <c r="BG260" s="2">
        <f t="shared" ca="1" si="169"/>
        <v>5.3271403331654435E-2</v>
      </c>
      <c r="BH260" s="2">
        <f t="shared" ca="1" si="170"/>
        <v>0.70833075121124423</v>
      </c>
      <c r="BI260" s="2">
        <f t="shared" ca="1" si="171"/>
        <v>0.70833075121124423</v>
      </c>
    </row>
    <row r="261" spans="1:61" ht="15" x14ac:dyDescent="0.25">
      <c r="A261" s="66">
        <v>195</v>
      </c>
      <c r="B261" s="66">
        <v>1498730222.2149999</v>
      </c>
      <c r="C261" s="67">
        <v>1.5589596658531999E-5</v>
      </c>
      <c r="D261" s="67">
        <v>-3.12529807694467E-5</v>
      </c>
      <c r="E261" s="67">
        <v>1.5956544862992101E-2</v>
      </c>
      <c r="F261" s="67">
        <v>7.3851009137342397E-4</v>
      </c>
      <c r="G261" s="67">
        <v>6.5212042554889502E-5</v>
      </c>
      <c r="H261" s="67">
        <v>0.297935044245763</v>
      </c>
      <c r="I261" s="67">
        <v>-3.12529807694467E-5</v>
      </c>
      <c r="J261" s="67">
        <v>0.21521579325640999</v>
      </c>
      <c r="K261" s="67">
        <v>2.5869023250403198</v>
      </c>
      <c r="L261" s="67"/>
      <c r="M261" s="67"/>
      <c r="O261" s="11">
        <f t="shared" ca="1" si="129"/>
        <v>2.7856659485719709E-6</v>
      </c>
      <c r="P261" s="11">
        <f t="shared" ca="1" si="130"/>
        <v>-3.2018080999751439E-5</v>
      </c>
      <c r="Q261" s="11">
        <f t="shared" ca="1" si="131"/>
        <v>1.5120053250723816E-2</v>
      </c>
      <c r="R261" s="11">
        <f t="shared" ca="1" si="132"/>
        <v>7.268636037270768E-4</v>
      </c>
      <c r="S261" s="11">
        <f t="shared" ca="1" si="133"/>
        <v>5.4284390507919381E-5</v>
      </c>
      <c r="T261" s="11">
        <f t="shared" ca="1" si="134"/>
        <v>0.29679648920718071</v>
      </c>
      <c r="U261" s="11">
        <f t="shared" ca="1" si="135"/>
        <v>-3.2018080999751439E-5</v>
      </c>
      <c r="V261" s="11">
        <f t="shared" ca="1" si="136"/>
        <v>0.21456559725071622</v>
      </c>
      <c r="W261" s="11">
        <f t="shared" ca="1" si="137"/>
        <v>2.5797794767768147</v>
      </c>
      <c r="X261" s="11"/>
      <c r="Y261" s="2">
        <f t="shared" ca="1" si="138"/>
        <v>2.7856659485719709E-6</v>
      </c>
      <c r="Z261" s="11">
        <f t="shared" ca="1" si="139"/>
        <v>-3.2018080999751439E-5</v>
      </c>
      <c r="AA261" s="2">
        <f t="shared" ca="1" si="140"/>
        <v>1.5120053250723816E-2</v>
      </c>
      <c r="AB261" s="2">
        <f t="shared" ca="1" si="141"/>
        <v>7.268636037270768E-4</v>
      </c>
      <c r="AC261" s="2">
        <f t="shared" ca="1" si="142"/>
        <v>5.4284390507919381E-5</v>
      </c>
      <c r="AD261" s="2">
        <f t="shared" ca="1" si="143"/>
        <v>0.29679648920718071</v>
      </c>
      <c r="AE261" s="2">
        <f t="shared" ca="1" si="144"/>
        <v>-3.2018080999751439E-5</v>
      </c>
      <c r="AF261" s="2">
        <f t="shared" ca="1" si="145"/>
        <v>0.21456559725071622</v>
      </c>
      <c r="AG261" s="2">
        <f t="shared" ca="1" si="146"/>
        <v>2.5797794767768147</v>
      </c>
      <c r="AI261" s="2">
        <f t="shared" ca="1" si="147"/>
        <v>2.7856659485719709E-6</v>
      </c>
      <c r="AJ261" s="11">
        <f t="shared" ca="1" si="148"/>
        <v>-3.2018080999751439E-5</v>
      </c>
      <c r="AK261" s="2">
        <f t="shared" ca="1" si="149"/>
        <v>1.5120053250723816E-2</v>
      </c>
      <c r="AL261" s="2">
        <f t="shared" ca="1" si="150"/>
        <v>7.268636037270768E-4</v>
      </c>
      <c r="AM261" s="2">
        <f t="shared" ca="1" si="151"/>
        <v>5.4284390507919381E-5</v>
      </c>
      <c r="AN261" s="2">
        <f t="shared" ca="1" si="152"/>
        <v>0.29679648920718071</v>
      </c>
      <c r="AO261" s="2">
        <f t="shared" ca="1" si="153"/>
        <v>-3.2018080999751439E-5</v>
      </c>
      <c r="AP261" s="2">
        <f t="shared" ca="1" si="154"/>
        <v>0.21456559725071622</v>
      </c>
      <c r="AQ261" s="2">
        <f t="shared" ca="1" si="155"/>
        <v>2.5797794767768147</v>
      </c>
      <c r="AS261" s="2">
        <f t="shared" ca="1" si="156"/>
        <v>8.6920821862417075</v>
      </c>
      <c r="AT261" s="2">
        <f t="shared" ca="1" si="157"/>
        <v>0.40043743249221175</v>
      </c>
      <c r="AU261" s="2">
        <f t="shared" ca="1" si="158"/>
        <v>2.9106339524850709E-4</v>
      </c>
      <c r="AV261" s="2">
        <f t="shared" ca="1" si="159"/>
        <v>0.21427453385546771</v>
      </c>
      <c r="AW261" s="2">
        <f t="shared" ca="1" si="160"/>
        <v>0.70858142120422352</v>
      </c>
      <c r="AX261" s="2">
        <f t="shared" ca="1" si="161"/>
        <v>5.2917305155913141E-2</v>
      </c>
      <c r="AY261" s="9">
        <f t="shared" ca="1" si="162"/>
        <v>0.70858142120422352</v>
      </c>
      <c r="AZ261" s="9">
        <f t="shared" ca="1" si="163"/>
        <v>0.70858142120422352</v>
      </c>
      <c r="BB261" s="2">
        <f t="shared" ca="1" si="164"/>
        <v>8.6920821862417075</v>
      </c>
      <c r="BC261" s="2">
        <f t="shared" ca="1" si="165"/>
        <v>0.40043743249221175</v>
      </c>
      <c r="BD261" s="2">
        <f t="shared" ca="1" si="166"/>
        <v>2.9106339524850709E-4</v>
      </c>
      <c r="BE261" s="2">
        <f t="shared" ca="1" si="167"/>
        <v>0.21427453385546771</v>
      </c>
      <c r="BF261" s="2">
        <f t="shared" ca="1" si="168"/>
        <v>0.70858142120422352</v>
      </c>
      <c r="BG261" s="2">
        <f t="shared" ca="1" si="169"/>
        <v>5.2917305155913141E-2</v>
      </c>
      <c r="BH261" s="2">
        <f t="shared" ca="1" si="170"/>
        <v>0.70858142120422352</v>
      </c>
      <c r="BI261" s="2">
        <f t="shared" ca="1" si="171"/>
        <v>0.70858142120422352</v>
      </c>
    </row>
    <row r="262" spans="1:61" ht="15" x14ac:dyDescent="0.25">
      <c r="A262" s="66">
        <v>196</v>
      </c>
      <c r="B262" s="66">
        <v>1498730222.7420001</v>
      </c>
      <c r="C262" s="67">
        <v>6.1406572239317598E-6</v>
      </c>
      <c r="D262" s="67">
        <v>8.0485094792387907E-6</v>
      </c>
      <c r="E262" s="67">
        <v>1.4949670982114799E-2</v>
      </c>
      <c r="F262" s="67">
        <v>4.2996562085787502E-4</v>
      </c>
      <c r="G262" s="67">
        <v>-1.7857303238230301E-5</v>
      </c>
      <c r="H262" s="67">
        <v>0.278675138839234</v>
      </c>
      <c r="I262" s="67">
        <v>8.0485094792387907E-6</v>
      </c>
      <c r="J262" s="67">
        <v>0.20152156686413999</v>
      </c>
      <c r="K262" s="67">
        <v>2.4224166469531601</v>
      </c>
      <c r="L262" s="67"/>
      <c r="M262" s="67"/>
      <c r="O262" s="11">
        <f t="shared" ca="1" si="129"/>
        <v>-6.663273486028268E-6</v>
      </c>
      <c r="P262" s="11">
        <f t="shared" ca="1" si="130"/>
        <v>7.2834092489340504E-6</v>
      </c>
      <c r="Q262" s="11">
        <f t="shared" ca="1" si="131"/>
        <v>1.4113179369846515E-2</v>
      </c>
      <c r="R262" s="11">
        <f t="shared" ca="1" si="132"/>
        <v>4.1831913321152791E-4</v>
      </c>
      <c r="S262" s="11">
        <f t="shared" ca="1" si="133"/>
        <v>-2.8784955285200425E-5</v>
      </c>
      <c r="T262" s="11">
        <f t="shared" ca="1" si="134"/>
        <v>0.27753658380065171</v>
      </c>
      <c r="U262" s="11">
        <f t="shared" ca="1" si="135"/>
        <v>7.2834092489340504E-6</v>
      </c>
      <c r="V262" s="11">
        <f t="shared" ca="1" si="136"/>
        <v>0.20087137085844622</v>
      </c>
      <c r="W262" s="11">
        <f t="shared" ca="1" si="137"/>
        <v>2.415293798689655</v>
      </c>
      <c r="X262" s="11"/>
      <c r="Y262" s="2">
        <f t="shared" ca="1" si="138"/>
        <v>-6.663273486028268E-6</v>
      </c>
      <c r="Z262" s="11">
        <f t="shared" ca="1" si="139"/>
        <v>7.2834092489340504E-6</v>
      </c>
      <c r="AA262" s="2">
        <f t="shared" ca="1" si="140"/>
        <v>1.4113123646315529E-2</v>
      </c>
      <c r="AB262" s="2">
        <f t="shared" ca="1" si="141"/>
        <v>4.1697037047288784E-4</v>
      </c>
      <c r="AC262" s="2">
        <f t="shared" ca="1" si="142"/>
        <v>-2.8784955285200425E-5</v>
      </c>
      <c r="AD262" s="2">
        <f t="shared" ca="1" si="143"/>
        <v>0.27752677519275426</v>
      </c>
      <c r="AE262" s="2">
        <f t="shared" ca="1" si="144"/>
        <v>7.2834092489340504E-6</v>
      </c>
      <c r="AF262" s="2">
        <f t="shared" ca="1" si="145"/>
        <v>0.20085688590649955</v>
      </c>
      <c r="AG262" s="2">
        <f t="shared" ca="1" si="146"/>
        <v>2.4152879210331197</v>
      </c>
      <c r="AI262" s="2">
        <f t="shared" ca="1" si="147"/>
        <v>-6.663273486028268E-6</v>
      </c>
      <c r="AJ262" s="11">
        <f t="shared" ca="1" si="148"/>
        <v>7.2834092489340504E-6</v>
      </c>
      <c r="AK262" s="2">
        <f t="shared" ca="1" si="149"/>
        <v>1.4104530571025471E-2</v>
      </c>
      <c r="AL262" s="2">
        <f t="shared" ca="1" si="150"/>
        <v>4.1294845230140342E-4</v>
      </c>
      <c r="AM262" s="2">
        <f t="shared" ca="1" si="151"/>
        <v>-2.8784955285200425E-5</v>
      </c>
      <c r="AN262" s="2">
        <f t="shared" ca="1" si="152"/>
        <v>0.27752677519275426</v>
      </c>
      <c r="AO262" s="2">
        <f t="shared" ca="1" si="153"/>
        <v>7.2834092489340504E-6</v>
      </c>
      <c r="AP262" s="2">
        <f t="shared" ca="1" si="154"/>
        <v>0.20085688590649955</v>
      </c>
      <c r="AQ262" s="2">
        <f t="shared" ca="1" si="155"/>
        <v>2.4152879210331197</v>
      </c>
      <c r="AS262" s="2">
        <f t="shared" ca="1" si="156"/>
        <v>8.7026141405001454</v>
      </c>
      <c r="AT262" s="2">
        <f t="shared" ca="1" si="157"/>
        <v>0.40092851987400452</v>
      </c>
      <c r="AU262" s="2">
        <f t="shared" ca="1" si="158"/>
        <v>1.6771607091347441E-4</v>
      </c>
      <c r="AV262" s="2">
        <f t="shared" ca="1" si="159"/>
        <v>0.20070365478753274</v>
      </c>
      <c r="AW262" s="2">
        <f t="shared" ca="1" si="160"/>
        <v>0.70932972962005403</v>
      </c>
      <c r="AX262" s="2">
        <f t="shared" ca="1" si="161"/>
        <v>5.2886632239461252E-2</v>
      </c>
      <c r="AY262" s="9">
        <f t="shared" ca="1" si="162"/>
        <v>0.70932972962005403</v>
      </c>
      <c r="AZ262" s="9">
        <f t="shared" ca="1" si="163"/>
        <v>0.70932972962005403</v>
      </c>
      <c r="BB262" s="2">
        <f t="shared" ca="1" si="164"/>
        <v>8.7029005376349673</v>
      </c>
      <c r="BC262" s="2">
        <f t="shared" ca="1" si="165"/>
        <v>0.40094187419328425</v>
      </c>
      <c r="BD262" s="2">
        <f t="shared" ca="1" si="166"/>
        <v>1.6556832641094073E-4</v>
      </c>
      <c r="BE262" s="2">
        <f t="shared" ca="1" si="167"/>
        <v>0.20069131758008862</v>
      </c>
      <c r="BF262" s="2">
        <f t="shared" ca="1" si="168"/>
        <v>0.70929944046838866</v>
      </c>
      <c r="BG262" s="2">
        <f t="shared" ca="1" si="169"/>
        <v>5.2857870327305025E-2</v>
      </c>
      <c r="BH262" s="2">
        <f t="shared" ca="1" si="170"/>
        <v>0.70929944046838866</v>
      </c>
      <c r="BI262" s="2">
        <f t="shared" ca="1" si="171"/>
        <v>0.70929944046838866</v>
      </c>
    </row>
    <row r="263" spans="1:61" ht="15" x14ac:dyDescent="0.25">
      <c r="A263" s="66">
        <v>197</v>
      </c>
      <c r="B263" s="66">
        <v>1498730223.2690001</v>
      </c>
      <c r="C263" s="67">
        <v>-2.3633113290010599E-6</v>
      </c>
      <c r="D263" s="67">
        <v>-1.11318077165298E-5</v>
      </c>
      <c r="E263" s="67">
        <v>1.4388106464597501E-2</v>
      </c>
      <c r="F263" s="67">
        <v>4.4615231372257202E-4</v>
      </c>
      <c r="G263" s="67">
        <v>1.2864411592788E-4</v>
      </c>
      <c r="H263" s="67">
        <v>0.26635136633881001</v>
      </c>
      <c r="I263" s="67">
        <v>-1.11318077165298E-5</v>
      </c>
      <c r="J263" s="67">
        <v>0.19218694666460501</v>
      </c>
      <c r="K263" s="67">
        <v>2.3129608757709001</v>
      </c>
      <c r="L263" s="67"/>
      <c r="M263" s="67"/>
      <c r="O263" s="11">
        <f t="shared" ca="1" si="129"/>
        <v>-1.5167242038961087E-5</v>
      </c>
      <c r="P263" s="11">
        <f t="shared" ca="1" si="130"/>
        <v>-1.189690794683454E-5</v>
      </c>
      <c r="Q263" s="11">
        <f t="shared" ca="1" si="131"/>
        <v>1.3551614852329216E-2</v>
      </c>
      <c r="R263" s="11">
        <f t="shared" ca="1" si="132"/>
        <v>4.3450582607622491E-4</v>
      </c>
      <c r="S263" s="11">
        <f t="shared" ca="1" si="133"/>
        <v>1.1771646388090988E-4</v>
      </c>
      <c r="T263" s="11">
        <f t="shared" ca="1" si="134"/>
        <v>0.26521281130022772</v>
      </c>
      <c r="U263" s="11">
        <f t="shared" ca="1" si="135"/>
        <v>-1.189690794683454E-5</v>
      </c>
      <c r="V263" s="11">
        <f t="shared" ca="1" si="136"/>
        <v>0.19153675065891124</v>
      </c>
      <c r="W263" s="11">
        <f t="shared" ca="1" si="137"/>
        <v>2.3058380275073951</v>
      </c>
      <c r="X263" s="11"/>
      <c r="Y263" s="2">
        <f t="shared" ca="1" si="138"/>
        <v>-1.5167242038961087E-5</v>
      </c>
      <c r="Z263" s="11">
        <f t="shared" ca="1" si="139"/>
        <v>-1.189690794683454E-5</v>
      </c>
      <c r="AA263" s="2">
        <f t="shared" ca="1" si="140"/>
        <v>1.3551614852329216E-2</v>
      </c>
      <c r="AB263" s="2">
        <f t="shared" ca="1" si="141"/>
        <v>4.3450582607622491E-4</v>
      </c>
      <c r="AC263" s="2">
        <f t="shared" ca="1" si="142"/>
        <v>1.1771646388090988E-4</v>
      </c>
      <c r="AD263" s="2">
        <f t="shared" ca="1" si="143"/>
        <v>0.26521281130022772</v>
      </c>
      <c r="AE263" s="2">
        <f t="shared" ca="1" si="144"/>
        <v>-1.189690794683454E-5</v>
      </c>
      <c r="AF263" s="2">
        <f t="shared" ca="1" si="145"/>
        <v>0.19153675065891124</v>
      </c>
      <c r="AG263" s="2">
        <f t="shared" ca="1" si="146"/>
        <v>2.3058380275073951</v>
      </c>
      <c r="AI263" s="2">
        <f t="shared" ca="1" si="147"/>
        <v>-1.5167242038961087E-5</v>
      </c>
      <c r="AJ263" s="11">
        <f t="shared" ca="1" si="148"/>
        <v>-1.189690794683454E-5</v>
      </c>
      <c r="AK263" s="2">
        <f t="shared" ca="1" si="149"/>
        <v>1.3551614852329216E-2</v>
      </c>
      <c r="AL263" s="2">
        <f t="shared" ca="1" si="150"/>
        <v>4.3450582607622491E-4</v>
      </c>
      <c r="AM263" s="2">
        <f t="shared" ca="1" si="151"/>
        <v>1.1771646388090988E-4</v>
      </c>
      <c r="AN263" s="2">
        <f t="shared" ca="1" si="152"/>
        <v>0.26521281130022772</v>
      </c>
      <c r="AO263" s="2">
        <f t="shared" ca="1" si="153"/>
        <v>-1.189690794683454E-5</v>
      </c>
      <c r="AP263" s="2">
        <f t="shared" ca="1" si="154"/>
        <v>0.19153675065891124</v>
      </c>
      <c r="AQ263" s="2">
        <f t="shared" ca="1" si="155"/>
        <v>2.3058380275073951</v>
      </c>
      <c r="AS263" s="2">
        <f t="shared" ca="1" si="156"/>
        <v>8.6942935230120799</v>
      </c>
      <c r="AT263" s="2">
        <f t="shared" ca="1" si="157"/>
        <v>0.40054054282264279</v>
      </c>
      <c r="AU263" s="2">
        <f t="shared" ca="1" si="158"/>
        <v>1.7403719943617194E-4</v>
      </c>
      <c r="AV263" s="2">
        <f t="shared" ca="1" si="159"/>
        <v>0.19136271345947506</v>
      </c>
      <c r="AW263" s="2">
        <f t="shared" ca="1" si="160"/>
        <v>0.70808459959010772</v>
      </c>
      <c r="AX263" s="2">
        <f t="shared" ca="1" si="161"/>
        <v>5.3090003219491692E-2</v>
      </c>
      <c r="AY263" s="9">
        <f t="shared" ca="1" si="162"/>
        <v>0.70808459959010772</v>
      </c>
      <c r="AZ263" s="9">
        <f t="shared" ca="1" si="163"/>
        <v>0.70808459959010772</v>
      </c>
      <c r="BB263" s="2">
        <f t="shared" ca="1" si="164"/>
        <v>8.6942935230120799</v>
      </c>
      <c r="BC263" s="2">
        <f t="shared" ca="1" si="165"/>
        <v>0.40054054282264279</v>
      </c>
      <c r="BD263" s="2">
        <f t="shared" ca="1" si="166"/>
        <v>1.7403719943617194E-4</v>
      </c>
      <c r="BE263" s="2">
        <f t="shared" ca="1" si="167"/>
        <v>0.19136271345947506</v>
      </c>
      <c r="BF263" s="2">
        <f t="shared" ca="1" si="168"/>
        <v>0.70808459959010772</v>
      </c>
      <c r="BG263" s="2">
        <f t="shared" ca="1" si="169"/>
        <v>5.3090003219491692E-2</v>
      </c>
      <c r="BH263" s="2">
        <f t="shared" ca="1" si="170"/>
        <v>0.70808459959010772</v>
      </c>
      <c r="BI263" s="2">
        <f t="shared" ca="1" si="171"/>
        <v>0.70808459959010772</v>
      </c>
    </row>
    <row r="264" spans="1:61" ht="15" x14ac:dyDescent="0.25">
      <c r="A264" s="66">
        <v>198</v>
      </c>
      <c r="B264" s="66">
        <v>1498730223.796</v>
      </c>
      <c r="C264" s="67">
        <v>-9.4248767182910701E-5</v>
      </c>
      <c r="D264" s="67">
        <v>-8.9066819590432296E-5</v>
      </c>
      <c r="E264" s="67">
        <v>1.51171727613884E-2</v>
      </c>
      <c r="F264" s="67">
        <v>4.0116347778572202E-4</v>
      </c>
      <c r="G264" s="67">
        <v>-1.9917638408793701E-4</v>
      </c>
      <c r="H264" s="67">
        <v>0.283539555514499</v>
      </c>
      <c r="I264" s="67">
        <v>-8.9066819590432296E-5</v>
      </c>
      <c r="J264" s="67">
        <v>0.204520731710988</v>
      </c>
      <c r="K264" s="67">
        <v>2.4605289064954201</v>
      </c>
      <c r="L264" s="67"/>
      <c r="M264" s="67"/>
      <c r="O264" s="11">
        <f t="shared" ca="1" si="129"/>
        <v>-1.0705269789287072E-4</v>
      </c>
      <c r="P264" s="11">
        <f t="shared" ca="1" si="130"/>
        <v>-8.9831919820737035E-5</v>
      </c>
      <c r="Q264" s="11">
        <f t="shared" ca="1" si="131"/>
        <v>1.4280681149120115E-2</v>
      </c>
      <c r="R264" s="11">
        <f t="shared" ca="1" si="132"/>
        <v>3.8951699013937491E-4</v>
      </c>
      <c r="S264" s="11">
        <f t="shared" ca="1" si="133"/>
        <v>-2.1010403613490713E-4</v>
      </c>
      <c r="T264" s="11">
        <f t="shared" ca="1" si="134"/>
        <v>0.28240100047591671</v>
      </c>
      <c r="U264" s="11">
        <f t="shared" ca="1" si="135"/>
        <v>-8.9831919820737035E-5</v>
      </c>
      <c r="V264" s="11">
        <f t="shared" ca="1" si="136"/>
        <v>0.20387053570529423</v>
      </c>
      <c r="W264" s="11">
        <f t="shared" ca="1" si="137"/>
        <v>2.453406058231915</v>
      </c>
      <c r="X264" s="11"/>
      <c r="Y264" s="2">
        <f t="shared" ca="1" si="138"/>
        <v>-1.0705269789287072E-4</v>
      </c>
      <c r="Z264" s="11">
        <f t="shared" ca="1" si="139"/>
        <v>-8.9831919820737035E-5</v>
      </c>
      <c r="AA264" s="2">
        <f t="shared" ca="1" si="140"/>
        <v>1.4280681149120115E-2</v>
      </c>
      <c r="AB264" s="2">
        <f t="shared" ca="1" si="141"/>
        <v>3.8951699013937491E-4</v>
      </c>
      <c r="AC264" s="2">
        <f t="shared" ca="1" si="142"/>
        <v>-2.1010403613490713E-4</v>
      </c>
      <c r="AD264" s="2">
        <f t="shared" ca="1" si="143"/>
        <v>0.28240100047591671</v>
      </c>
      <c r="AE264" s="2">
        <f t="shared" ca="1" si="144"/>
        <v>-8.9831919820737035E-5</v>
      </c>
      <c r="AF264" s="2">
        <f t="shared" ca="1" si="145"/>
        <v>0.20387053570529423</v>
      </c>
      <c r="AG264" s="2">
        <f t="shared" ca="1" si="146"/>
        <v>2.453406058231915</v>
      </c>
      <c r="AI264" s="2">
        <f t="shared" ca="1" si="147"/>
        <v>-1.0705269789287072E-4</v>
      </c>
      <c r="AJ264" s="11">
        <f t="shared" ca="1" si="148"/>
        <v>-8.9831919820737035E-5</v>
      </c>
      <c r="AK264" s="2">
        <f t="shared" ca="1" si="149"/>
        <v>1.4280681149120115E-2</v>
      </c>
      <c r="AL264" s="2">
        <f t="shared" ca="1" si="150"/>
        <v>3.8951699013937491E-4</v>
      </c>
      <c r="AM264" s="2">
        <f t="shared" ca="1" si="151"/>
        <v>-2.1010403613490713E-4</v>
      </c>
      <c r="AN264" s="2">
        <f t="shared" ca="1" si="152"/>
        <v>0.28240100047591671</v>
      </c>
      <c r="AO264" s="2">
        <f t="shared" ca="1" si="153"/>
        <v>-8.9831919820737035E-5</v>
      </c>
      <c r="AP264" s="2">
        <f t="shared" ca="1" si="154"/>
        <v>0.20387053570529423</v>
      </c>
      <c r="AQ264" s="2">
        <f t="shared" ca="1" si="155"/>
        <v>2.453406058231915</v>
      </c>
      <c r="AS264" s="2">
        <f t="shared" ca="1" si="156"/>
        <v>8.6876677281500729</v>
      </c>
      <c r="AT264" s="2">
        <f t="shared" ca="1" si="157"/>
        <v>0.40023159585337093</v>
      </c>
      <c r="AU264" s="2">
        <f t="shared" ca="1" si="158"/>
        <v>1.5589700657548376E-4</v>
      </c>
      <c r="AV264" s="2">
        <f t="shared" ca="1" si="159"/>
        <v>0.20371463869871875</v>
      </c>
      <c r="AW264" s="2">
        <f t="shared" ca="1" si="160"/>
        <v>0.70818230672481175</v>
      </c>
      <c r="AX264" s="2">
        <f t="shared" ca="1" si="161"/>
        <v>5.2500096108658849E-2</v>
      </c>
      <c r="AY264" s="9">
        <f t="shared" ca="1" si="162"/>
        <v>0.70818230672481175</v>
      </c>
      <c r="AZ264" s="9">
        <f t="shared" ca="1" si="163"/>
        <v>0.70818230672481175</v>
      </c>
      <c r="BB264" s="2">
        <f t="shared" ca="1" si="164"/>
        <v>8.6876677281500729</v>
      </c>
      <c r="BC264" s="2">
        <f t="shared" ca="1" si="165"/>
        <v>0.40023159585337093</v>
      </c>
      <c r="BD264" s="2">
        <f t="shared" ca="1" si="166"/>
        <v>1.5589700657548376E-4</v>
      </c>
      <c r="BE264" s="2">
        <f t="shared" ca="1" si="167"/>
        <v>0.20371463869871875</v>
      </c>
      <c r="BF264" s="2">
        <f t="shared" ca="1" si="168"/>
        <v>0.70818230672481175</v>
      </c>
      <c r="BG264" s="2">
        <f t="shared" ca="1" si="169"/>
        <v>5.2500096108658849E-2</v>
      </c>
      <c r="BH264" s="2">
        <f t="shared" ca="1" si="170"/>
        <v>0.70818230672481175</v>
      </c>
      <c r="BI264" s="2">
        <f t="shared" ca="1" si="171"/>
        <v>0.70818230672481175</v>
      </c>
    </row>
    <row r="265" spans="1:61" ht="15" x14ac:dyDescent="0.25">
      <c r="A265" s="66">
        <v>199</v>
      </c>
      <c r="B265" s="66">
        <v>1498730224.323</v>
      </c>
      <c r="C265" s="67">
        <v>-7.6533724503581403E-5</v>
      </c>
      <c r="D265" s="67">
        <v>-1.9279957698924799E-5</v>
      </c>
      <c r="E265" s="67">
        <v>1.5339667606904001E-2</v>
      </c>
      <c r="F265" s="67">
        <v>5.6756087187679195E-4</v>
      </c>
      <c r="G265" s="67">
        <v>-3.9837339702259498E-5</v>
      </c>
      <c r="H265" s="67">
        <v>0.28593978454849101</v>
      </c>
      <c r="I265" s="67">
        <v>-1.9279957698924799E-5</v>
      </c>
      <c r="J265" s="67">
        <v>0.206457171039308</v>
      </c>
      <c r="K265" s="67">
        <v>2.4816996448379798</v>
      </c>
      <c r="L265" s="67"/>
      <c r="M265" s="67"/>
      <c r="O265" s="11">
        <f t="shared" ca="1" si="129"/>
        <v>-8.9337655213541425E-5</v>
      </c>
      <c r="P265" s="11">
        <f t="shared" ca="1" si="130"/>
        <v>-2.0045057929229541E-5</v>
      </c>
      <c r="Q265" s="11">
        <f t="shared" ca="1" si="131"/>
        <v>1.4503175994635716E-2</v>
      </c>
      <c r="R265" s="11">
        <f t="shared" ca="1" si="132"/>
        <v>5.5591438423044479E-4</v>
      </c>
      <c r="S265" s="11">
        <f t="shared" ca="1" si="133"/>
        <v>-5.0764991749229619E-5</v>
      </c>
      <c r="T265" s="11">
        <f t="shared" ca="1" si="134"/>
        <v>0.28480122950990872</v>
      </c>
      <c r="U265" s="11">
        <f t="shared" ca="1" si="135"/>
        <v>-2.0045057929229541E-5</v>
      </c>
      <c r="V265" s="11">
        <f t="shared" ca="1" si="136"/>
        <v>0.20580697503361423</v>
      </c>
      <c r="W265" s="11">
        <f t="shared" ca="1" si="137"/>
        <v>2.4745767965744747</v>
      </c>
      <c r="X265" s="11"/>
      <c r="Y265" s="2">
        <f t="shared" ca="1" si="138"/>
        <v>-8.9337655213541425E-5</v>
      </c>
      <c r="Z265" s="11">
        <f t="shared" ca="1" si="139"/>
        <v>-2.0045057929229541E-5</v>
      </c>
      <c r="AA265" s="2">
        <f t="shared" ca="1" si="140"/>
        <v>1.4503175994635716E-2</v>
      </c>
      <c r="AB265" s="2">
        <f t="shared" ca="1" si="141"/>
        <v>5.5591438423044479E-4</v>
      </c>
      <c r="AC265" s="2">
        <f t="shared" ca="1" si="142"/>
        <v>-5.0764991749229619E-5</v>
      </c>
      <c r="AD265" s="2">
        <f t="shared" ca="1" si="143"/>
        <v>0.28480122950990872</v>
      </c>
      <c r="AE265" s="2">
        <f t="shared" ca="1" si="144"/>
        <v>-2.0045057929229541E-5</v>
      </c>
      <c r="AF265" s="2">
        <f t="shared" ca="1" si="145"/>
        <v>0.20580697503361423</v>
      </c>
      <c r="AG265" s="2">
        <f t="shared" ca="1" si="146"/>
        <v>2.4745767965744747</v>
      </c>
      <c r="AI265" s="2">
        <f t="shared" ca="1" si="147"/>
        <v>-8.9337655213541425E-5</v>
      </c>
      <c r="AJ265" s="11">
        <f t="shared" ca="1" si="148"/>
        <v>-2.0045057929229541E-5</v>
      </c>
      <c r="AK265" s="2">
        <f t="shared" ca="1" si="149"/>
        <v>1.4503175994635716E-2</v>
      </c>
      <c r="AL265" s="2">
        <f t="shared" ca="1" si="150"/>
        <v>5.5591438423044479E-4</v>
      </c>
      <c r="AM265" s="2">
        <f t="shared" ca="1" si="151"/>
        <v>-5.0764991749229619E-5</v>
      </c>
      <c r="AN265" s="2">
        <f t="shared" ca="1" si="152"/>
        <v>0.28480122950990872</v>
      </c>
      <c r="AO265" s="2">
        <f t="shared" ca="1" si="153"/>
        <v>-2.0045057929229541E-5</v>
      </c>
      <c r="AP265" s="2">
        <f t="shared" ca="1" si="154"/>
        <v>0.20580697503361423</v>
      </c>
      <c r="AQ265" s="2">
        <f t="shared" ca="1" si="155"/>
        <v>2.4745767965744747</v>
      </c>
      <c r="AS265" s="2">
        <f t="shared" ca="1" si="156"/>
        <v>8.688785511329332</v>
      </c>
      <c r="AT265" s="2">
        <f t="shared" ca="1" si="157"/>
        <v>0.40028371554698655</v>
      </c>
      <c r="AU265" s="2">
        <f t="shared" ca="1" si="158"/>
        <v>2.2252347524577754E-4</v>
      </c>
      <c r="AV265" s="2">
        <f t="shared" ca="1" si="159"/>
        <v>0.20558445155836844</v>
      </c>
      <c r="AW265" s="2">
        <f t="shared" ca="1" si="160"/>
        <v>0.70861335498421318</v>
      </c>
      <c r="AX265" s="2">
        <f t="shared" ca="1" si="161"/>
        <v>5.2875664383655652E-2</v>
      </c>
      <c r="AY265" s="9">
        <f t="shared" ca="1" si="162"/>
        <v>0.70861335498421318</v>
      </c>
      <c r="AZ265" s="9">
        <f t="shared" ca="1" si="163"/>
        <v>0.70861335498421318</v>
      </c>
      <c r="BB265" s="2">
        <f t="shared" ca="1" si="164"/>
        <v>8.688785511329332</v>
      </c>
      <c r="BC265" s="2">
        <f t="shared" ca="1" si="165"/>
        <v>0.40028371554698655</v>
      </c>
      <c r="BD265" s="2">
        <f t="shared" ca="1" si="166"/>
        <v>2.2252347524577754E-4</v>
      </c>
      <c r="BE265" s="2">
        <f t="shared" ca="1" si="167"/>
        <v>0.20558445155836844</v>
      </c>
      <c r="BF265" s="2">
        <f t="shared" ca="1" si="168"/>
        <v>0.70861335498421318</v>
      </c>
      <c r="BG265" s="2">
        <f t="shared" ca="1" si="169"/>
        <v>5.2875664383655652E-2</v>
      </c>
      <c r="BH265" s="2">
        <f t="shared" ca="1" si="170"/>
        <v>0.70861335498421318</v>
      </c>
      <c r="BI265" s="2">
        <f t="shared" ca="1" si="171"/>
        <v>0.70861335498421318</v>
      </c>
    </row>
    <row r="266" spans="1:61" ht="15" x14ac:dyDescent="0.25">
      <c r="A266" s="66">
        <v>200</v>
      </c>
      <c r="B266" s="66">
        <v>1498730224.8499999</v>
      </c>
      <c r="C266" s="67">
        <v>6.0237052614746801E-5</v>
      </c>
      <c r="D266" s="67">
        <v>1.02691306001073E-5</v>
      </c>
      <c r="E266" s="67">
        <v>1.5884419801005099E-2</v>
      </c>
      <c r="F266" s="67">
        <v>4.7519380252758801E-4</v>
      </c>
      <c r="G266" s="67">
        <v>8.58724825510062E-5</v>
      </c>
      <c r="H266" s="67">
        <v>0.29577177323200199</v>
      </c>
      <c r="I266" s="67">
        <v>1.02691306001073E-5</v>
      </c>
      <c r="J266" s="67">
        <v>0.21355076667335501</v>
      </c>
      <c r="K266" s="67">
        <v>2.5681930207397499</v>
      </c>
      <c r="L266" s="67"/>
      <c r="M266" s="67"/>
      <c r="O266" s="11">
        <f t="shared" ca="1" si="129"/>
        <v>4.7433121904786773E-5</v>
      </c>
      <c r="P266" s="11">
        <f t="shared" ca="1" si="130"/>
        <v>9.5040303698025598E-6</v>
      </c>
      <c r="Q266" s="11">
        <f t="shared" ca="1" si="131"/>
        <v>1.5047928188736815E-2</v>
      </c>
      <c r="R266" s="11">
        <f t="shared" ca="1" si="132"/>
        <v>4.635473148812409E-4</v>
      </c>
      <c r="S266" s="11">
        <f t="shared" ca="1" si="133"/>
        <v>7.4944830504036073E-5</v>
      </c>
      <c r="T266" s="11">
        <f t="shared" ca="1" si="134"/>
        <v>0.2946332181934197</v>
      </c>
      <c r="U266" s="11">
        <f t="shared" ca="1" si="135"/>
        <v>9.5040303698025598E-6</v>
      </c>
      <c r="V266" s="11">
        <f t="shared" ca="1" si="136"/>
        <v>0.21290057066766124</v>
      </c>
      <c r="W266" s="11">
        <f t="shared" ca="1" si="137"/>
        <v>2.5610701724762448</v>
      </c>
      <c r="X266" s="11"/>
      <c r="Y266" s="2">
        <f t="shared" ca="1" si="138"/>
        <v>4.7433121904786773E-5</v>
      </c>
      <c r="Z266" s="11">
        <f t="shared" ca="1" si="139"/>
        <v>9.5040303698025598E-6</v>
      </c>
      <c r="AA266" s="2">
        <f t="shared" ca="1" si="140"/>
        <v>1.5047855475792547E-2</v>
      </c>
      <c r="AB266" s="2">
        <f t="shared" ca="1" si="141"/>
        <v>4.6178733111655411E-4</v>
      </c>
      <c r="AC266" s="2">
        <f t="shared" ca="1" si="142"/>
        <v>7.4944830504036073E-5</v>
      </c>
      <c r="AD266" s="2">
        <f t="shared" ca="1" si="143"/>
        <v>0.29462041906266151</v>
      </c>
      <c r="AE266" s="2">
        <f t="shared" ca="1" si="144"/>
        <v>9.5040303698025598E-6</v>
      </c>
      <c r="AF266" s="2">
        <f t="shared" ca="1" si="145"/>
        <v>0.21288166943356865</v>
      </c>
      <c r="AG266" s="2">
        <f t="shared" ca="1" si="146"/>
        <v>2.561062502795151</v>
      </c>
      <c r="AI266" s="2">
        <f t="shared" ca="1" si="147"/>
        <v>4.7433121904786773E-5</v>
      </c>
      <c r="AJ266" s="11">
        <f t="shared" ca="1" si="148"/>
        <v>9.5040303698025598E-6</v>
      </c>
      <c r="AK266" s="2">
        <f t="shared" ca="1" si="149"/>
        <v>1.5036642478453606E-2</v>
      </c>
      <c r="AL266" s="2">
        <f t="shared" ca="1" si="150"/>
        <v>4.5653917999113951E-4</v>
      </c>
      <c r="AM266" s="2">
        <f t="shared" ca="1" si="151"/>
        <v>7.4944830504036073E-5</v>
      </c>
      <c r="AN266" s="2">
        <f t="shared" ca="1" si="152"/>
        <v>0.29462041906266151</v>
      </c>
      <c r="AO266" s="2">
        <f t="shared" ca="1" si="153"/>
        <v>9.5040303698025598E-6</v>
      </c>
      <c r="AP266" s="2">
        <f t="shared" ca="1" si="154"/>
        <v>0.21288166943356865</v>
      </c>
      <c r="AQ266" s="2">
        <f t="shared" ca="1" si="155"/>
        <v>2.561062502795151</v>
      </c>
      <c r="AS266" s="2">
        <f t="shared" ca="1" si="156"/>
        <v>8.6924013123155834</v>
      </c>
      <c r="AT266" s="2">
        <f t="shared" ca="1" si="157"/>
        <v>0.40045231270038756</v>
      </c>
      <c r="AU266" s="2">
        <f t="shared" ca="1" si="158"/>
        <v>1.856285942902477E-4</v>
      </c>
      <c r="AV266" s="2">
        <f t="shared" ca="1" si="159"/>
        <v>0.21271494207337099</v>
      </c>
      <c r="AW266" s="2">
        <f t="shared" ca="1" si="160"/>
        <v>0.70857564406000617</v>
      </c>
      <c r="AX266" s="2">
        <f t="shared" ca="1" si="161"/>
        <v>5.3053553007123271E-2</v>
      </c>
      <c r="AY266" s="9">
        <f t="shared" ca="1" si="162"/>
        <v>0.70857564406000617</v>
      </c>
      <c r="AZ266" s="9">
        <f t="shared" ca="1" si="163"/>
        <v>0.70857564406000617</v>
      </c>
      <c r="BB266" s="2">
        <f t="shared" ca="1" si="164"/>
        <v>8.6927529019991319</v>
      </c>
      <c r="BC266" s="2">
        <f t="shared" ca="1" si="165"/>
        <v>0.40046870662918271</v>
      </c>
      <c r="BD266" s="2">
        <f t="shared" ca="1" si="166"/>
        <v>1.8282965493659928E-4</v>
      </c>
      <c r="BE266" s="2">
        <f t="shared" ca="1" si="167"/>
        <v>0.21269883977863205</v>
      </c>
      <c r="BF266" s="2">
        <f t="shared" ca="1" si="168"/>
        <v>0.70853835351351913</v>
      </c>
      <c r="BG266" s="2">
        <f t="shared" ca="1" si="169"/>
        <v>5.3018260988854968E-2</v>
      </c>
      <c r="BH266" s="2">
        <f t="shared" ca="1" si="170"/>
        <v>0.70853835351351913</v>
      </c>
      <c r="BI266" s="2">
        <f t="shared" ca="1" si="171"/>
        <v>0.70853835351351913</v>
      </c>
    </row>
    <row r="267" spans="1:61" ht="15" x14ac:dyDescent="0.25">
      <c r="A267" s="66">
        <v>201</v>
      </c>
      <c r="B267" s="66">
        <v>1498730225.3770001</v>
      </c>
      <c r="C267" s="67">
        <v>8.7640718976015396E-5</v>
      </c>
      <c r="D267" s="67">
        <v>1.6198905098022998E-5</v>
      </c>
      <c r="E267" s="67">
        <v>1.55880131882731E-2</v>
      </c>
      <c r="F267" s="67">
        <v>5.1590091705924399E-4</v>
      </c>
      <c r="G267" s="67">
        <v>-6.2635875307619896E-5</v>
      </c>
      <c r="H267" s="67">
        <v>0.29074126387592097</v>
      </c>
      <c r="I267" s="67">
        <v>1.6198905098022998E-5</v>
      </c>
      <c r="J267" s="67">
        <v>0.209931026960123</v>
      </c>
      <c r="K267" s="67">
        <v>2.52446458163887</v>
      </c>
      <c r="L267" s="67"/>
      <c r="M267" s="67"/>
      <c r="O267" s="11">
        <f t="shared" ca="1" si="129"/>
        <v>7.4836788266055375E-5</v>
      </c>
      <c r="P267" s="11">
        <f t="shared" ca="1" si="130"/>
        <v>1.5433804867718256E-5</v>
      </c>
      <c r="Q267" s="11">
        <f t="shared" ca="1" si="131"/>
        <v>1.4751521576004815E-2</v>
      </c>
      <c r="R267" s="11">
        <f t="shared" ca="1" si="132"/>
        <v>5.0425442941289683E-4</v>
      </c>
      <c r="S267" s="11">
        <f t="shared" ca="1" si="133"/>
        <v>-7.3563527354590023E-5</v>
      </c>
      <c r="T267" s="11">
        <f t="shared" ca="1" si="134"/>
        <v>0.28960270883733868</v>
      </c>
      <c r="U267" s="11">
        <f t="shared" ca="1" si="135"/>
        <v>1.5433804867718256E-5</v>
      </c>
      <c r="V267" s="11">
        <f t="shared" ca="1" si="136"/>
        <v>0.20928083095442923</v>
      </c>
      <c r="W267" s="11">
        <f t="shared" ca="1" si="137"/>
        <v>2.5173417333753649</v>
      </c>
      <c r="X267" s="11"/>
      <c r="Y267" s="2">
        <f t="shared" ca="1" si="138"/>
        <v>7.4836788266055375E-5</v>
      </c>
      <c r="Z267" s="11">
        <f t="shared" ca="1" si="139"/>
        <v>1.5433804867718256E-5</v>
      </c>
      <c r="AA267" s="2">
        <f t="shared" ca="1" si="140"/>
        <v>1.4751403495848341E-2</v>
      </c>
      <c r="AB267" s="2">
        <f t="shared" ca="1" si="141"/>
        <v>5.0139635289823893E-4</v>
      </c>
      <c r="AC267" s="2">
        <f t="shared" ca="1" si="142"/>
        <v>-7.3563527354590023E-5</v>
      </c>
      <c r="AD267" s="2">
        <f t="shared" ca="1" si="143"/>
        <v>0.28958192404615934</v>
      </c>
      <c r="AE267" s="2">
        <f t="shared" ca="1" si="144"/>
        <v>1.5433804867718256E-5</v>
      </c>
      <c r="AF267" s="2">
        <f t="shared" ca="1" si="145"/>
        <v>0.20925013682284577</v>
      </c>
      <c r="AG267" s="2">
        <f t="shared" ca="1" si="146"/>
        <v>2.5173292784108083</v>
      </c>
      <c r="AI267" s="2">
        <f t="shared" ca="1" si="147"/>
        <v>7.4836788266055375E-5</v>
      </c>
      <c r="AJ267" s="11">
        <f t="shared" ca="1" si="148"/>
        <v>1.5433804867718256E-5</v>
      </c>
      <c r="AK267" s="2">
        <f t="shared" ca="1" si="149"/>
        <v>1.4733194461767249E-2</v>
      </c>
      <c r="AL267" s="2">
        <f t="shared" ca="1" si="150"/>
        <v>4.9287376435061547E-4</v>
      </c>
      <c r="AM267" s="2">
        <f t="shared" ca="1" si="151"/>
        <v>-7.3563527354590023E-5</v>
      </c>
      <c r="AN267" s="2">
        <f t="shared" ca="1" si="152"/>
        <v>0.28958192404615934</v>
      </c>
      <c r="AO267" s="2">
        <f t="shared" ca="1" si="153"/>
        <v>1.5433804867718256E-5</v>
      </c>
      <c r="AP267" s="2">
        <f t="shared" ca="1" si="154"/>
        <v>0.20925013682284577</v>
      </c>
      <c r="AQ267" s="2">
        <f t="shared" ca="1" si="155"/>
        <v>2.5173292784108083</v>
      </c>
      <c r="AS267" s="2">
        <f t="shared" ca="1" si="156"/>
        <v>8.6923970548537994</v>
      </c>
      <c r="AT267" s="2">
        <f t="shared" ca="1" si="157"/>
        <v>0.40045211418344784</v>
      </c>
      <c r="AU267" s="2">
        <f t="shared" ca="1" si="158"/>
        <v>2.0192975234476271E-4</v>
      </c>
      <c r="AV267" s="2">
        <f t="shared" ca="1" si="159"/>
        <v>0.20907890120208447</v>
      </c>
      <c r="AW267" s="2">
        <f t="shared" ca="1" si="160"/>
        <v>0.7085616259160995</v>
      </c>
      <c r="AX267" s="2">
        <f t="shared" ca="1" si="161"/>
        <v>5.2911911945273574E-2</v>
      </c>
      <c r="AY267" s="9">
        <f t="shared" ca="1" si="162"/>
        <v>0.7085616259160995</v>
      </c>
      <c r="AZ267" s="9">
        <f t="shared" ca="1" si="163"/>
        <v>0.7085616259160995</v>
      </c>
      <c r="BB267" s="2">
        <f t="shared" ca="1" si="164"/>
        <v>8.6929779429518064</v>
      </c>
      <c r="BC267" s="2">
        <f t="shared" ca="1" si="165"/>
        <v>0.40047919984616509</v>
      </c>
      <c r="BD267" s="2">
        <f t="shared" ca="1" si="166"/>
        <v>1.9738569077230181E-4</v>
      </c>
      <c r="BE267" s="2">
        <f t="shared" ca="1" si="167"/>
        <v>0.20905275113207347</v>
      </c>
      <c r="BF267" s="2">
        <f t="shared" ca="1" si="168"/>
        <v>0.70850001169072574</v>
      </c>
      <c r="BG267" s="2">
        <f t="shared" ca="1" si="169"/>
        <v>5.285358179251879E-2</v>
      </c>
      <c r="BH267" s="2">
        <f t="shared" ca="1" si="170"/>
        <v>0.70850001169072574</v>
      </c>
      <c r="BI267" s="2">
        <f t="shared" ca="1" si="171"/>
        <v>0.70850001169072574</v>
      </c>
    </row>
    <row r="268" spans="1:61" ht="15" x14ac:dyDescent="0.25">
      <c r="A268" s="66">
        <v>202</v>
      </c>
      <c r="B268" s="66">
        <v>1498730225.904</v>
      </c>
      <c r="C268" s="67">
        <v>-1.7481297676336299E-5</v>
      </c>
      <c r="D268" s="67">
        <v>-4.3625947176085899E-5</v>
      </c>
      <c r="E268" s="67">
        <v>1.5372937559692599E-2</v>
      </c>
      <c r="F268" s="67">
        <v>4.8614409128369001E-4</v>
      </c>
      <c r="G268" s="67">
        <v>-5.4660514993781501E-5</v>
      </c>
      <c r="H268" s="67">
        <v>0.28649572135506102</v>
      </c>
      <c r="I268" s="67">
        <v>-4.3625947176085899E-5</v>
      </c>
      <c r="J268" s="67">
        <v>0.20699005881504201</v>
      </c>
      <c r="K268" s="67">
        <v>2.48617922906086</v>
      </c>
      <c r="L268" s="67"/>
      <c r="M268" s="67"/>
      <c r="O268" s="11">
        <f t="shared" ca="1" si="129"/>
        <v>-3.0285228386296327E-5</v>
      </c>
      <c r="P268" s="11">
        <f t="shared" ca="1" si="130"/>
        <v>-4.4391047406390637E-5</v>
      </c>
      <c r="Q268" s="11">
        <f t="shared" ca="1" si="131"/>
        <v>1.4536445947424315E-2</v>
      </c>
      <c r="R268" s="11">
        <f t="shared" ca="1" si="132"/>
        <v>4.744976036373429E-4</v>
      </c>
      <c r="S268" s="11">
        <f t="shared" ca="1" si="133"/>
        <v>-6.5588167040751629E-5</v>
      </c>
      <c r="T268" s="11">
        <f t="shared" ca="1" si="134"/>
        <v>0.28535716631647873</v>
      </c>
      <c r="U268" s="11">
        <f t="shared" ca="1" si="135"/>
        <v>-4.4391047406390637E-5</v>
      </c>
      <c r="V268" s="11">
        <f t="shared" ca="1" si="136"/>
        <v>0.20633986280934824</v>
      </c>
      <c r="W268" s="11">
        <f t="shared" ca="1" si="137"/>
        <v>2.4790563807973549</v>
      </c>
      <c r="X268" s="11"/>
      <c r="Y268" s="2">
        <f t="shared" ca="1" si="138"/>
        <v>-3.0285228386296327E-5</v>
      </c>
      <c r="Z268" s="11">
        <f t="shared" ca="1" si="139"/>
        <v>-4.4391047406390637E-5</v>
      </c>
      <c r="AA268" s="2">
        <f t="shared" ca="1" si="140"/>
        <v>1.4536445947424315E-2</v>
      </c>
      <c r="AB268" s="2">
        <f t="shared" ca="1" si="141"/>
        <v>4.744976036373429E-4</v>
      </c>
      <c r="AC268" s="2">
        <f t="shared" ca="1" si="142"/>
        <v>-6.5588167040751629E-5</v>
      </c>
      <c r="AD268" s="2">
        <f t="shared" ca="1" si="143"/>
        <v>0.28535716631647873</v>
      </c>
      <c r="AE268" s="2">
        <f t="shared" ca="1" si="144"/>
        <v>-4.4391047406390637E-5</v>
      </c>
      <c r="AF268" s="2">
        <f t="shared" ca="1" si="145"/>
        <v>0.20633986280934824</v>
      </c>
      <c r="AG268" s="2">
        <f t="shared" ca="1" si="146"/>
        <v>2.4790563807973549</v>
      </c>
      <c r="AI268" s="2">
        <f t="shared" ca="1" si="147"/>
        <v>-3.0285228386296327E-5</v>
      </c>
      <c r="AJ268" s="11">
        <f t="shared" ca="1" si="148"/>
        <v>-4.4391047406390637E-5</v>
      </c>
      <c r="AK268" s="2">
        <f t="shared" ca="1" si="149"/>
        <v>1.4536445947424315E-2</v>
      </c>
      <c r="AL268" s="2">
        <f t="shared" ca="1" si="150"/>
        <v>4.744976036373429E-4</v>
      </c>
      <c r="AM268" s="2">
        <f t="shared" ca="1" si="151"/>
        <v>-6.5588167040751629E-5</v>
      </c>
      <c r="AN268" s="2">
        <f t="shared" ca="1" si="152"/>
        <v>0.28535716631647873</v>
      </c>
      <c r="AO268" s="2">
        <f t="shared" ca="1" si="153"/>
        <v>-4.4391047406390637E-5</v>
      </c>
      <c r="AP268" s="2">
        <f t="shared" ca="1" si="154"/>
        <v>0.20633986280934824</v>
      </c>
      <c r="AQ268" s="2">
        <f t="shared" ca="1" si="155"/>
        <v>2.4790563807973549</v>
      </c>
      <c r="AS268" s="2">
        <f t="shared" ca="1" si="156"/>
        <v>8.6875560645564036</v>
      </c>
      <c r="AT268" s="2">
        <f t="shared" ca="1" si="157"/>
        <v>0.40022638923780934</v>
      </c>
      <c r="AU268" s="2">
        <f t="shared" ca="1" si="158"/>
        <v>1.8990646260576697E-4</v>
      </c>
      <c r="AV268" s="2">
        <f t="shared" ca="1" si="159"/>
        <v>0.20614995634674246</v>
      </c>
      <c r="AW268" s="2">
        <f t="shared" ca="1" si="160"/>
        <v>0.70922876206341312</v>
      </c>
      <c r="AX268" s="2">
        <f t="shared" ca="1" si="161"/>
        <v>5.2886052165647381E-2</v>
      </c>
      <c r="AY268" s="9">
        <f t="shared" ca="1" si="162"/>
        <v>0.70922876206341312</v>
      </c>
      <c r="AZ268" s="9">
        <f t="shared" ca="1" si="163"/>
        <v>0.70922876206341312</v>
      </c>
      <c r="BB268" s="2">
        <f t="shared" ca="1" si="164"/>
        <v>8.6875560645564036</v>
      </c>
      <c r="BC268" s="2">
        <f t="shared" ca="1" si="165"/>
        <v>0.40022638923780934</v>
      </c>
      <c r="BD268" s="2">
        <f t="shared" ca="1" si="166"/>
        <v>1.8990646260576697E-4</v>
      </c>
      <c r="BE268" s="2">
        <f t="shared" ca="1" si="167"/>
        <v>0.20614995634674246</v>
      </c>
      <c r="BF268" s="2">
        <f t="shared" ca="1" si="168"/>
        <v>0.70922876206341312</v>
      </c>
      <c r="BG268" s="2">
        <f t="shared" ca="1" si="169"/>
        <v>5.2886052165647381E-2</v>
      </c>
      <c r="BH268" s="2">
        <f t="shared" ca="1" si="170"/>
        <v>0.70922876206341312</v>
      </c>
      <c r="BI268" s="2">
        <f t="shared" ca="1" si="171"/>
        <v>0.70922876206341312</v>
      </c>
    </row>
    <row r="269" spans="1:61" ht="15" x14ac:dyDescent="0.25">
      <c r="A269" s="66">
        <v>203</v>
      </c>
      <c r="B269" s="66">
        <v>1498730226.431</v>
      </c>
      <c r="C269" s="67">
        <v>-9.21367743438774E-6</v>
      </c>
      <c r="D269" s="67">
        <v>-5.3187964669191998E-5</v>
      </c>
      <c r="E269" s="67">
        <v>1.5691950627960999E-2</v>
      </c>
      <c r="F269" s="67">
        <v>3.8021698628537098E-4</v>
      </c>
      <c r="G269" s="67">
        <v>-5.0260852062164697E-5</v>
      </c>
      <c r="H269" s="67">
        <v>0.29340386379245897</v>
      </c>
      <c r="I269" s="67">
        <v>-5.3187964669191998E-5</v>
      </c>
      <c r="J269" s="67">
        <v>0.21180269051745201</v>
      </c>
      <c r="K269" s="67">
        <v>2.54576353055882</v>
      </c>
      <c r="L269" s="67"/>
      <c r="M269" s="67"/>
      <c r="O269" s="11">
        <f t="shared" ca="1" si="129"/>
        <v>-2.201760814434777E-5</v>
      </c>
      <c r="P269" s="11">
        <f t="shared" ca="1" si="130"/>
        <v>-5.3953064899496737E-5</v>
      </c>
      <c r="Q269" s="11">
        <f t="shared" ca="1" si="131"/>
        <v>1.4855459015692714E-2</v>
      </c>
      <c r="R269" s="11">
        <f t="shared" ca="1" si="132"/>
        <v>3.6857049863902387E-4</v>
      </c>
      <c r="S269" s="11">
        <f t="shared" ca="1" si="133"/>
        <v>-6.1188504109134818E-5</v>
      </c>
      <c r="T269" s="11">
        <f t="shared" ca="1" si="134"/>
        <v>0.29226530875387668</v>
      </c>
      <c r="U269" s="11">
        <f t="shared" ca="1" si="135"/>
        <v>-5.3953064899496737E-5</v>
      </c>
      <c r="V269" s="11">
        <f t="shared" ca="1" si="136"/>
        <v>0.21115249451175824</v>
      </c>
      <c r="W269" s="11">
        <f t="shared" ca="1" si="137"/>
        <v>2.5386406822953149</v>
      </c>
      <c r="X269" s="11"/>
      <c r="Y269" s="2">
        <f t="shared" ca="1" si="138"/>
        <v>-2.201760814434777E-5</v>
      </c>
      <c r="Z269" s="11">
        <f t="shared" ca="1" si="139"/>
        <v>-5.3953064899496737E-5</v>
      </c>
      <c r="AA269" s="2">
        <f t="shared" ca="1" si="140"/>
        <v>1.4855459015692714E-2</v>
      </c>
      <c r="AB269" s="2">
        <f t="shared" ca="1" si="141"/>
        <v>3.6857049863902387E-4</v>
      </c>
      <c r="AC269" s="2">
        <f t="shared" ca="1" si="142"/>
        <v>-6.1188504109134818E-5</v>
      </c>
      <c r="AD269" s="2">
        <f t="shared" ca="1" si="143"/>
        <v>0.29226530875387668</v>
      </c>
      <c r="AE269" s="2">
        <f t="shared" ca="1" si="144"/>
        <v>-5.3953064899496737E-5</v>
      </c>
      <c r="AF269" s="2">
        <f t="shared" ca="1" si="145"/>
        <v>0.21115249451175824</v>
      </c>
      <c r="AG269" s="2">
        <f t="shared" ca="1" si="146"/>
        <v>2.5386406822953149</v>
      </c>
      <c r="AI269" s="2">
        <f t="shared" ca="1" si="147"/>
        <v>-2.201760814434777E-5</v>
      </c>
      <c r="AJ269" s="11">
        <f t="shared" ca="1" si="148"/>
        <v>-5.3953064899496737E-5</v>
      </c>
      <c r="AK269" s="2">
        <f t="shared" ca="1" si="149"/>
        <v>1.4855459015692714E-2</v>
      </c>
      <c r="AL269" s="2">
        <f t="shared" ca="1" si="150"/>
        <v>3.6857049863902387E-4</v>
      </c>
      <c r="AM269" s="2">
        <f t="shared" ca="1" si="151"/>
        <v>-6.1188504109134818E-5</v>
      </c>
      <c r="AN269" s="2">
        <f t="shared" ca="1" si="152"/>
        <v>0.29226530875387668</v>
      </c>
      <c r="AO269" s="2">
        <f t="shared" ca="1" si="153"/>
        <v>-5.3953064899496737E-5</v>
      </c>
      <c r="AP269" s="2">
        <f t="shared" ca="1" si="154"/>
        <v>0.21115249451175824</v>
      </c>
      <c r="AQ269" s="2">
        <f t="shared" ca="1" si="155"/>
        <v>2.5386406822953149</v>
      </c>
      <c r="AS269" s="2">
        <f t="shared" ca="1" si="156"/>
        <v>8.6860828372660617</v>
      </c>
      <c r="AT269" s="2">
        <f t="shared" ca="1" si="157"/>
        <v>0.40015769612668067</v>
      </c>
      <c r="AU269" s="2">
        <f t="shared" ca="1" si="158"/>
        <v>1.4748632159565368E-4</v>
      </c>
      <c r="AV269" s="2">
        <f t="shared" ca="1" si="159"/>
        <v>0.2110050081901626</v>
      </c>
      <c r="AW269" s="2">
        <f t="shared" ca="1" si="160"/>
        <v>0.70883387191738823</v>
      </c>
      <c r="AX269" s="2">
        <f t="shared" ca="1" si="161"/>
        <v>5.2760042403622184E-2</v>
      </c>
      <c r="AY269" s="9">
        <f t="shared" ca="1" si="162"/>
        <v>0.70883387191738823</v>
      </c>
      <c r="AZ269" s="9">
        <f t="shared" ca="1" si="163"/>
        <v>0.70883387191738823</v>
      </c>
      <c r="BB269" s="2">
        <f t="shared" ca="1" si="164"/>
        <v>8.6860828372660617</v>
      </c>
      <c r="BC269" s="2">
        <f t="shared" ca="1" si="165"/>
        <v>0.40015769612668067</v>
      </c>
      <c r="BD269" s="2">
        <f t="shared" ca="1" si="166"/>
        <v>1.4748632159565368E-4</v>
      </c>
      <c r="BE269" s="2">
        <f t="shared" ca="1" si="167"/>
        <v>0.2110050081901626</v>
      </c>
      <c r="BF269" s="2">
        <f t="shared" ca="1" si="168"/>
        <v>0.70883387191738823</v>
      </c>
      <c r="BG269" s="2">
        <f t="shared" ca="1" si="169"/>
        <v>5.2760042403622184E-2</v>
      </c>
      <c r="BH269" s="2">
        <f t="shared" ca="1" si="170"/>
        <v>0.70883387191738823</v>
      </c>
      <c r="BI269" s="2">
        <f t="shared" ca="1" si="171"/>
        <v>0.70883387191738823</v>
      </c>
    </row>
    <row r="270" spans="1:61" ht="15" x14ac:dyDescent="0.25">
      <c r="A270" s="66">
        <v>204</v>
      </c>
      <c r="B270" s="66">
        <v>1498730226.9579999</v>
      </c>
      <c r="C270" s="67">
        <v>-4.5590691183799E-5</v>
      </c>
      <c r="D270" s="67">
        <v>-4.3224558374490503E-5</v>
      </c>
      <c r="E270" s="67">
        <v>1.51841812322872E-2</v>
      </c>
      <c r="F270" s="67">
        <v>4.3877305355948502E-4</v>
      </c>
      <c r="G270" s="67">
        <v>-9.806615862323049E-7</v>
      </c>
      <c r="H270" s="67">
        <v>0.28304939474325902</v>
      </c>
      <c r="I270" s="67">
        <v>-4.3224558374490503E-5</v>
      </c>
      <c r="J270" s="67">
        <v>0.204455221854242</v>
      </c>
      <c r="K270" s="67">
        <v>2.4588532742564602</v>
      </c>
      <c r="L270" s="67"/>
      <c r="M270" s="67"/>
      <c r="O270" s="11">
        <f t="shared" ca="1" si="129"/>
        <v>-5.8394621893759028E-5</v>
      </c>
      <c r="P270" s="11">
        <f t="shared" ca="1" si="130"/>
        <v>-4.3989658604795241E-5</v>
      </c>
      <c r="Q270" s="11">
        <f t="shared" ca="1" si="131"/>
        <v>1.4347689620018915E-2</v>
      </c>
      <c r="R270" s="11">
        <f t="shared" ca="1" si="132"/>
        <v>4.2712656591313791E-4</v>
      </c>
      <c r="S270" s="11">
        <f t="shared" ca="1" si="133"/>
        <v>-1.1908313633202427E-5</v>
      </c>
      <c r="T270" s="11">
        <f t="shared" ca="1" si="134"/>
        <v>0.28191083970467673</v>
      </c>
      <c r="U270" s="11">
        <f t="shared" ca="1" si="135"/>
        <v>-4.3989658604795241E-5</v>
      </c>
      <c r="V270" s="11">
        <f t="shared" ca="1" si="136"/>
        <v>0.20380502584854823</v>
      </c>
      <c r="W270" s="11">
        <f t="shared" ca="1" si="137"/>
        <v>2.4517304259929551</v>
      </c>
      <c r="X270" s="11"/>
      <c r="Y270" s="2">
        <f t="shared" ca="1" si="138"/>
        <v>-5.8394621893759028E-5</v>
      </c>
      <c r="Z270" s="11">
        <f t="shared" ca="1" si="139"/>
        <v>-4.3989658604795241E-5</v>
      </c>
      <c r="AA270" s="2">
        <f t="shared" ca="1" si="140"/>
        <v>1.4347689620018915E-2</v>
      </c>
      <c r="AB270" s="2">
        <f t="shared" ca="1" si="141"/>
        <v>4.2712656591313791E-4</v>
      </c>
      <c r="AC270" s="2">
        <f t="shared" ca="1" si="142"/>
        <v>-1.1908313633202427E-5</v>
      </c>
      <c r="AD270" s="2">
        <f t="shared" ca="1" si="143"/>
        <v>0.28191083970467673</v>
      </c>
      <c r="AE270" s="2">
        <f t="shared" ca="1" si="144"/>
        <v>-4.3989658604795241E-5</v>
      </c>
      <c r="AF270" s="2">
        <f t="shared" ca="1" si="145"/>
        <v>0.20380502584854823</v>
      </c>
      <c r="AG270" s="2">
        <f t="shared" ca="1" si="146"/>
        <v>2.4517304259929551</v>
      </c>
      <c r="AI270" s="2">
        <f t="shared" ca="1" si="147"/>
        <v>-5.8394621893759028E-5</v>
      </c>
      <c r="AJ270" s="11">
        <f t="shared" ca="1" si="148"/>
        <v>-4.3989658604795241E-5</v>
      </c>
      <c r="AK270" s="2">
        <f t="shared" ca="1" si="149"/>
        <v>1.4347689620018915E-2</v>
      </c>
      <c r="AL270" s="2">
        <f t="shared" ca="1" si="150"/>
        <v>4.2712656591313791E-4</v>
      </c>
      <c r="AM270" s="2">
        <f t="shared" ca="1" si="151"/>
        <v>-1.1908313633202427E-5</v>
      </c>
      <c r="AN270" s="2">
        <f t="shared" ca="1" si="152"/>
        <v>0.28191083970467673</v>
      </c>
      <c r="AO270" s="2">
        <f t="shared" ca="1" si="153"/>
        <v>-4.3989658604795241E-5</v>
      </c>
      <c r="AP270" s="2">
        <f t="shared" ca="1" si="154"/>
        <v>0.20380502584854823</v>
      </c>
      <c r="AQ270" s="2">
        <f t="shared" ca="1" si="155"/>
        <v>2.4517304259929551</v>
      </c>
      <c r="AS270" s="2">
        <f t="shared" ca="1" si="156"/>
        <v>8.6968292122478559</v>
      </c>
      <c r="AT270" s="2">
        <f t="shared" ca="1" si="157"/>
        <v>0.40065877746884232</v>
      </c>
      <c r="AU270" s="2">
        <f t="shared" ca="1" si="158"/>
        <v>1.7113200772322272E-4</v>
      </c>
      <c r="AV270" s="2">
        <f t="shared" ca="1" si="159"/>
        <v>0.203633893840825</v>
      </c>
      <c r="AW270" s="2">
        <f t="shared" ca="1" si="160"/>
        <v>0.70875615161648986</v>
      </c>
      <c r="AX270" s="2">
        <f t="shared" ca="1" si="161"/>
        <v>5.2895166264072625E-2</v>
      </c>
      <c r="AY270" s="9">
        <f t="shared" ca="1" si="162"/>
        <v>0.70875615161648986</v>
      </c>
      <c r="AZ270" s="9">
        <f t="shared" ca="1" si="163"/>
        <v>0.70875615161648986</v>
      </c>
      <c r="BB270" s="2">
        <f t="shared" ca="1" si="164"/>
        <v>8.6968292122478559</v>
      </c>
      <c r="BC270" s="2">
        <f t="shared" ca="1" si="165"/>
        <v>0.40065877746884232</v>
      </c>
      <c r="BD270" s="2">
        <f t="shared" ca="1" si="166"/>
        <v>1.7113200772322272E-4</v>
      </c>
      <c r="BE270" s="2">
        <f t="shared" ca="1" si="167"/>
        <v>0.203633893840825</v>
      </c>
      <c r="BF270" s="2">
        <f t="shared" ca="1" si="168"/>
        <v>0.70875615161648986</v>
      </c>
      <c r="BG270" s="2">
        <f t="shared" ca="1" si="169"/>
        <v>5.2895166264072625E-2</v>
      </c>
      <c r="BH270" s="2">
        <f t="shared" ca="1" si="170"/>
        <v>0.70875615161648986</v>
      </c>
      <c r="BI270" s="2">
        <f t="shared" ca="1" si="171"/>
        <v>0.70875615161648986</v>
      </c>
    </row>
    <row r="271" spans="1:61" ht="15" x14ac:dyDescent="0.25">
      <c r="A271" s="66">
        <v>205</v>
      </c>
      <c r="B271" s="66">
        <v>1498730227.4860001</v>
      </c>
      <c r="C271" s="67">
        <v>-9.9681316896504301E-5</v>
      </c>
      <c r="D271" s="67">
        <v>-6.4850016774053301E-5</v>
      </c>
      <c r="E271" s="67">
        <v>1.51868327378042E-2</v>
      </c>
      <c r="F271" s="67">
        <v>3.6926785873123499E-4</v>
      </c>
      <c r="G271" s="67">
        <v>-6.4353199083103801E-5</v>
      </c>
      <c r="H271" s="67">
        <v>0.28153047254714397</v>
      </c>
      <c r="I271" s="67">
        <v>-6.4850016774053301E-5</v>
      </c>
      <c r="J271" s="67">
        <v>0.203234570317124</v>
      </c>
      <c r="K271" s="67">
        <v>2.4449863883448901</v>
      </c>
      <c r="L271" s="67"/>
      <c r="M271" s="67"/>
      <c r="O271" s="11">
        <f t="shared" ca="1" si="129"/>
        <v>-1.1248524760646434E-4</v>
      </c>
      <c r="P271" s="11">
        <f t="shared" ca="1" si="130"/>
        <v>-6.561511700435804E-5</v>
      </c>
      <c r="Q271" s="11">
        <f t="shared" ca="1" si="131"/>
        <v>1.4350341125535916E-2</v>
      </c>
      <c r="R271" s="11">
        <f t="shared" ca="1" si="132"/>
        <v>3.5762137108488789E-4</v>
      </c>
      <c r="S271" s="11">
        <f t="shared" ca="1" si="133"/>
        <v>-7.5280851130073929E-5</v>
      </c>
      <c r="T271" s="11">
        <f t="shared" ca="1" si="134"/>
        <v>0.28039191750856168</v>
      </c>
      <c r="U271" s="11">
        <f t="shared" ca="1" si="135"/>
        <v>-6.561511700435804E-5</v>
      </c>
      <c r="V271" s="11">
        <f t="shared" ca="1" si="136"/>
        <v>0.20258437431143023</v>
      </c>
      <c r="W271" s="11">
        <f t="shared" ca="1" si="137"/>
        <v>2.4378635400813851</v>
      </c>
      <c r="X271" s="11"/>
      <c r="Y271" s="2">
        <f t="shared" ca="1" si="138"/>
        <v>-1.1248524760646434E-4</v>
      </c>
      <c r="Z271" s="11">
        <f t="shared" ca="1" si="139"/>
        <v>-6.561511700435804E-5</v>
      </c>
      <c r="AA271" s="2">
        <f t="shared" ca="1" si="140"/>
        <v>1.4350341125535916E-2</v>
      </c>
      <c r="AB271" s="2">
        <f t="shared" ca="1" si="141"/>
        <v>3.5762137108488789E-4</v>
      </c>
      <c r="AC271" s="2">
        <f t="shared" ca="1" si="142"/>
        <v>-7.5280851130073929E-5</v>
      </c>
      <c r="AD271" s="2">
        <f t="shared" ca="1" si="143"/>
        <v>0.28039191750856168</v>
      </c>
      <c r="AE271" s="2">
        <f t="shared" ca="1" si="144"/>
        <v>-6.561511700435804E-5</v>
      </c>
      <c r="AF271" s="2">
        <f t="shared" ca="1" si="145"/>
        <v>0.20258437431143023</v>
      </c>
      <c r="AG271" s="2">
        <f t="shared" ca="1" si="146"/>
        <v>2.4378635400813851</v>
      </c>
      <c r="AI271" s="2">
        <f t="shared" ca="1" si="147"/>
        <v>-1.1248524760646434E-4</v>
      </c>
      <c r="AJ271" s="11">
        <f t="shared" ca="1" si="148"/>
        <v>-6.561511700435804E-5</v>
      </c>
      <c r="AK271" s="2">
        <f t="shared" ca="1" si="149"/>
        <v>1.4350341125535916E-2</v>
      </c>
      <c r="AL271" s="2">
        <f t="shared" ca="1" si="150"/>
        <v>3.5762137108488789E-4</v>
      </c>
      <c r="AM271" s="2">
        <f t="shared" ca="1" si="151"/>
        <v>-7.5280851130073929E-5</v>
      </c>
      <c r="AN271" s="2">
        <f t="shared" ca="1" si="152"/>
        <v>0.28039191750856168</v>
      </c>
      <c r="AO271" s="2">
        <f t="shared" ca="1" si="153"/>
        <v>-6.561511700435804E-5</v>
      </c>
      <c r="AP271" s="2">
        <f t="shared" ca="1" si="154"/>
        <v>0.20258437431143023</v>
      </c>
      <c r="AQ271" s="2">
        <f t="shared" ca="1" si="155"/>
        <v>2.4378635400813851</v>
      </c>
      <c r="AS271" s="2">
        <f t="shared" ca="1" si="156"/>
        <v>8.6944857816985603</v>
      </c>
      <c r="AT271" s="2">
        <f t="shared" ca="1" si="157"/>
        <v>0.40054950748609663</v>
      </c>
      <c r="AU271" s="2">
        <f t="shared" ca="1" si="158"/>
        <v>1.4324506405455445E-4</v>
      </c>
      <c r="AV271" s="2">
        <f t="shared" ca="1" si="159"/>
        <v>0.20244112924737567</v>
      </c>
      <c r="AW271" s="2">
        <f t="shared" ca="1" si="160"/>
        <v>0.70851777772754831</v>
      </c>
      <c r="AX271" s="2">
        <f t="shared" ca="1" si="161"/>
        <v>5.317686885754571E-2</v>
      </c>
      <c r="AY271" s="9">
        <f t="shared" ca="1" si="162"/>
        <v>0.70851777772754831</v>
      </c>
      <c r="AZ271" s="9">
        <f t="shared" ca="1" si="163"/>
        <v>0.70851777772754831</v>
      </c>
      <c r="BB271" s="2">
        <f t="shared" ca="1" si="164"/>
        <v>8.6944857816985603</v>
      </c>
      <c r="BC271" s="2">
        <f t="shared" ca="1" si="165"/>
        <v>0.40054950748609663</v>
      </c>
      <c r="BD271" s="2">
        <f t="shared" ca="1" si="166"/>
        <v>1.4324506405455445E-4</v>
      </c>
      <c r="BE271" s="2">
        <f t="shared" ca="1" si="167"/>
        <v>0.20244112924737567</v>
      </c>
      <c r="BF271" s="2">
        <f t="shared" ca="1" si="168"/>
        <v>0.70851777772754831</v>
      </c>
      <c r="BG271" s="2">
        <f t="shared" ca="1" si="169"/>
        <v>5.317686885754571E-2</v>
      </c>
      <c r="BH271" s="2">
        <f t="shared" ca="1" si="170"/>
        <v>0.70851777772754831</v>
      </c>
      <c r="BI271" s="2">
        <f t="shared" ca="1" si="171"/>
        <v>0.70851777772754831</v>
      </c>
    </row>
    <row r="272" spans="1:61" ht="15" x14ac:dyDescent="0.25">
      <c r="A272" s="66">
        <v>206</v>
      </c>
      <c r="B272" s="66">
        <v>1498730228.013</v>
      </c>
      <c r="C272" s="67">
        <v>-9.3776370149656997E-5</v>
      </c>
      <c r="D272" s="67">
        <v>-1.02966385900245E-4</v>
      </c>
      <c r="E272" s="67">
        <v>1.45644015732638E-2</v>
      </c>
      <c r="F272" s="67">
        <v>3.12381932119258E-4</v>
      </c>
      <c r="G272" s="67">
        <v>-1.7521200247557601E-4</v>
      </c>
      <c r="H272" s="67">
        <v>0.27064548620298901</v>
      </c>
      <c r="I272" s="67">
        <v>-1.02966385900245E-4</v>
      </c>
      <c r="J272" s="67">
        <v>0.19529929598054299</v>
      </c>
      <c r="K272" s="67">
        <v>2.3492574180817098</v>
      </c>
      <c r="L272" s="67"/>
      <c r="M272" s="67"/>
      <c r="O272" s="11">
        <f t="shared" ca="1" si="129"/>
        <v>-1.0658030085961703E-4</v>
      </c>
      <c r="P272" s="11">
        <f t="shared" ca="1" si="130"/>
        <v>-1.0373148613054974E-4</v>
      </c>
      <c r="Q272" s="11">
        <f t="shared" ca="1" si="131"/>
        <v>1.3727909960995516E-2</v>
      </c>
      <c r="R272" s="11">
        <f t="shared" ca="1" si="132"/>
        <v>3.007354444729109E-4</v>
      </c>
      <c r="S272" s="11">
        <f t="shared" ca="1" si="133"/>
        <v>-1.8613965452254612E-4</v>
      </c>
      <c r="T272" s="11">
        <f t="shared" ca="1" si="134"/>
        <v>0.26950693116440672</v>
      </c>
      <c r="U272" s="11">
        <f t="shared" ca="1" si="135"/>
        <v>-1.0373148613054974E-4</v>
      </c>
      <c r="V272" s="11">
        <f t="shared" ca="1" si="136"/>
        <v>0.19464909997484922</v>
      </c>
      <c r="W272" s="11">
        <f t="shared" ca="1" si="137"/>
        <v>2.3421345698182048</v>
      </c>
      <c r="X272" s="11"/>
      <c r="Y272" s="2">
        <f t="shared" ca="1" si="138"/>
        <v>-1.0658030085961703E-4</v>
      </c>
      <c r="Z272" s="11">
        <f t="shared" ca="1" si="139"/>
        <v>-1.0373148613054974E-4</v>
      </c>
      <c r="AA272" s="2">
        <f t="shared" ca="1" si="140"/>
        <v>1.3727909960995516E-2</v>
      </c>
      <c r="AB272" s="2">
        <f t="shared" ca="1" si="141"/>
        <v>3.007354444729109E-4</v>
      </c>
      <c r="AC272" s="2">
        <f t="shared" ca="1" si="142"/>
        <v>-1.8613965452254612E-4</v>
      </c>
      <c r="AD272" s="2">
        <f t="shared" ca="1" si="143"/>
        <v>0.26950693116440672</v>
      </c>
      <c r="AE272" s="2">
        <f t="shared" ca="1" si="144"/>
        <v>-1.0373148613054974E-4</v>
      </c>
      <c r="AF272" s="2">
        <f t="shared" ca="1" si="145"/>
        <v>0.19464909997484922</v>
      </c>
      <c r="AG272" s="2">
        <f t="shared" ca="1" si="146"/>
        <v>2.3421345698182048</v>
      </c>
      <c r="AI272" s="2">
        <f t="shared" ca="1" si="147"/>
        <v>-1.0658030085961703E-4</v>
      </c>
      <c r="AJ272" s="11">
        <f t="shared" ca="1" si="148"/>
        <v>-1.0373148613054974E-4</v>
      </c>
      <c r="AK272" s="2">
        <f t="shared" ca="1" si="149"/>
        <v>1.3727909960995516E-2</v>
      </c>
      <c r="AL272" s="2">
        <f t="shared" ca="1" si="150"/>
        <v>3.007354444729109E-4</v>
      </c>
      <c r="AM272" s="2">
        <f t="shared" ca="1" si="151"/>
        <v>-1.8613965452254612E-4</v>
      </c>
      <c r="AN272" s="2">
        <f t="shared" ca="1" si="152"/>
        <v>0.26950693116440672</v>
      </c>
      <c r="AO272" s="2">
        <f t="shared" ca="1" si="153"/>
        <v>-1.0373148613054974E-4</v>
      </c>
      <c r="AP272" s="2">
        <f t="shared" ca="1" si="154"/>
        <v>0.19464909997484922</v>
      </c>
      <c r="AQ272" s="2">
        <f t="shared" ca="1" si="155"/>
        <v>2.3421345698182048</v>
      </c>
      <c r="AS272" s="2">
        <f t="shared" ca="1" si="156"/>
        <v>8.6904428012259078</v>
      </c>
      <c r="AT272" s="2">
        <f t="shared" ca="1" si="157"/>
        <v>0.40036099136446546</v>
      </c>
      <c r="AU272" s="2">
        <f t="shared" ca="1" si="158"/>
        <v>1.2040274068760775E-4</v>
      </c>
      <c r="AV272" s="2">
        <f t="shared" ca="1" si="159"/>
        <v>0.19452869723416161</v>
      </c>
      <c r="AW272" s="2">
        <f t="shared" ca="1" si="160"/>
        <v>0.70848874359436964</v>
      </c>
      <c r="AX272" s="2">
        <f t="shared" ca="1" si="161"/>
        <v>5.2899774175828661E-2</v>
      </c>
      <c r="AY272" s="9">
        <f t="shared" ca="1" si="162"/>
        <v>0.70848874359436964</v>
      </c>
      <c r="AZ272" s="9">
        <f t="shared" ca="1" si="163"/>
        <v>0.70848874359436964</v>
      </c>
      <c r="BB272" s="2">
        <f t="shared" ca="1" si="164"/>
        <v>8.6904428012259078</v>
      </c>
      <c r="BC272" s="2">
        <f t="shared" ca="1" si="165"/>
        <v>0.40036099136446546</v>
      </c>
      <c r="BD272" s="2">
        <f t="shared" ca="1" si="166"/>
        <v>1.2040274068760775E-4</v>
      </c>
      <c r="BE272" s="2">
        <f t="shared" ca="1" si="167"/>
        <v>0.19452869723416161</v>
      </c>
      <c r="BF272" s="2">
        <f t="shared" ca="1" si="168"/>
        <v>0.70848874359436964</v>
      </c>
      <c r="BG272" s="2">
        <f t="shared" ca="1" si="169"/>
        <v>5.2899774175828661E-2</v>
      </c>
      <c r="BH272" s="2">
        <f t="shared" ca="1" si="170"/>
        <v>0.70848874359436964</v>
      </c>
      <c r="BI272" s="2">
        <f t="shared" ca="1" si="171"/>
        <v>0.70848874359436964</v>
      </c>
    </row>
    <row r="273" spans="1:61" ht="15" x14ac:dyDescent="0.25">
      <c r="A273" s="66">
        <v>207</v>
      </c>
      <c r="B273" s="66">
        <v>1498730228.539</v>
      </c>
      <c r="C273" s="67">
        <v>1.65244251589724E-6</v>
      </c>
      <c r="D273" s="67">
        <v>-2.7734431672614099E-5</v>
      </c>
      <c r="E273" s="67">
        <v>1.5490837713261501E-2</v>
      </c>
      <c r="F273" s="67">
        <v>4.5019902792503899E-4</v>
      </c>
      <c r="G273" s="67">
        <v>1.50277412547012E-5</v>
      </c>
      <c r="H273" s="67">
        <v>0.28892972152868601</v>
      </c>
      <c r="I273" s="67">
        <v>-2.7734431672614099E-5</v>
      </c>
      <c r="J273" s="67">
        <v>0.208719985314088</v>
      </c>
      <c r="K273" s="67">
        <v>2.5073869807581799</v>
      </c>
      <c r="L273" s="67"/>
      <c r="M273" s="67"/>
      <c r="O273" s="11">
        <f t="shared" ca="1" si="129"/>
        <v>-1.1151488194062787E-5</v>
      </c>
      <c r="P273" s="11">
        <f t="shared" ca="1" si="130"/>
        <v>-2.8499531902918841E-5</v>
      </c>
      <c r="Q273" s="11">
        <f t="shared" ca="1" si="131"/>
        <v>1.4654346100993216E-2</v>
      </c>
      <c r="R273" s="11">
        <f t="shared" ca="1" si="132"/>
        <v>4.3855254027869189E-4</v>
      </c>
      <c r="S273" s="11">
        <f t="shared" ca="1" si="133"/>
        <v>4.1000892077310778E-6</v>
      </c>
      <c r="T273" s="11">
        <f t="shared" ca="1" si="134"/>
        <v>0.28779116649010372</v>
      </c>
      <c r="U273" s="11">
        <f t="shared" ca="1" si="135"/>
        <v>-2.8499531902918841E-5</v>
      </c>
      <c r="V273" s="11">
        <f t="shared" ca="1" si="136"/>
        <v>0.20806978930839423</v>
      </c>
      <c r="W273" s="11">
        <f t="shared" ca="1" si="137"/>
        <v>2.5002641324946748</v>
      </c>
      <c r="X273" s="11"/>
      <c r="Y273" s="2">
        <f t="shared" ca="1" si="138"/>
        <v>-1.1151488194062787E-5</v>
      </c>
      <c r="Z273" s="11">
        <f t="shared" ca="1" si="139"/>
        <v>-2.8499531902918841E-5</v>
      </c>
      <c r="AA273" s="2">
        <f t="shared" ca="1" si="140"/>
        <v>1.4654346100993216E-2</v>
      </c>
      <c r="AB273" s="2">
        <f t="shared" ca="1" si="141"/>
        <v>4.3855254027869189E-4</v>
      </c>
      <c r="AC273" s="2">
        <f t="shared" ca="1" si="142"/>
        <v>4.1000892077310778E-6</v>
      </c>
      <c r="AD273" s="2">
        <f t="shared" ca="1" si="143"/>
        <v>0.28779116649010372</v>
      </c>
      <c r="AE273" s="2">
        <f t="shared" ca="1" si="144"/>
        <v>-2.8499531902918841E-5</v>
      </c>
      <c r="AF273" s="2">
        <f t="shared" ca="1" si="145"/>
        <v>0.20806978930839423</v>
      </c>
      <c r="AG273" s="2">
        <f t="shared" ca="1" si="146"/>
        <v>2.5002641324946748</v>
      </c>
      <c r="AI273" s="2">
        <f t="shared" ca="1" si="147"/>
        <v>-1.1151488194062787E-5</v>
      </c>
      <c r="AJ273" s="11">
        <f t="shared" ca="1" si="148"/>
        <v>-2.8499531902918841E-5</v>
      </c>
      <c r="AK273" s="2">
        <f t="shared" ca="1" si="149"/>
        <v>1.4654346100993216E-2</v>
      </c>
      <c r="AL273" s="2">
        <f t="shared" ca="1" si="150"/>
        <v>4.3855254027869189E-4</v>
      </c>
      <c r="AM273" s="2">
        <f t="shared" ca="1" si="151"/>
        <v>4.1000892077310778E-6</v>
      </c>
      <c r="AN273" s="2">
        <f t="shared" ca="1" si="152"/>
        <v>0.28779116649010372</v>
      </c>
      <c r="AO273" s="2">
        <f t="shared" ca="1" si="153"/>
        <v>-2.8499531902918841E-5</v>
      </c>
      <c r="AP273" s="2">
        <f t="shared" ca="1" si="154"/>
        <v>0.20806978930839423</v>
      </c>
      <c r="AQ273" s="2">
        <f t="shared" ca="1" si="155"/>
        <v>2.5002641324946748</v>
      </c>
      <c r="AS273" s="2">
        <f t="shared" ca="1" si="156"/>
        <v>8.687772328066405</v>
      </c>
      <c r="AT273" s="2">
        <f t="shared" ca="1" si="157"/>
        <v>0.40023647310670329</v>
      </c>
      <c r="AU273" s="2">
        <f t="shared" ca="1" si="158"/>
        <v>1.7552472199312908E-4</v>
      </c>
      <c r="AV273" s="2">
        <f t="shared" ca="1" si="159"/>
        <v>0.20789426458640109</v>
      </c>
      <c r="AW273" s="2">
        <f t="shared" ca="1" si="160"/>
        <v>0.7091718371949397</v>
      </c>
      <c r="AX273" s="2">
        <f t="shared" ca="1" si="161"/>
        <v>5.2865426724645656E-2</v>
      </c>
      <c r="AY273" s="9">
        <f t="shared" ca="1" si="162"/>
        <v>0.7091718371949397</v>
      </c>
      <c r="AZ273" s="9">
        <f t="shared" ca="1" si="163"/>
        <v>0.7091718371949397</v>
      </c>
      <c r="BB273" s="2">
        <f t="shared" ca="1" si="164"/>
        <v>8.687772328066405</v>
      </c>
      <c r="BC273" s="2">
        <f t="shared" ca="1" si="165"/>
        <v>0.40023647310670329</v>
      </c>
      <c r="BD273" s="2">
        <f t="shared" ca="1" si="166"/>
        <v>1.7552472199312908E-4</v>
      </c>
      <c r="BE273" s="2">
        <f t="shared" ca="1" si="167"/>
        <v>0.20789426458640109</v>
      </c>
      <c r="BF273" s="2">
        <f t="shared" ca="1" si="168"/>
        <v>0.7091718371949397</v>
      </c>
      <c r="BG273" s="2">
        <f t="shared" ca="1" si="169"/>
        <v>5.2865426724645656E-2</v>
      </c>
      <c r="BH273" s="2">
        <f t="shared" ca="1" si="170"/>
        <v>0.7091718371949397</v>
      </c>
      <c r="BI273" s="2">
        <f t="shared" ca="1" si="171"/>
        <v>0.7091718371949397</v>
      </c>
    </row>
    <row r="274" spans="1:61" ht="15" x14ac:dyDescent="0.25">
      <c r="A274" s="66">
        <v>208</v>
      </c>
      <c r="B274" s="66">
        <v>1498730229.066</v>
      </c>
      <c r="C274" s="67">
        <v>-2.4095344266689001E-5</v>
      </c>
      <c r="D274" s="67">
        <v>-2.48297635145588E-5</v>
      </c>
      <c r="E274" s="67">
        <v>1.52620419674423E-2</v>
      </c>
      <c r="F274" s="67">
        <v>5.8232134969356502E-4</v>
      </c>
      <c r="G274" s="67">
        <v>-4.4025700228919003E-5</v>
      </c>
      <c r="H274" s="67">
        <v>0.28619838948165499</v>
      </c>
      <c r="I274" s="67">
        <v>-2.48297635145588E-5</v>
      </c>
      <c r="J274" s="67">
        <v>0.20669540525779601</v>
      </c>
      <c r="K274" s="67">
        <v>2.48611296435499</v>
      </c>
      <c r="L274" s="67"/>
      <c r="M274" s="67"/>
      <c r="O274" s="11">
        <f t="shared" ca="1" si="129"/>
        <v>-3.6899274976649029E-5</v>
      </c>
      <c r="P274" s="11">
        <f t="shared" ca="1" si="130"/>
        <v>-2.5594863744863542E-5</v>
      </c>
      <c r="Q274" s="11">
        <f t="shared" ca="1" si="131"/>
        <v>1.4425550355174016E-2</v>
      </c>
      <c r="R274" s="11">
        <f t="shared" ca="1" si="132"/>
        <v>5.7067486204721786E-4</v>
      </c>
      <c r="S274" s="11">
        <f t="shared" ca="1" si="133"/>
        <v>-5.4953352275889124E-5</v>
      </c>
      <c r="T274" s="11">
        <f t="shared" ca="1" si="134"/>
        <v>0.2850598344430727</v>
      </c>
      <c r="U274" s="11">
        <f t="shared" ca="1" si="135"/>
        <v>-2.5594863744863542E-5</v>
      </c>
      <c r="V274" s="11">
        <f t="shared" ca="1" si="136"/>
        <v>0.20604520925210223</v>
      </c>
      <c r="W274" s="11">
        <f t="shared" ca="1" si="137"/>
        <v>2.4789901160914849</v>
      </c>
      <c r="X274" s="11"/>
      <c r="Y274" s="2">
        <f t="shared" ca="1" si="138"/>
        <v>-3.6899274976649029E-5</v>
      </c>
      <c r="Z274" s="11">
        <f t="shared" ca="1" si="139"/>
        <v>-2.5594863744863542E-5</v>
      </c>
      <c r="AA274" s="2">
        <f t="shared" ca="1" si="140"/>
        <v>1.4425550355174016E-2</v>
      </c>
      <c r="AB274" s="2">
        <f t="shared" ca="1" si="141"/>
        <v>5.7067486204721786E-4</v>
      </c>
      <c r="AC274" s="2">
        <f t="shared" ca="1" si="142"/>
        <v>-5.4953352275889124E-5</v>
      </c>
      <c r="AD274" s="2">
        <f t="shared" ca="1" si="143"/>
        <v>0.2850598344430727</v>
      </c>
      <c r="AE274" s="2">
        <f t="shared" ca="1" si="144"/>
        <v>-2.5594863744863542E-5</v>
      </c>
      <c r="AF274" s="2">
        <f t="shared" ca="1" si="145"/>
        <v>0.20604520925210223</v>
      </c>
      <c r="AG274" s="2">
        <f t="shared" ca="1" si="146"/>
        <v>2.4789901160914849</v>
      </c>
      <c r="AI274" s="2">
        <f t="shared" ca="1" si="147"/>
        <v>-3.6899274976649029E-5</v>
      </c>
      <c r="AJ274" s="11">
        <f t="shared" ca="1" si="148"/>
        <v>-2.5594863744863542E-5</v>
      </c>
      <c r="AK274" s="2">
        <f t="shared" ca="1" si="149"/>
        <v>1.4425550355174016E-2</v>
      </c>
      <c r="AL274" s="2">
        <f t="shared" ca="1" si="150"/>
        <v>5.7067486204721786E-4</v>
      </c>
      <c r="AM274" s="2">
        <f t="shared" ca="1" si="151"/>
        <v>-5.4953352275889124E-5</v>
      </c>
      <c r="AN274" s="2">
        <f t="shared" ca="1" si="152"/>
        <v>0.2850598344430727</v>
      </c>
      <c r="AO274" s="2">
        <f t="shared" ca="1" si="153"/>
        <v>-2.5594863744863542E-5</v>
      </c>
      <c r="AP274" s="2">
        <f t="shared" ca="1" si="154"/>
        <v>0.20604520925210223</v>
      </c>
      <c r="AQ274" s="2">
        <f t="shared" ca="1" si="155"/>
        <v>2.4789901160914849</v>
      </c>
      <c r="AS274" s="2">
        <f t="shared" ca="1" si="156"/>
        <v>8.6963851674675219</v>
      </c>
      <c r="AT274" s="2">
        <f t="shared" ca="1" si="157"/>
        <v>0.40063807242607036</v>
      </c>
      <c r="AU274" s="2">
        <f t="shared" ca="1" si="158"/>
        <v>2.2863407671261097E-4</v>
      </c>
      <c r="AV274" s="2">
        <f t="shared" ca="1" si="159"/>
        <v>0.20581657517538962</v>
      </c>
      <c r="AW274" s="2">
        <f t="shared" ca="1" si="160"/>
        <v>0.70845788201415583</v>
      </c>
      <c r="AX274" s="2">
        <f t="shared" ca="1" si="161"/>
        <v>5.2591972626856581E-2</v>
      </c>
      <c r="AY274" s="9">
        <f t="shared" ca="1" si="162"/>
        <v>0.70845788201415583</v>
      </c>
      <c r="AZ274" s="9">
        <f t="shared" ca="1" si="163"/>
        <v>0.70845788201415583</v>
      </c>
      <c r="BB274" s="2">
        <f t="shared" ca="1" si="164"/>
        <v>8.6963851674675219</v>
      </c>
      <c r="BC274" s="2">
        <f t="shared" ca="1" si="165"/>
        <v>0.40063807242607036</v>
      </c>
      <c r="BD274" s="2">
        <f t="shared" ca="1" si="166"/>
        <v>2.2863407671261097E-4</v>
      </c>
      <c r="BE274" s="2">
        <f t="shared" ca="1" si="167"/>
        <v>0.20581657517538962</v>
      </c>
      <c r="BF274" s="2">
        <f t="shared" ca="1" si="168"/>
        <v>0.70845788201415583</v>
      </c>
      <c r="BG274" s="2">
        <f t="shared" ca="1" si="169"/>
        <v>5.2591972626856581E-2</v>
      </c>
      <c r="BH274" s="2">
        <f t="shared" ca="1" si="170"/>
        <v>0.70845788201415583</v>
      </c>
      <c r="BI274" s="2">
        <f t="shared" ca="1" si="171"/>
        <v>0.70845788201415583</v>
      </c>
    </row>
    <row r="275" spans="1:61" ht="15" x14ac:dyDescent="0.25">
      <c r="A275" s="66">
        <v>209</v>
      </c>
      <c r="B275" s="66">
        <v>1498730229.5929999</v>
      </c>
      <c r="C275" s="67">
        <v>-2.3386698526808901E-5</v>
      </c>
      <c r="D275" s="67">
        <v>4.1953831782368903E-5</v>
      </c>
      <c r="E275" s="67">
        <v>1.49291870545879E-2</v>
      </c>
      <c r="F275" s="67">
        <v>4.8971486357207402E-4</v>
      </c>
      <c r="G275" s="67">
        <v>3.7585154014602301E-5</v>
      </c>
      <c r="H275" s="67">
        <v>0.277480410043139</v>
      </c>
      <c r="I275" s="67">
        <v>4.1953831782368903E-5</v>
      </c>
      <c r="J275" s="67">
        <v>0.200548939342125</v>
      </c>
      <c r="K275" s="67">
        <v>2.4123007114152299</v>
      </c>
      <c r="L275" s="67"/>
      <c r="M275" s="67"/>
      <c r="O275" s="11">
        <f t="shared" ca="1" si="129"/>
        <v>-3.6190629236768929E-5</v>
      </c>
      <c r="P275" s="11">
        <f t="shared" ca="1" si="130"/>
        <v>4.1188731552064165E-5</v>
      </c>
      <c r="Q275" s="11">
        <f t="shared" ca="1" si="131"/>
        <v>1.4092695442319616E-2</v>
      </c>
      <c r="R275" s="11">
        <f t="shared" ca="1" si="132"/>
        <v>4.7806837592572691E-4</v>
      </c>
      <c r="S275" s="11">
        <f t="shared" ca="1" si="133"/>
        <v>2.665750196763218E-5</v>
      </c>
      <c r="T275" s="11">
        <f t="shared" ca="1" si="134"/>
        <v>0.27634185500455671</v>
      </c>
      <c r="U275" s="11">
        <f t="shared" ca="1" si="135"/>
        <v>4.1188731552064165E-5</v>
      </c>
      <c r="V275" s="11">
        <f t="shared" ca="1" si="136"/>
        <v>0.19989874333643123</v>
      </c>
      <c r="W275" s="11">
        <f t="shared" ca="1" si="137"/>
        <v>2.4051778631517249</v>
      </c>
      <c r="X275" s="11"/>
      <c r="Y275" s="2">
        <f t="shared" ca="1" si="138"/>
        <v>-3.6190629236768929E-5</v>
      </c>
      <c r="Z275" s="11">
        <f t="shared" ca="1" si="139"/>
        <v>4.1188731552064165E-5</v>
      </c>
      <c r="AA275" s="2">
        <f t="shared" ca="1" si="140"/>
        <v>1.4092380317701395E-2</v>
      </c>
      <c r="AB275" s="2">
        <f t="shared" ca="1" si="141"/>
        <v>4.7044092778014809E-4</v>
      </c>
      <c r="AC275" s="2">
        <f t="shared" ca="1" si="142"/>
        <v>2.665750196763218E-5</v>
      </c>
      <c r="AD275" s="2">
        <f t="shared" ca="1" si="143"/>
        <v>0.27628638590982668</v>
      </c>
      <c r="AE275" s="2">
        <f t="shared" ca="1" si="144"/>
        <v>4.1188731552064165E-5</v>
      </c>
      <c r="AF275" s="2">
        <f t="shared" ca="1" si="145"/>
        <v>0.19981682884050161</v>
      </c>
      <c r="AG275" s="2">
        <f t="shared" ca="1" si="146"/>
        <v>2.4051446241548597</v>
      </c>
      <c r="AI275" s="2">
        <f t="shared" ca="1" si="147"/>
        <v>-3.6190629236768929E-5</v>
      </c>
      <c r="AJ275" s="11">
        <f t="shared" ca="1" si="148"/>
        <v>4.1188731552064165E-5</v>
      </c>
      <c r="AK275" s="2">
        <f t="shared" ca="1" si="149"/>
        <v>1.4043785235476584E-2</v>
      </c>
      <c r="AL275" s="2">
        <f t="shared" ca="1" si="150"/>
        <v>4.4769639946548768E-4</v>
      </c>
      <c r="AM275" s="2">
        <f t="shared" ca="1" si="151"/>
        <v>2.665750196763218E-5</v>
      </c>
      <c r="AN275" s="2">
        <f t="shared" ca="1" si="152"/>
        <v>0.27628638590982668</v>
      </c>
      <c r="AO275" s="2">
        <f t="shared" ca="1" si="153"/>
        <v>4.1188731552064165E-5</v>
      </c>
      <c r="AP275" s="2">
        <f t="shared" ca="1" si="154"/>
        <v>0.19981682884050161</v>
      </c>
      <c r="AQ275" s="2">
        <f t="shared" ca="1" si="155"/>
        <v>2.4051446241548597</v>
      </c>
      <c r="AS275" s="2">
        <f t="shared" ca="1" si="156"/>
        <v>8.7036321845348574</v>
      </c>
      <c r="AT275" s="2">
        <f t="shared" ca="1" si="157"/>
        <v>0.40097598994391248</v>
      </c>
      <c r="AU275" s="2">
        <f t="shared" ca="1" si="158"/>
        <v>1.9169394029769685E-4</v>
      </c>
      <c r="AV275" s="2">
        <f t="shared" ca="1" si="159"/>
        <v>0.19970704939613354</v>
      </c>
      <c r="AW275" s="2">
        <f t="shared" ca="1" si="160"/>
        <v>0.70881722546496007</v>
      </c>
      <c r="AX275" s="2">
        <f t="shared" ca="1" si="161"/>
        <v>5.3044537861663549E-2</v>
      </c>
      <c r="AY275" s="9">
        <f t="shared" ca="1" si="162"/>
        <v>0.70881722546496007</v>
      </c>
      <c r="AZ275" s="9">
        <f t="shared" ca="1" si="163"/>
        <v>0.70881722546496007</v>
      </c>
      <c r="BB275" s="2">
        <f t="shared" ca="1" si="164"/>
        <v>8.7052592773783708</v>
      </c>
      <c r="BC275" s="2">
        <f t="shared" ca="1" si="165"/>
        <v>0.40105185930785409</v>
      </c>
      <c r="BD275" s="2">
        <f t="shared" ca="1" si="166"/>
        <v>1.795494734110656E-4</v>
      </c>
      <c r="BE275" s="2">
        <f t="shared" ca="1" si="167"/>
        <v>0.19963727936709055</v>
      </c>
      <c r="BF275" s="2">
        <f t="shared" ca="1" si="168"/>
        <v>0.70864513744683666</v>
      </c>
      <c r="BG275" s="2">
        <f t="shared" ca="1" si="169"/>
        <v>5.2881167494266364E-2</v>
      </c>
      <c r="BH275" s="2">
        <f t="shared" ca="1" si="170"/>
        <v>0.70864513744683666</v>
      </c>
      <c r="BI275" s="2">
        <f t="shared" ca="1" si="171"/>
        <v>0.70864513744683666</v>
      </c>
    </row>
    <row r="276" spans="1:61" ht="15" x14ac:dyDescent="0.25">
      <c r="A276" s="66">
        <v>210</v>
      </c>
      <c r="B276" s="66">
        <v>1498730230.1210001</v>
      </c>
      <c r="C276" s="67">
        <v>3.44877454907294E-5</v>
      </c>
      <c r="D276" s="67">
        <v>2.80831458444669E-5</v>
      </c>
      <c r="E276" s="67">
        <v>1.5364258336198601E-2</v>
      </c>
      <c r="F276" s="67">
        <v>4.49008816163567E-4</v>
      </c>
      <c r="G276" s="67">
        <v>-5.6824983180950597E-5</v>
      </c>
      <c r="H276" s="67">
        <v>0.28622016941085898</v>
      </c>
      <c r="I276" s="67">
        <v>2.80831458444669E-5</v>
      </c>
      <c r="J276" s="67">
        <v>0.20643987551297299</v>
      </c>
      <c r="K276" s="67">
        <v>2.4798755067608198</v>
      </c>
      <c r="L276" s="67"/>
      <c r="M276" s="67"/>
      <c r="O276" s="11">
        <f t="shared" ca="1" si="129"/>
        <v>2.1683814780769372E-5</v>
      </c>
      <c r="P276" s="11">
        <f t="shared" ca="1" si="130"/>
        <v>2.7318045614162158E-5</v>
      </c>
      <c r="Q276" s="11">
        <f t="shared" ca="1" si="131"/>
        <v>1.4527766723930316E-2</v>
      </c>
      <c r="R276" s="11">
        <f t="shared" ca="1" si="132"/>
        <v>4.3736232851721989E-4</v>
      </c>
      <c r="S276" s="11">
        <f t="shared" ca="1" si="133"/>
        <v>-6.7752635227920718E-5</v>
      </c>
      <c r="T276" s="11">
        <f t="shared" ca="1" si="134"/>
        <v>0.28508161437227669</v>
      </c>
      <c r="U276" s="11">
        <f t="shared" ca="1" si="135"/>
        <v>2.7318045614162158E-5</v>
      </c>
      <c r="V276" s="11">
        <f t="shared" ca="1" si="136"/>
        <v>0.20578967950727922</v>
      </c>
      <c r="W276" s="11">
        <f t="shared" ca="1" si="137"/>
        <v>2.4727526584973147</v>
      </c>
      <c r="X276" s="11"/>
      <c r="Y276" s="2">
        <f t="shared" ca="1" si="138"/>
        <v>2.1683814780769372E-5</v>
      </c>
      <c r="Z276" s="11">
        <f t="shared" ca="1" si="139"/>
        <v>2.7318045614162158E-5</v>
      </c>
      <c r="AA276" s="2">
        <f t="shared" ca="1" si="140"/>
        <v>1.4527557720439063E-2</v>
      </c>
      <c r="AB276" s="2">
        <f t="shared" ca="1" si="141"/>
        <v>4.3230349401300133E-4</v>
      </c>
      <c r="AC276" s="2">
        <f t="shared" ca="1" si="142"/>
        <v>-6.7752635227920718E-5</v>
      </c>
      <c r="AD276" s="2">
        <f t="shared" ca="1" si="143"/>
        <v>0.28504482500773665</v>
      </c>
      <c r="AE276" s="2">
        <f t="shared" ca="1" si="144"/>
        <v>2.7318045614162158E-5</v>
      </c>
      <c r="AF276" s="2">
        <f t="shared" ca="1" si="145"/>
        <v>0.20573535047475153</v>
      </c>
      <c r="AG276" s="2">
        <f t="shared" ca="1" si="146"/>
        <v>2.4727306130397753</v>
      </c>
      <c r="AI276" s="2">
        <f t="shared" ca="1" si="147"/>
        <v>2.1683814780769372E-5</v>
      </c>
      <c r="AJ276" s="11">
        <f t="shared" ca="1" si="148"/>
        <v>2.7318045614162158E-5</v>
      </c>
      <c r="AK276" s="2">
        <f t="shared" ca="1" si="149"/>
        <v>1.4495327481176577E-2</v>
      </c>
      <c r="AL276" s="2">
        <f t="shared" ca="1" si="150"/>
        <v>4.1721839576987864E-4</v>
      </c>
      <c r="AM276" s="2">
        <f t="shared" ca="1" si="151"/>
        <v>-6.7752635227920718E-5</v>
      </c>
      <c r="AN276" s="2">
        <f t="shared" ca="1" si="152"/>
        <v>0.28504482500773665</v>
      </c>
      <c r="AO276" s="2">
        <f t="shared" ca="1" si="153"/>
        <v>2.7318045614162158E-5</v>
      </c>
      <c r="AP276" s="2">
        <f t="shared" ca="1" si="154"/>
        <v>0.20573535047475153</v>
      </c>
      <c r="AQ276" s="2">
        <f t="shared" ca="1" si="155"/>
        <v>2.4727306130397753</v>
      </c>
      <c r="AS276" s="2">
        <f t="shared" ca="1" si="156"/>
        <v>8.6738412224235759</v>
      </c>
      <c r="AT276" s="2">
        <f t="shared" ca="1" si="157"/>
        <v>0.39958690398960978</v>
      </c>
      <c r="AU276" s="2">
        <f t="shared" ca="1" si="158"/>
        <v>1.7476425877388253E-4</v>
      </c>
      <c r="AV276" s="2">
        <f t="shared" ca="1" si="159"/>
        <v>0.20561491524850534</v>
      </c>
      <c r="AW276" s="2">
        <f t="shared" ca="1" si="160"/>
        <v>0.7086353668319153</v>
      </c>
      <c r="AX276" s="2">
        <f t="shared" ca="1" si="161"/>
        <v>5.282010223719296E-2</v>
      </c>
      <c r="AY276" s="9">
        <f t="shared" ca="1" si="162"/>
        <v>0.7086353668319153</v>
      </c>
      <c r="AZ276" s="9">
        <f t="shared" ca="1" si="163"/>
        <v>0.7086353668319153</v>
      </c>
      <c r="BB276" s="2">
        <f t="shared" ca="1" si="164"/>
        <v>8.6748833730717987</v>
      </c>
      <c r="BC276" s="2">
        <f t="shared" ca="1" si="165"/>
        <v>0.3996354961686549</v>
      </c>
      <c r="BD276" s="2">
        <f t="shared" ca="1" si="166"/>
        <v>1.6673528060418569E-4</v>
      </c>
      <c r="BE276" s="2">
        <f t="shared" ca="1" si="167"/>
        <v>0.20556861519414735</v>
      </c>
      <c r="BF276" s="2">
        <f t="shared" ca="1" si="168"/>
        <v>0.70852436821035258</v>
      </c>
      <c r="BG276" s="2">
        <f t="shared" ca="1" si="169"/>
        <v>5.2715441710331351E-2</v>
      </c>
      <c r="BH276" s="2">
        <f t="shared" ca="1" si="170"/>
        <v>0.70852436821035258</v>
      </c>
      <c r="BI276" s="2">
        <f t="shared" ca="1" si="171"/>
        <v>0.70852436821035258</v>
      </c>
    </row>
    <row r="277" spans="1:61" ht="15" x14ac:dyDescent="0.25">
      <c r="A277" s="66">
        <v>211</v>
      </c>
      <c r="B277" s="66">
        <v>1498730230.648</v>
      </c>
      <c r="C277" s="67">
        <v>3.89761087352204E-5</v>
      </c>
      <c r="D277" s="67">
        <v>1.17338228060131E-5</v>
      </c>
      <c r="E277" s="67">
        <v>1.7216304609186401E-2</v>
      </c>
      <c r="F277" s="67">
        <v>4.3663069791685899E-4</v>
      </c>
      <c r="G277" s="67">
        <v>-6.6729173193519806E-5</v>
      </c>
      <c r="H277" s="67">
        <v>0.32146671709564201</v>
      </c>
      <c r="I277" s="67">
        <v>1.17338228060131E-5</v>
      </c>
      <c r="J277" s="67">
        <v>0.23220450432388301</v>
      </c>
      <c r="K277" s="67">
        <v>2.7915756218592098</v>
      </c>
      <c r="L277" s="67"/>
      <c r="M277" s="67"/>
      <c r="O277" s="11">
        <f t="shared" ca="1" si="129"/>
        <v>2.6172178025260372E-5</v>
      </c>
      <c r="P277" s="11">
        <f t="shared" ca="1" si="130"/>
        <v>1.0968722575708359E-5</v>
      </c>
      <c r="Q277" s="11">
        <f t="shared" ca="1" si="131"/>
        <v>1.6379812996918118E-2</v>
      </c>
      <c r="R277" s="11">
        <f t="shared" ca="1" si="132"/>
        <v>4.2498421027051188E-4</v>
      </c>
      <c r="S277" s="11">
        <f t="shared" ca="1" si="133"/>
        <v>-7.7656825240489933E-5</v>
      </c>
      <c r="T277" s="11">
        <f t="shared" ca="1" si="134"/>
        <v>0.32032816205705972</v>
      </c>
      <c r="U277" s="11">
        <f t="shared" ca="1" si="135"/>
        <v>1.0968722575708359E-5</v>
      </c>
      <c r="V277" s="11">
        <f t="shared" ca="1" si="136"/>
        <v>0.23155430831818924</v>
      </c>
      <c r="W277" s="11">
        <f t="shared" ca="1" si="137"/>
        <v>2.7844527735957048</v>
      </c>
      <c r="X277" s="11"/>
      <c r="Y277" s="2">
        <f t="shared" ca="1" si="138"/>
        <v>2.6172178025260372E-5</v>
      </c>
      <c r="Z277" s="11">
        <f t="shared" ca="1" si="139"/>
        <v>1.0968722575708359E-5</v>
      </c>
      <c r="AA277" s="2">
        <f t="shared" ca="1" si="140"/>
        <v>1.6379729077982432E-2</v>
      </c>
      <c r="AB277" s="2">
        <f t="shared" ca="1" si="141"/>
        <v>4.2295299057723969E-4</v>
      </c>
      <c r="AC277" s="2">
        <f t="shared" ca="1" si="142"/>
        <v>-7.7656825240489933E-5</v>
      </c>
      <c r="AD277" s="2">
        <f t="shared" ca="1" si="143"/>
        <v>0.32031339041713069</v>
      </c>
      <c r="AE277" s="2">
        <f t="shared" ca="1" si="144"/>
        <v>1.0968722575708359E-5</v>
      </c>
      <c r="AF277" s="2">
        <f t="shared" ca="1" si="145"/>
        <v>0.23153249416303262</v>
      </c>
      <c r="AG277" s="2">
        <f t="shared" ca="1" si="146"/>
        <v>2.7844439219190065</v>
      </c>
      <c r="AI277" s="2">
        <f t="shared" ca="1" si="147"/>
        <v>2.6172178025260372E-5</v>
      </c>
      <c r="AJ277" s="11">
        <f t="shared" ca="1" si="148"/>
        <v>1.0968722575708359E-5</v>
      </c>
      <c r="AK277" s="2">
        <f t="shared" ca="1" si="149"/>
        <v>1.6366788014847387E-2</v>
      </c>
      <c r="AL277" s="2">
        <f t="shared" ca="1" si="150"/>
        <v>4.1689603247734036E-4</v>
      </c>
      <c r="AM277" s="2">
        <f t="shared" ca="1" si="151"/>
        <v>-7.7656825240489933E-5</v>
      </c>
      <c r="AN277" s="2">
        <f t="shared" ca="1" si="152"/>
        <v>0.32031339041713069</v>
      </c>
      <c r="AO277" s="2">
        <f t="shared" ca="1" si="153"/>
        <v>1.0968722575708359E-5</v>
      </c>
      <c r="AP277" s="2">
        <f t="shared" ca="1" si="154"/>
        <v>0.23153249416303262</v>
      </c>
      <c r="AQ277" s="2">
        <f t="shared" ca="1" si="155"/>
        <v>2.7844439219190065</v>
      </c>
      <c r="AS277" s="2">
        <f t="shared" ca="1" si="156"/>
        <v>8.6925007021384317</v>
      </c>
      <c r="AT277" s="2">
        <f t="shared" ca="1" si="157"/>
        <v>0.40045694704965401</v>
      </c>
      <c r="AU277" s="2">
        <f t="shared" ca="1" si="158"/>
        <v>1.701878793892374E-4</v>
      </c>
      <c r="AV277" s="2">
        <f t="shared" ca="1" si="159"/>
        <v>0.2313841204388</v>
      </c>
      <c r="AW277" s="2">
        <f t="shared" ca="1" si="160"/>
        <v>0.70893408905617217</v>
      </c>
      <c r="AX277" s="2">
        <f t="shared" ca="1" si="161"/>
        <v>5.3117591171485956E-2</v>
      </c>
      <c r="AY277" s="9">
        <f t="shared" ca="1" si="162"/>
        <v>0.70893408905617217</v>
      </c>
      <c r="AZ277" s="9">
        <f t="shared" ca="1" si="163"/>
        <v>0.70893408905617217</v>
      </c>
      <c r="BB277" s="2">
        <f t="shared" ca="1" si="164"/>
        <v>8.6928739329097109</v>
      </c>
      <c r="BC277" s="2">
        <f t="shared" ca="1" si="165"/>
        <v>0.4004743500620736</v>
      </c>
      <c r="BD277" s="2">
        <f t="shared" ca="1" si="166"/>
        <v>1.6695616764982E-4</v>
      </c>
      <c r="BE277" s="2">
        <f t="shared" ca="1" si="167"/>
        <v>0.23136553799538281</v>
      </c>
      <c r="BF277" s="2">
        <f t="shared" ca="1" si="168"/>
        <v>0.70889451718862639</v>
      </c>
      <c r="BG277" s="2">
        <f t="shared" ca="1" si="169"/>
        <v>5.30801324883566E-2</v>
      </c>
      <c r="BH277" s="2">
        <f t="shared" ca="1" si="170"/>
        <v>0.70889451718862639</v>
      </c>
      <c r="BI277" s="2">
        <f t="shared" ca="1" si="171"/>
        <v>0.70889451718862639</v>
      </c>
    </row>
    <row r="278" spans="1:61" ht="15" x14ac:dyDescent="0.25">
      <c r="A278" s="66">
        <v>212</v>
      </c>
      <c r="B278" s="66">
        <v>1498730231.175</v>
      </c>
      <c r="C278" s="67">
        <v>1.1800000435425E-6</v>
      </c>
      <c r="D278" s="67">
        <v>-2.0578876261178599E-5</v>
      </c>
      <c r="E278" s="67">
        <v>1.5447919504153799E-2</v>
      </c>
      <c r="F278" s="67">
        <v>4.5186532677351702E-4</v>
      </c>
      <c r="G278" s="67">
        <v>-9.2445468639203195E-5</v>
      </c>
      <c r="H278" s="67">
        <v>0.28737400981455002</v>
      </c>
      <c r="I278" s="67">
        <v>-2.0578876261178599E-5</v>
      </c>
      <c r="J278" s="67">
        <v>0.20743271164090299</v>
      </c>
      <c r="K278" s="67">
        <v>2.4968590257225101</v>
      </c>
      <c r="L278" s="67"/>
      <c r="M278" s="67"/>
      <c r="O278" s="11">
        <f t="shared" ca="1" si="129"/>
        <v>-1.1623930666417528E-5</v>
      </c>
      <c r="P278" s="11">
        <f t="shared" ca="1" si="130"/>
        <v>-2.1343976491483341E-5</v>
      </c>
      <c r="Q278" s="11">
        <f t="shared" ca="1" si="131"/>
        <v>1.4611427891885515E-2</v>
      </c>
      <c r="R278" s="11">
        <f t="shared" ca="1" si="132"/>
        <v>4.4021883912716991E-4</v>
      </c>
      <c r="S278" s="11">
        <f t="shared" ca="1" si="133"/>
        <v>-1.0337312068617332E-4</v>
      </c>
      <c r="T278" s="11">
        <f t="shared" ca="1" si="134"/>
        <v>0.28623545477596773</v>
      </c>
      <c r="U278" s="11">
        <f t="shared" ca="1" si="135"/>
        <v>-2.1343976491483341E-5</v>
      </c>
      <c r="V278" s="11">
        <f t="shared" ca="1" si="136"/>
        <v>0.20678251563520922</v>
      </c>
      <c r="W278" s="11">
        <f t="shared" ca="1" si="137"/>
        <v>2.489736177459005</v>
      </c>
      <c r="X278" s="11"/>
      <c r="Y278" s="2">
        <f t="shared" ca="1" si="138"/>
        <v>-1.1623930666417528E-5</v>
      </c>
      <c r="Z278" s="11">
        <f t="shared" ca="1" si="139"/>
        <v>-2.1343976491483341E-5</v>
      </c>
      <c r="AA278" s="2">
        <f t="shared" ca="1" si="140"/>
        <v>1.4611427891885515E-2</v>
      </c>
      <c r="AB278" s="2">
        <f t="shared" ca="1" si="141"/>
        <v>4.4021883912716991E-4</v>
      </c>
      <c r="AC278" s="2">
        <f t="shared" ca="1" si="142"/>
        <v>-1.0337312068617332E-4</v>
      </c>
      <c r="AD278" s="2">
        <f t="shared" ca="1" si="143"/>
        <v>0.28623545477596773</v>
      </c>
      <c r="AE278" s="2">
        <f t="shared" ca="1" si="144"/>
        <v>-2.1343976491483341E-5</v>
      </c>
      <c r="AF278" s="2">
        <f t="shared" ca="1" si="145"/>
        <v>0.20678251563520922</v>
      </c>
      <c r="AG278" s="2">
        <f t="shared" ca="1" si="146"/>
        <v>2.489736177459005</v>
      </c>
      <c r="AI278" s="2">
        <f t="shared" ca="1" si="147"/>
        <v>-1.1623930666417528E-5</v>
      </c>
      <c r="AJ278" s="11">
        <f t="shared" ca="1" si="148"/>
        <v>-2.1343976491483341E-5</v>
      </c>
      <c r="AK278" s="2">
        <f t="shared" ca="1" si="149"/>
        <v>1.4611427891885515E-2</v>
      </c>
      <c r="AL278" s="2">
        <f t="shared" ca="1" si="150"/>
        <v>4.4021883912716991E-4</v>
      </c>
      <c r="AM278" s="2">
        <f t="shared" ca="1" si="151"/>
        <v>-1.0337312068617332E-4</v>
      </c>
      <c r="AN278" s="2">
        <f t="shared" ca="1" si="152"/>
        <v>0.28623545477596773</v>
      </c>
      <c r="AO278" s="2">
        <f t="shared" ca="1" si="153"/>
        <v>-2.1343976491483341E-5</v>
      </c>
      <c r="AP278" s="2">
        <f t="shared" ca="1" si="154"/>
        <v>0.20678251563520922</v>
      </c>
      <c r="AQ278" s="2">
        <f t="shared" ca="1" si="155"/>
        <v>2.489736177459005</v>
      </c>
      <c r="AS278" s="2">
        <f t="shared" ca="1" si="156"/>
        <v>8.6982102877775382</v>
      </c>
      <c r="AT278" s="2">
        <f t="shared" ca="1" si="157"/>
        <v>0.40072317472238728</v>
      </c>
      <c r="AU278" s="2">
        <f t="shared" ca="1" si="158"/>
        <v>1.7640589078764341E-4</v>
      </c>
      <c r="AV278" s="2">
        <f t="shared" ca="1" si="159"/>
        <v>0.20660610974442156</v>
      </c>
      <c r="AW278" s="2">
        <f t="shared" ca="1" si="160"/>
        <v>0.708179833693796</v>
      </c>
      <c r="AX278" s="2">
        <f t="shared" ca="1" si="161"/>
        <v>5.3062240736517288E-2</v>
      </c>
      <c r="AY278" s="9">
        <f t="shared" ca="1" si="162"/>
        <v>0.708179833693796</v>
      </c>
      <c r="AZ278" s="9">
        <f t="shared" ca="1" si="163"/>
        <v>0.708179833693796</v>
      </c>
      <c r="BB278" s="2">
        <f t="shared" ca="1" si="164"/>
        <v>8.6982102877775382</v>
      </c>
      <c r="BC278" s="2">
        <f t="shared" ca="1" si="165"/>
        <v>0.40072317472238728</v>
      </c>
      <c r="BD278" s="2">
        <f t="shared" ca="1" si="166"/>
        <v>1.7640589078764341E-4</v>
      </c>
      <c r="BE278" s="2">
        <f t="shared" ca="1" si="167"/>
        <v>0.20660610974442156</v>
      </c>
      <c r="BF278" s="2">
        <f t="shared" ca="1" si="168"/>
        <v>0.708179833693796</v>
      </c>
      <c r="BG278" s="2">
        <f t="shared" ca="1" si="169"/>
        <v>5.3062240736517288E-2</v>
      </c>
      <c r="BH278" s="2">
        <f t="shared" ca="1" si="170"/>
        <v>0.708179833693796</v>
      </c>
      <c r="BI278" s="2">
        <f t="shared" ca="1" si="171"/>
        <v>0.708179833693796</v>
      </c>
    </row>
    <row r="279" spans="1:61" ht="15" x14ac:dyDescent="0.25">
      <c r="A279" s="66">
        <v>213</v>
      </c>
      <c r="B279" s="66">
        <v>1498730231.701</v>
      </c>
      <c r="C279" s="67">
        <v>6.1406572239317598E-6</v>
      </c>
      <c r="D279" s="67">
        <v>-1.6705687004994898E-5</v>
      </c>
      <c r="E279" s="67">
        <v>1.45680150516534E-2</v>
      </c>
      <c r="F279" s="67">
        <v>4.4710448029529202E-4</v>
      </c>
      <c r="G279" s="67">
        <v>-4.2997266122931099E-6</v>
      </c>
      <c r="H279" s="67">
        <v>0.27051950562199201</v>
      </c>
      <c r="I279" s="67">
        <v>-1.6705687004994898E-5</v>
      </c>
      <c r="J279" s="67">
        <v>0.195561648669142</v>
      </c>
      <c r="K279" s="67">
        <v>2.3507932262823199</v>
      </c>
      <c r="L279" s="67"/>
      <c r="M279" s="67"/>
      <c r="O279" s="11">
        <f t="shared" ca="1" si="129"/>
        <v>-6.663273486028268E-6</v>
      </c>
      <c r="P279" s="11">
        <f t="shared" ca="1" si="130"/>
        <v>-1.747078723529964E-5</v>
      </c>
      <c r="Q279" s="11">
        <f t="shared" ca="1" si="131"/>
        <v>1.3731523439385116E-2</v>
      </c>
      <c r="R279" s="11">
        <f t="shared" ca="1" si="132"/>
        <v>4.3545799264894491E-4</v>
      </c>
      <c r="S279" s="11">
        <f t="shared" ca="1" si="133"/>
        <v>-1.5227378659263231E-5</v>
      </c>
      <c r="T279" s="11">
        <f t="shared" ca="1" si="134"/>
        <v>0.26938095058340972</v>
      </c>
      <c r="U279" s="11">
        <f t="shared" ca="1" si="135"/>
        <v>-1.747078723529964E-5</v>
      </c>
      <c r="V279" s="11">
        <f t="shared" ca="1" si="136"/>
        <v>0.19491145266344823</v>
      </c>
      <c r="W279" s="11">
        <f t="shared" ca="1" si="137"/>
        <v>2.3436703780188148</v>
      </c>
      <c r="X279" s="11"/>
      <c r="Y279" s="2">
        <f t="shared" ca="1" si="138"/>
        <v>-6.663273486028268E-6</v>
      </c>
      <c r="Z279" s="11">
        <f t="shared" ca="1" si="139"/>
        <v>-1.747078723529964E-5</v>
      </c>
      <c r="AA279" s="2">
        <f t="shared" ca="1" si="140"/>
        <v>1.3731523439385116E-2</v>
      </c>
      <c r="AB279" s="2">
        <f t="shared" ca="1" si="141"/>
        <v>4.3545799264894491E-4</v>
      </c>
      <c r="AC279" s="2">
        <f t="shared" ca="1" si="142"/>
        <v>-1.5227378659263231E-5</v>
      </c>
      <c r="AD279" s="2">
        <f t="shared" ca="1" si="143"/>
        <v>0.26938095058340972</v>
      </c>
      <c r="AE279" s="2">
        <f t="shared" ca="1" si="144"/>
        <v>-1.747078723529964E-5</v>
      </c>
      <c r="AF279" s="2">
        <f t="shared" ca="1" si="145"/>
        <v>0.19491145266344823</v>
      </c>
      <c r="AG279" s="2">
        <f t="shared" ca="1" si="146"/>
        <v>2.3436703780188148</v>
      </c>
      <c r="AI279" s="2">
        <f t="shared" ca="1" si="147"/>
        <v>-6.663273486028268E-6</v>
      </c>
      <c r="AJ279" s="11">
        <f t="shared" ca="1" si="148"/>
        <v>-1.747078723529964E-5</v>
      </c>
      <c r="AK279" s="2">
        <f t="shared" ca="1" si="149"/>
        <v>1.3731523439385116E-2</v>
      </c>
      <c r="AL279" s="2">
        <f t="shared" ca="1" si="150"/>
        <v>4.3545799264894491E-4</v>
      </c>
      <c r="AM279" s="2">
        <f t="shared" ca="1" si="151"/>
        <v>-1.5227378659263231E-5</v>
      </c>
      <c r="AN279" s="2">
        <f t="shared" ca="1" si="152"/>
        <v>0.26938095058340972</v>
      </c>
      <c r="AO279" s="2">
        <f t="shared" ca="1" si="153"/>
        <v>-1.747078723529964E-5</v>
      </c>
      <c r="AP279" s="2">
        <f t="shared" ca="1" si="154"/>
        <v>0.19491145266344823</v>
      </c>
      <c r="AQ279" s="2">
        <f t="shared" ca="1" si="155"/>
        <v>2.3436703780188148</v>
      </c>
      <c r="AS279" s="2">
        <f t="shared" ca="1" si="156"/>
        <v>8.7002082847470419</v>
      </c>
      <c r="AT279" s="2">
        <f t="shared" ca="1" si="157"/>
        <v>0.40081633821545998</v>
      </c>
      <c r="AU279" s="2">
        <f t="shared" ca="1" si="158"/>
        <v>1.7453867806020479E-4</v>
      </c>
      <c r="AV279" s="2">
        <f t="shared" ca="1" si="159"/>
        <v>0.19473691398538803</v>
      </c>
      <c r="AW279" s="2">
        <f t="shared" ca="1" si="160"/>
        <v>0.70917757234747769</v>
      </c>
      <c r="AX279" s="2">
        <f t="shared" ca="1" si="161"/>
        <v>5.2999315543423096E-2</v>
      </c>
      <c r="AY279" s="9">
        <f t="shared" ca="1" si="162"/>
        <v>0.70917757234747769</v>
      </c>
      <c r="AZ279" s="9">
        <f t="shared" ca="1" si="163"/>
        <v>0.70917757234747769</v>
      </c>
      <c r="BB279" s="2">
        <f t="shared" ca="1" si="164"/>
        <v>8.7002082847470419</v>
      </c>
      <c r="BC279" s="2">
        <f t="shared" ca="1" si="165"/>
        <v>0.40081633821545998</v>
      </c>
      <c r="BD279" s="2">
        <f t="shared" ca="1" si="166"/>
        <v>1.7453867806020479E-4</v>
      </c>
      <c r="BE279" s="2">
        <f t="shared" ca="1" si="167"/>
        <v>0.19473691398538803</v>
      </c>
      <c r="BF279" s="2">
        <f t="shared" ca="1" si="168"/>
        <v>0.70917757234747769</v>
      </c>
      <c r="BG279" s="2">
        <f t="shared" ca="1" si="169"/>
        <v>5.2999315543423096E-2</v>
      </c>
      <c r="BH279" s="2">
        <f t="shared" ca="1" si="170"/>
        <v>0.70917757234747769</v>
      </c>
      <c r="BI279" s="2">
        <f t="shared" ca="1" si="171"/>
        <v>0.70917757234747769</v>
      </c>
    </row>
    <row r="280" spans="1:61" ht="15" x14ac:dyDescent="0.25">
      <c r="A280" s="66">
        <v>214</v>
      </c>
      <c r="B280" s="66">
        <v>1498730232.2279999</v>
      </c>
      <c r="C280" s="67">
        <v>4.2755798794746799E-5</v>
      </c>
      <c r="D280" s="67">
        <v>6.2373498066623501E-5</v>
      </c>
      <c r="E280" s="67">
        <v>1.3920790673874001E-2</v>
      </c>
      <c r="F280" s="67">
        <v>4.2115826581555997E-4</v>
      </c>
      <c r="G280" s="67">
        <v>2.6882421159077298E-4</v>
      </c>
      <c r="H280" s="67">
        <v>0.25692552867161</v>
      </c>
      <c r="I280" s="67">
        <v>6.2373498066623501E-5</v>
      </c>
      <c r="J280" s="67">
        <v>0.18546864558809201</v>
      </c>
      <c r="K280" s="67">
        <v>2.2315247816394002</v>
      </c>
      <c r="L280" s="67"/>
      <c r="M280" s="67"/>
      <c r="O280" s="11">
        <f t="shared" ca="1" si="129"/>
        <v>2.9951868084786771E-5</v>
      </c>
      <c r="P280" s="11">
        <f t="shared" ca="1" si="130"/>
        <v>6.1608397836318763E-5</v>
      </c>
      <c r="Q280" s="11">
        <f t="shared" ca="1" si="131"/>
        <v>1.3084299061605716E-2</v>
      </c>
      <c r="R280" s="11">
        <f t="shared" ca="1" si="132"/>
        <v>4.0951177816921287E-4</v>
      </c>
      <c r="S280" s="11">
        <f t="shared" ca="1" si="133"/>
        <v>2.5789655954380286E-4</v>
      </c>
      <c r="T280" s="11">
        <f t="shared" ca="1" si="134"/>
        <v>0.25578697363302771</v>
      </c>
      <c r="U280" s="11">
        <f t="shared" ca="1" si="135"/>
        <v>6.1608397836318763E-5</v>
      </c>
      <c r="V280" s="11">
        <f t="shared" ca="1" si="136"/>
        <v>0.18481844958239824</v>
      </c>
      <c r="W280" s="11">
        <f t="shared" ca="1" si="137"/>
        <v>2.2244019333758951</v>
      </c>
      <c r="X280" s="11"/>
      <c r="Y280" s="2">
        <f t="shared" ca="1" si="138"/>
        <v>2.9951868084786771E-5</v>
      </c>
      <c r="Z280" s="11">
        <f t="shared" ca="1" si="139"/>
        <v>6.1608397836318763E-5</v>
      </c>
      <c r="AA280" s="2">
        <f t="shared" ca="1" si="140"/>
        <v>1.3083827711260225E-2</v>
      </c>
      <c r="AB280" s="2">
        <f t="shared" ca="1" si="141"/>
        <v>3.9810295730677091E-4</v>
      </c>
      <c r="AC280" s="2">
        <f t="shared" ca="1" si="142"/>
        <v>2.5789655954380286E-4</v>
      </c>
      <c r="AD280" s="2">
        <f t="shared" ca="1" si="143"/>
        <v>0.25570400525971354</v>
      </c>
      <c r="AE280" s="2">
        <f t="shared" ca="1" si="144"/>
        <v>6.1608397836318763E-5</v>
      </c>
      <c r="AF280" s="2">
        <f t="shared" ca="1" si="145"/>
        <v>0.18469592527384032</v>
      </c>
      <c r="AG280" s="2">
        <f t="shared" ca="1" si="146"/>
        <v>2.2243522158617743</v>
      </c>
      <c r="AI280" s="2">
        <f t="shared" ca="1" si="147"/>
        <v>2.9951868084786771E-5</v>
      </c>
      <c r="AJ280" s="11">
        <f t="shared" ca="1" si="148"/>
        <v>6.1608397836318763E-5</v>
      </c>
      <c r="AK280" s="2">
        <f t="shared" ca="1" si="149"/>
        <v>1.3011141200999271E-2</v>
      </c>
      <c r="AL280" s="2">
        <f t="shared" ca="1" si="150"/>
        <v>3.6408263436388602E-4</v>
      </c>
      <c r="AM280" s="2">
        <f t="shared" ca="1" si="151"/>
        <v>2.5789655954380286E-4</v>
      </c>
      <c r="AN280" s="2">
        <f t="shared" ca="1" si="152"/>
        <v>0.25570400525971354</v>
      </c>
      <c r="AO280" s="2">
        <f t="shared" ca="1" si="153"/>
        <v>6.1608397836318763E-5</v>
      </c>
      <c r="AP280" s="2">
        <f t="shared" ca="1" si="154"/>
        <v>0.18469592527384032</v>
      </c>
      <c r="AQ280" s="2">
        <f t="shared" ca="1" si="155"/>
        <v>2.2243522158617743</v>
      </c>
      <c r="AS280" s="2">
        <f t="shared" ca="1" si="156"/>
        <v>8.6963065467407201</v>
      </c>
      <c r="AT280" s="2">
        <f t="shared" ca="1" si="157"/>
        <v>0.40063440647842274</v>
      </c>
      <c r="AU280" s="2">
        <f t="shared" ca="1" si="158"/>
        <v>1.6406450819274611E-4</v>
      </c>
      <c r="AV280" s="2">
        <f t="shared" ca="1" si="159"/>
        <v>0.18465438507420548</v>
      </c>
      <c r="AW280" s="2">
        <f t="shared" ca="1" si="160"/>
        <v>0.70835815327454743</v>
      </c>
      <c r="AX280" s="2">
        <f t="shared" ca="1" si="161"/>
        <v>5.316075240471671E-2</v>
      </c>
      <c r="AY280" s="9">
        <f t="shared" ca="1" si="162"/>
        <v>0.70835815327454743</v>
      </c>
      <c r="AZ280" s="9">
        <f t="shared" ca="1" si="163"/>
        <v>0.70835815327454743</v>
      </c>
      <c r="BB280" s="2">
        <f t="shared" ca="1" si="164"/>
        <v>8.6989338066978785</v>
      </c>
      <c r="BC280" s="2">
        <f t="shared" ca="1" si="165"/>
        <v>0.40075691125505669</v>
      </c>
      <c r="BD280" s="2">
        <f t="shared" ca="1" si="166"/>
        <v>1.4590863198927513E-4</v>
      </c>
      <c r="BE280" s="2">
        <f t="shared" ca="1" si="167"/>
        <v>0.18455001664185106</v>
      </c>
      <c r="BF280" s="2">
        <f t="shared" ca="1" si="168"/>
        <v>0.70807977341160944</v>
      </c>
      <c r="BG280" s="2">
        <f t="shared" ca="1" si="169"/>
        <v>5.2897016278917471E-2</v>
      </c>
      <c r="BH280" s="2">
        <f t="shared" ca="1" si="170"/>
        <v>0.70807977341160944</v>
      </c>
      <c r="BI280" s="2">
        <f t="shared" ca="1" si="171"/>
        <v>0.70807977341160944</v>
      </c>
    </row>
    <row r="281" spans="1:61" ht="15" x14ac:dyDescent="0.25">
      <c r="A281" s="66">
        <v>215</v>
      </c>
      <c r="B281" s="66">
        <v>1498730232.7550001</v>
      </c>
      <c r="C281" s="67">
        <v>6.8505320493819196E-5</v>
      </c>
      <c r="D281" s="67">
        <v>5.7806924155453796E-6</v>
      </c>
      <c r="E281" s="67">
        <v>1.3661531935889501E-2</v>
      </c>
      <c r="F281" s="67">
        <v>4.1663560016147602E-4</v>
      </c>
      <c r="G281" s="67">
        <v>5.14565145241417E-5</v>
      </c>
      <c r="H281" s="67">
        <v>0.25064391782716899</v>
      </c>
      <c r="I281" s="67">
        <v>5.7806924155453796E-6</v>
      </c>
      <c r="J281" s="67">
        <v>0.181065433014097</v>
      </c>
      <c r="K281" s="67">
        <v>2.1773978225912098</v>
      </c>
      <c r="L281" s="67"/>
      <c r="M281" s="67"/>
      <c r="O281" s="11">
        <f t="shared" ca="1" si="129"/>
        <v>5.5701389783859168E-5</v>
      </c>
      <c r="P281" s="11">
        <f t="shared" ca="1" si="130"/>
        <v>5.0155921852406393E-6</v>
      </c>
      <c r="Q281" s="11">
        <f t="shared" ca="1" si="131"/>
        <v>1.2825040323621216E-2</v>
      </c>
      <c r="R281" s="11">
        <f t="shared" ca="1" si="132"/>
        <v>4.0498911251512891E-4</v>
      </c>
      <c r="S281" s="11">
        <f t="shared" ca="1" si="133"/>
        <v>4.0528862477171579E-5</v>
      </c>
      <c r="T281" s="11">
        <f t="shared" ca="1" si="134"/>
        <v>0.2495053627885867</v>
      </c>
      <c r="U281" s="11">
        <f t="shared" ca="1" si="135"/>
        <v>5.0155921852406393E-6</v>
      </c>
      <c r="V281" s="11">
        <f t="shared" ca="1" si="136"/>
        <v>0.18041523700840323</v>
      </c>
      <c r="W281" s="11">
        <f t="shared" ca="1" si="137"/>
        <v>2.1702749743277048</v>
      </c>
      <c r="X281" s="11"/>
      <c r="Y281" s="2">
        <f t="shared" ca="1" si="138"/>
        <v>5.5701389783859168E-5</v>
      </c>
      <c r="Z281" s="11">
        <f t="shared" ca="1" si="139"/>
        <v>5.0155921852406393E-6</v>
      </c>
      <c r="AA281" s="2">
        <f t="shared" ca="1" si="140"/>
        <v>1.2825001950587792E-2</v>
      </c>
      <c r="AB281" s="2">
        <f t="shared" ca="1" si="141"/>
        <v>4.0406031068339647E-4</v>
      </c>
      <c r="AC281" s="2">
        <f t="shared" ca="1" si="142"/>
        <v>4.0528862477171579E-5</v>
      </c>
      <c r="AD281" s="2">
        <f t="shared" ca="1" si="143"/>
        <v>0.24949860826258974</v>
      </c>
      <c r="AE281" s="2">
        <f t="shared" ca="1" si="144"/>
        <v>5.0155921852406393E-6</v>
      </c>
      <c r="AF281" s="2">
        <f t="shared" ca="1" si="145"/>
        <v>0.18040526219999906</v>
      </c>
      <c r="AG281" s="2">
        <f t="shared" ca="1" si="146"/>
        <v>2.1702709267824991</v>
      </c>
      <c r="AI281" s="2">
        <f t="shared" ca="1" si="147"/>
        <v>5.5701389783859168E-5</v>
      </c>
      <c r="AJ281" s="11">
        <f t="shared" ca="1" si="148"/>
        <v>5.0155921852406393E-6</v>
      </c>
      <c r="AK281" s="2">
        <f t="shared" ca="1" si="149"/>
        <v>1.2819084479826649E-2</v>
      </c>
      <c r="AL281" s="2">
        <f t="shared" ca="1" si="150"/>
        <v>4.0129068719237451E-4</v>
      </c>
      <c r="AM281" s="2">
        <f t="shared" ca="1" si="151"/>
        <v>4.0528862477171579E-5</v>
      </c>
      <c r="AN281" s="2">
        <f t="shared" ca="1" si="152"/>
        <v>0.24949860826258974</v>
      </c>
      <c r="AO281" s="2">
        <f t="shared" ca="1" si="153"/>
        <v>5.0155921852406393E-6</v>
      </c>
      <c r="AP281" s="2">
        <f t="shared" ca="1" si="154"/>
        <v>0.18040526219999906</v>
      </c>
      <c r="AQ281" s="2">
        <f t="shared" ca="1" si="155"/>
        <v>2.1702709267824991</v>
      </c>
      <c r="AS281" s="2">
        <f t="shared" ca="1" si="156"/>
        <v>8.6983099283787464</v>
      </c>
      <c r="AT281" s="2">
        <f t="shared" ca="1" si="157"/>
        <v>0.40072782080259517</v>
      </c>
      <c r="AU281" s="2">
        <f t="shared" ca="1" si="158"/>
        <v>1.6229040450696462E-4</v>
      </c>
      <c r="AV281" s="2">
        <f t="shared" ca="1" si="159"/>
        <v>0.18025294660389626</v>
      </c>
      <c r="AW281" s="2">
        <f t="shared" ca="1" si="160"/>
        <v>0.70880015700552423</v>
      </c>
      <c r="AX281" s="2">
        <f t="shared" ca="1" si="161"/>
        <v>5.3431860756696065E-2</v>
      </c>
      <c r="AY281" s="9">
        <f t="shared" ca="1" si="162"/>
        <v>0.70880015700552423</v>
      </c>
      <c r="AZ281" s="9">
        <f t="shared" ca="1" si="163"/>
        <v>0.70880015700552423</v>
      </c>
      <c r="BB281" s="2">
        <f t="shared" ca="1" si="164"/>
        <v>8.698529189783514</v>
      </c>
      <c r="BC281" s="2">
        <f t="shared" ca="1" si="165"/>
        <v>0.40073804460982992</v>
      </c>
      <c r="BD281" s="2">
        <f t="shared" ca="1" si="166"/>
        <v>1.6081244530560709E-4</v>
      </c>
      <c r="BE281" s="2">
        <f t="shared" ca="1" si="167"/>
        <v>0.18024444975469345</v>
      </c>
      <c r="BF281" s="2">
        <f t="shared" ca="1" si="168"/>
        <v>0.708776935923219</v>
      </c>
      <c r="BG281" s="2">
        <f t="shared" ca="1" si="169"/>
        <v>5.3409870883822728E-2</v>
      </c>
      <c r="BH281" s="2">
        <f t="shared" ca="1" si="170"/>
        <v>0.708776935923219</v>
      </c>
      <c r="BI281" s="2">
        <f t="shared" ca="1" si="171"/>
        <v>0.708776935923219</v>
      </c>
    </row>
    <row r="282" spans="1:61" ht="15" x14ac:dyDescent="0.25">
      <c r="A282" s="66">
        <v>216</v>
      </c>
      <c r="B282" s="66">
        <v>1498730233.2820001</v>
      </c>
      <c r="C282" s="67">
        <v>-1.0867206994350499E-5</v>
      </c>
      <c r="D282" s="67">
        <v>5.61533278301163E-6</v>
      </c>
      <c r="E282" s="67">
        <v>1.34763533417723E-2</v>
      </c>
      <c r="F282" s="67">
        <v>3.6141312377106999E-4</v>
      </c>
      <c r="G282" s="67">
        <v>6.9169466597590902E-5</v>
      </c>
      <c r="H282" s="67">
        <v>0.24814223745804001</v>
      </c>
      <c r="I282" s="67">
        <v>5.61533278301163E-6</v>
      </c>
      <c r="J282" s="67">
        <v>0.179267445136716</v>
      </c>
      <c r="K282" s="67">
        <v>2.15342502343313</v>
      </c>
      <c r="L282" s="67"/>
      <c r="M282" s="67"/>
      <c r="O282" s="11">
        <f t="shared" ca="1" si="129"/>
        <v>-2.3671137704310527E-5</v>
      </c>
      <c r="P282" s="11">
        <f t="shared" ca="1" si="130"/>
        <v>4.8502325527068897E-6</v>
      </c>
      <c r="Q282" s="11">
        <f t="shared" ca="1" si="131"/>
        <v>1.2639861729504015E-2</v>
      </c>
      <c r="R282" s="11">
        <f t="shared" ca="1" si="132"/>
        <v>3.4976663612472288E-4</v>
      </c>
      <c r="S282" s="11">
        <f t="shared" ca="1" si="133"/>
        <v>5.8241814550620781E-5</v>
      </c>
      <c r="T282" s="11">
        <f t="shared" ca="1" si="134"/>
        <v>0.24700368241945772</v>
      </c>
      <c r="U282" s="11">
        <f t="shared" ca="1" si="135"/>
        <v>4.8502325527068897E-6</v>
      </c>
      <c r="V282" s="11">
        <f t="shared" ca="1" si="136"/>
        <v>0.17861724913102223</v>
      </c>
      <c r="W282" s="11">
        <f t="shared" ca="1" si="137"/>
        <v>2.146302175169625</v>
      </c>
      <c r="X282" s="11"/>
      <c r="Y282" s="2">
        <f t="shared" ca="1" si="138"/>
        <v>-2.3671137704310527E-5</v>
      </c>
      <c r="Z282" s="11">
        <f t="shared" ca="1" si="139"/>
        <v>4.8502325527068897E-6</v>
      </c>
      <c r="AA282" s="2">
        <f t="shared" ca="1" si="140"/>
        <v>1.2639824621595521E-2</v>
      </c>
      <c r="AB282" s="2">
        <f t="shared" ca="1" si="141"/>
        <v>3.488684560668348E-4</v>
      </c>
      <c r="AC282" s="2">
        <f t="shared" ca="1" si="142"/>
        <v>5.8241814550620781E-5</v>
      </c>
      <c r="AD282" s="2">
        <f t="shared" ca="1" si="143"/>
        <v>0.24699715058420105</v>
      </c>
      <c r="AE282" s="2">
        <f t="shared" ca="1" si="144"/>
        <v>4.8502325527068897E-6</v>
      </c>
      <c r="AF282" s="2">
        <f t="shared" ca="1" si="145"/>
        <v>0.17860760318321744</v>
      </c>
      <c r="AG282" s="2">
        <f t="shared" ca="1" si="146"/>
        <v>2.1462982610684</v>
      </c>
      <c r="AI282" s="2">
        <f t="shared" ca="1" si="147"/>
        <v>-2.3671137704310527E-5</v>
      </c>
      <c r="AJ282" s="11">
        <f t="shared" ca="1" si="148"/>
        <v>4.8502325527068897E-6</v>
      </c>
      <c r="AK282" s="2">
        <f t="shared" ca="1" si="149"/>
        <v>1.2634102244604855E-2</v>
      </c>
      <c r="AL282" s="2">
        <f t="shared" ca="1" si="150"/>
        <v>3.4619014460953037E-4</v>
      </c>
      <c r="AM282" s="2">
        <f t="shared" ca="1" si="151"/>
        <v>5.8241814550620781E-5</v>
      </c>
      <c r="AN282" s="2">
        <f t="shared" ca="1" si="152"/>
        <v>0.24699715058420105</v>
      </c>
      <c r="AO282" s="2">
        <f t="shared" ca="1" si="153"/>
        <v>4.8502325527068897E-6</v>
      </c>
      <c r="AP282" s="2">
        <f t="shared" ca="1" si="154"/>
        <v>0.17860760318321744</v>
      </c>
      <c r="AQ282" s="2">
        <f t="shared" ca="1" si="155"/>
        <v>2.1462982610684</v>
      </c>
      <c r="AS282" s="2">
        <f t="shared" ca="1" si="156"/>
        <v>8.6893529446448046</v>
      </c>
      <c r="AT282" s="2">
        <f t="shared" ca="1" si="157"/>
        <v>0.40031017370621186</v>
      </c>
      <c r="AU282" s="2">
        <f t="shared" ca="1" si="158"/>
        <v>1.4001514286372522E-4</v>
      </c>
      <c r="AV282" s="2">
        <f t="shared" ca="1" si="159"/>
        <v>0.17847723398815851</v>
      </c>
      <c r="AW282" s="2">
        <f t="shared" ca="1" si="160"/>
        <v>0.70929360369047856</v>
      </c>
      <c r="AX282" s="2">
        <f t="shared" ca="1" si="161"/>
        <v>5.3137668601030481E-2</v>
      </c>
      <c r="AY282" s="9">
        <f t="shared" ca="1" si="162"/>
        <v>0.70929360369047856</v>
      </c>
      <c r="AZ282" s="9">
        <f t="shared" ca="1" si="163"/>
        <v>0.70929360369047856</v>
      </c>
      <c r="BB282" s="2">
        <f t="shared" ca="1" si="164"/>
        <v>8.6895668876824939</v>
      </c>
      <c r="BC282" s="2">
        <f t="shared" ca="1" si="165"/>
        <v>0.40032014940183785</v>
      </c>
      <c r="BD282" s="2">
        <f t="shared" ca="1" si="166"/>
        <v>1.3858689041153105E-4</v>
      </c>
      <c r="BE282" s="2">
        <f t="shared" ca="1" si="167"/>
        <v>0.17846901629280593</v>
      </c>
      <c r="BF282" s="2">
        <f t="shared" ca="1" si="168"/>
        <v>0.70927090753047339</v>
      </c>
      <c r="BG282" s="2">
        <f t="shared" ca="1" si="169"/>
        <v>5.3116198614672115E-2</v>
      </c>
      <c r="BH282" s="2">
        <f t="shared" ca="1" si="170"/>
        <v>0.70927090753047339</v>
      </c>
      <c r="BI282" s="2">
        <f t="shared" ca="1" si="171"/>
        <v>0.70927090753047339</v>
      </c>
    </row>
    <row r="283" spans="1:61" ht="15" x14ac:dyDescent="0.25">
      <c r="A283" s="66">
        <v>217</v>
      </c>
      <c r="B283" s="66">
        <v>1498730233.809</v>
      </c>
      <c r="C283" s="67">
        <v>-4.53544811109952E-5</v>
      </c>
      <c r="D283" s="67">
        <v>-4.9788241872231403E-5</v>
      </c>
      <c r="E283" s="67">
        <v>1.4035368022157799E-2</v>
      </c>
      <c r="F283" s="67">
        <v>4.8114503152465701E-4</v>
      </c>
      <c r="G283" s="67">
        <v>2.6729639852658499E-5</v>
      </c>
      <c r="H283" s="67">
        <v>0.258783197897126</v>
      </c>
      <c r="I283" s="67">
        <v>-4.9788241872231403E-5</v>
      </c>
      <c r="J283" s="67">
        <v>0.18672547580881299</v>
      </c>
      <c r="K283" s="67">
        <v>2.2450428210214501</v>
      </c>
      <c r="L283" s="67"/>
      <c r="M283" s="67"/>
      <c r="O283" s="11">
        <f t="shared" ca="1" si="129"/>
        <v>-5.8158411820955227E-5</v>
      </c>
      <c r="P283" s="11">
        <f t="shared" ca="1" si="130"/>
        <v>-5.0553342102536141E-5</v>
      </c>
      <c r="Q283" s="11">
        <f t="shared" ca="1" si="131"/>
        <v>1.3198876409889515E-2</v>
      </c>
      <c r="R283" s="11">
        <f t="shared" ca="1" si="132"/>
        <v>4.694985438783099E-4</v>
      </c>
      <c r="S283" s="11">
        <f t="shared" ca="1" si="133"/>
        <v>1.5801987805688375E-5</v>
      </c>
      <c r="T283" s="11">
        <f t="shared" ca="1" si="134"/>
        <v>0.25764464285854372</v>
      </c>
      <c r="U283" s="11">
        <f t="shared" ca="1" si="135"/>
        <v>-5.0553342102536141E-5</v>
      </c>
      <c r="V283" s="11">
        <f t="shared" ca="1" si="136"/>
        <v>0.18607527980311922</v>
      </c>
      <c r="W283" s="11">
        <f t="shared" ca="1" si="137"/>
        <v>2.2379199727579451</v>
      </c>
      <c r="X283" s="11"/>
      <c r="Y283" s="2">
        <f t="shared" ca="1" si="138"/>
        <v>-5.8158411820955227E-5</v>
      </c>
      <c r="Z283" s="11">
        <f t="shared" ca="1" si="139"/>
        <v>-5.0553342102536141E-5</v>
      </c>
      <c r="AA283" s="2">
        <f t="shared" ca="1" si="140"/>
        <v>1.3198876409889515E-2</v>
      </c>
      <c r="AB283" s="2">
        <f t="shared" ca="1" si="141"/>
        <v>4.694985438783099E-4</v>
      </c>
      <c r="AC283" s="2">
        <f t="shared" ca="1" si="142"/>
        <v>1.5801987805688375E-5</v>
      </c>
      <c r="AD283" s="2">
        <f t="shared" ca="1" si="143"/>
        <v>0.25764464285854372</v>
      </c>
      <c r="AE283" s="2">
        <f t="shared" ca="1" si="144"/>
        <v>-5.0553342102536141E-5</v>
      </c>
      <c r="AF283" s="2">
        <f t="shared" ca="1" si="145"/>
        <v>0.18607527980311922</v>
      </c>
      <c r="AG283" s="2">
        <f t="shared" ca="1" si="146"/>
        <v>2.2379199727579451</v>
      </c>
      <c r="AI283" s="2">
        <f t="shared" ca="1" si="147"/>
        <v>-5.8158411820955227E-5</v>
      </c>
      <c r="AJ283" s="11">
        <f t="shared" ca="1" si="148"/>
        <v>-5.0553342102536141E-5</v>
      </c>
      <c r="AK283" s="2">
        <f t="shared" ca="1" si="149"/>
        <v>1.3198876409889515E-2</v>
      </c>
      <c r="AL283" s="2">
        <f t="shared" ca="1" si="150"/>
        <v>4.694985438783099E-4</v>
      </c>
      <c r="AM283" s="2">
        <f t="shared" ca="1" si="151"/>
        <v>1.5801987805688375E-5</v>
      </c>
      <c r="AN283" s="2">
        <f t="shared" ca="1" si="152"/>
        <v>0.25764464285854372</v>
      </c>
      <c r="AO283" s="2">
        <f t="shared" ca="1" si="153"/>
        <v>-5.0553342102536141E-5</v>
      </c>
      <c r="AP283" s="2">
        <f t="shared" ca="1" si="154"/>
        <v>0.18607527980311922</v>
      </c>
      <c r="AQ283" s="2">
        <f t="shared" ca="1" si="155"/>
        <v>2.2379199727579451</v>
      </c>
      <c r="AS283" s="2">
        <f t="shared" ca="1" si="156"/>
        <v>8.6860722114321032</v>
      </c>
      <c r="AT283" s="2">
        <f t="shared" ca="1" si="157"/>
        <v>0.40015720066963772</v>
      </c>
      <c r="AU283" s="2">
        <f t="shared" ca="1" si="158"/>
        <v>1.8787322303681557E-4</v>
      </c>
      <c r="AV283" s="2">
        <f t="shared" ca="1" si="159"/>
        <v>0.1858874065800824</v>
      </c>
      <c r="AW283" s="2">
        <f t="shared" ca="1" si="160"/>
        <v>0.70836661806248358</v>
      </c>
      <c r="AX283" s="2">
        <f t="shared" ca="1" si="161"/>
        <v>5.3175505971551323E-2</v>
      </c>
      <c r="AY283" s="9">
        <f t="shared" ca="1" si="162"/>
        <v>0.70836661806248358</v>
      </c>
      <c r="AZ283" s="9">
        <f t="shared" ca="1" si="163"/>
        <v>0.70836661806248358</v>
      </c>
      <c r="BB283" s="2">
        <f t="shared" ca="1" si="164"/>
        <v>8.6860722114321032</v>
      </c>
      <c r="BC283" s="2">
        <f t="shared" ca="1" si="165"/>
        <v>0.40015720066963772</v>
      </c>
      <c r="BD283" s="2">
        <f t="shared" ca="1" si="166"/>
        <v>1.8787322303681557E-4</v>
      </c>
      <c r="BE283" s="2">
        <f t="shared" ca="1" si="167"/>
        <v>0.1858874065800824</v>
      </c>
      <c r="BF283" s="2">
        <f t="shared" ca="1" si="168"/>
        <v>0.70836661806248358</v>
      </c>
      <c r="BG283" s="2">
        <f t="shared" ca="1" si="169"/>
        <v>5.3175505971551323E-2</v>
      </c>
      <c r="BH283" s="2">
        <f t="shared" ca="1" si="170"/>
        <v>0.70836661806248358</v>
      </c>
      <c r="BI283" s="2">
        <f t="shared" ca="1" si="171"/>
        <v>0.70836661806248358</v>
      </c>
    </row>
    <row r="284" spans="1:61" ht="15" x14ac:dyDescent="0.25">
      <c r="A284" s="66">
        <v>218</v>
      </c>
      <c r="B284" s="66">
        <v>1498730234.335</v>
      </c>
      <c r="C284" s="67">
        <v>-4.9842462877650903E-5</v>
      </c>
      <c r="D284" s="67">
        <v>-1.1155426510033299E-5</v>
      </c>
      <c r="E284" s="67">
        <v>1.4751596726165699E-2</v>
      </c>
      <c r="F284" s="67">
        <v>3.6783972050764401E-4</v>
      </c>
      <c r="G284" s="67">
        <v>-9.4142006922431996E-5</v>
      </c>
      <c r="H284" s="67">
        <v>0.275080957597304</v>
      </c>
      <c r="I284" s="67">
        <v>-1.1155426510033299E-5</v>
      </c>
      <c r="J284" s="67">
        <v>0.19843761413810801</v>
      </c>
      <c r="K284" s="67">
        <v>2.3840248013736698</v>
      </c>
      <c r="L284" s="67"/>
      <c r="M284" s="67"/>
      <c r="O284" s="11">
        <f t="shared" ca="1" si="129"/>
        <v>-6.2646393587610931E-5</v>
      </c>
      <c r="P284" s="11">
        <f t="shared" ca="1" si="130"/>
        <v>-1.1920526740338039E-5</v>
      </c>
      <c r="Q284" s="11">
        <f t="shared" ca="1" si="131"/>
        <v>1.3915105113897415E-2</v>
      </c>
      <c r="R284" s="11">
        <f t="shared" ca="1" si="132"/>
        <v>3.5619323286129691E-4</v>
      </c>
      <c r="S284" s="11">
        <f t="shared" ca="1" si="133"/>
        <v>-1.0506965896940212E-4</v>
      </c>
      <c r="T284" s="11">
        <f t="shared" ca="1" si="134"/>
        <v>0.27394240255872171</v>
      </c>
      <c r="U284" s="11">
        <f t="shared" ca="1" si="135"/>
        <v>-1.1920526740338039E-5</v>
      </c>
      <c r="V284" s="11">
        <f t="shared" ca="1" si="136"/>
        <v>0.19778741813241424</v>
      </c>
      <c r="W284" s="11">
        <f t="shared" ca="1" si="137"/>
        <v>2.3769019531101647</v>
      </c>
      <c r="X284" s="11"/>
      <c r="Y284" s="2">
        <f t="shared" ca="1" si="138"/>
        <v>-6.2646393587610931E-5</v>
      </c>
      <c r="Z284" s="11">
        <f t="shared" ca="1" si="139"/>
        <v>-1.1920526740338039E-5</v>
      </c>
      <c r="AA284" s="2">
        <f t="shared" ca="1" si="140"/>
        <v>1.3915105113897415E-2</v>
      </c>
      <c r="AB284" s="2">
        <f t="shared" ca="1" si="141"/>
        <v>3.5619323286129691E-4</v>
      </c>
      <c r="AC284" s="2">
        <f t="shared" ca="1" si="142"/>
        <v>-1.0506965896940212E-4</v>
      </c>
      <c r="AD284" s="2">
        <f t="shared" ca="1" si="143"/>
        <v>0.27394240255872171</v>
      </c>
      <c r="AE284" s="2">
        <f t="shared" ca="1" si="144"/>
        <v>-1.1920526740338039E-5</v>
      </c>
      <c r="AF284" s="2">
        <f t="shared" ca="1" si="145"/>
        <v>0.19778741813241424</v>
      </c>
      <c r="AG284" s="2">
        <f t="shared" ca="1" si="146"/>
        <v>2.3769019531101647</v>
      </c>
      <c r="AI284" s="2">
        <f t="shared" ca="1" si="147"/>
        <v>-6.2646393587610931E-5</v>
      </c>
      <c r="AJ284" s="11">
        <f t="shared" ca="1" si="148"/>
        <v>-1.1920526740338039E-5</v>
      </c>
      <c r="AK284" s="2">
        <f t="shared" ca="1" si="149"/>
        <v>1.3915105113897415E-2</v>
      </c>
      <c r="AL284" s="2">
        <f t="shared" ca="1" si="150"/>
        <v>3.5619323286129691E-4</v>
      </c>
      <c r="AM284" s="2">
        <f t="shared" ca="1" si="151"/>
        <v>-1.0506965896940212E-4</v>
      </c>
      <c r="AN284" s="2">
        <f t="shared" ca="1" si="152"/>
        <v>0.27394240255872171</v>
      </c>
      <c r="AO284" s="2">
        <f t="shared" ca="1" si="153"/>
        <v>-1.1920526740338039E-5</v>
      </c>
      <c r="AP284" s="2">
        <f t="shared" ca="1" si="154"/>
        <v>0.19778741813241424</v>
      </c>
      <c r="AQ284" s="2">
        <f t="shared" ca="1" si="155"/>
        <v>2.3769019531101647</v>
      </c>
      <c r="AS284" s="2">
        <f t="shared" ca="1" si="156"/>
        <v>8.6766485615554068</v>
      </c>
      <c r="AT284" s="2">
        <f t="shared" ca="1" si="157"/>
        <v>0.399717801470025</v>
      </c>
      <c r="AU284" s="2">
        <f t="shared" ca="1" si="158"/>
        <v>1.4237677593781825E-4</v>
      </c>
      <c r="AV284" s="2">
        <f t="shared" ca="1" si="159"/>
        <v>0.19764504135647643</v>
      </c>
      <c r="AW284" s="2">
        <f t="shared" ca="1" si="160"/>
        <v>0.70875038188001804</v>
      </c>
      <c r="AX284" s="2">
        <f t="shared" ca="1" si="161"/>
        <v>5.266724813738885E-2</v>
      </c>
      <c r="AY284" s="9">
        <f t="shared" ca="1" si="162"/>
        <v>0.70875038188001804</v>
      </c>
      <c r="AZ284" s="9">
        <f t="shared" ca="1" si="163"/>
        <v>0.70875038188001804</v>
      </c>
      <c r="BB284" s="2">
        <f t="shared" ca="1" si="164"/>
        <v>8.6766485615554068</v>
      </c>
      <c r="BC284" s="2">
        <f t="shared" ca="1" si="165"/>
        <v>0.399717801470025</v>
      </c>
      <c r="BD284" s="2">
        <f t="shared" ca="1" si="166"/>
        <v>1.4237677593781825E-4</v>
      </c>
      <c r="BE284" s="2">
        <f t="shared" ca="1" si="167"/>
        <v>0.19764504135647643</v>
      </c>
      <c r="BF284" s="2">
        <f t="shared" ca="1" si="168"/>
        <v>0.70875038188001804</v>
      </c>
      <c r="BG284" s="2">
        <f t="shared" ca="1" si="169"/>
        <v>5.266724813738885E-2</v>
      </c>
      <c r="BH284" s="2">
        <f t="shared" ca="1" si="170"/>
        <v>0.70875038188001804</v>
      </c>
      <c r="BI284" s="2">
        <f t="shared" ca="1" si="171"/>
        <v>0.70875038188001804</v>
      </c>
    </row>
    <row r="285" spans="1:61" ht="15" x14ac:dyDescent="0.25">
      <c r="A285" s="66">
        <v>219</v>
      </c>
      <c r="B285" s="66">
        <v>1498730234.862</v>
      </c>
      <c r="C285" s="67">
        <v>-7.2518270854778004E-5</v>
      </c>
      <c r="D285" s="67">
        <v>-1.1155426510033299E-5</v>
      </c>
      <c r="E285" s="67">
        <v>1.50429383381192E-2</v>
      </c>
      <c r="F285" s="67">
        <v>4.2496684224952803E-4</v>
      </c>
      <c r="G285" s="67">
        <v>4.19182733066267E-5</v>
      </c>
      <c r="H285" s="67">
        <v>0.28006835580313899</v>
      </c>
      <c r="I285" s="67">
        <v>-1.1155426510033299E-5</v>
      </c>
      <c r="J285" s="67">
        <v>0.20228486157117101</v>
      </c>
      <c r="K285" s="67">
        <v>2.4313547998879801</v>
      </c>
      <c r="L285" s="67"/>
      <c r="M285" s="67"/>
      <c r="O285" s="11">
        <f t="shared" ca="1" si="129"/>
        <v>-8.5322201564738025E-5</v>
      </c>
      <c r="P285" s="11">
        <f t="shared" ca="1" si="130"/>
        <v>-1.1920526740338039E-5</v>
      </c>
      <c r="Q285" s="11">
        <f t="shared" ca="1" si="131"/>
        <v>1.4206446725850915E-2</v>
      </c>
      <c r="R285" s="11">
        <f t="shared" ca="1" si="132"/>
        <v>4.1332035460318092E-4</v>
      </c>
      <c r="S285" s="11">
        <f t="shared" ca="1" si="133"/>
        <v>3.099062125965658E-5</v>
      </c>
      <c r="T285" s="11">
        <f t="shared" ca="1" si="134"/>
        <v>0.2789298007645567</v>
      </c>
      <c r="U285" s="11">
        <f t="shared" ca="1" si="135"/>
        <v>-1.1920526740338039E-5</v>
      </c>
      <c r="V285" s="11">
        <f t="shared" ca="1" si="136"/>
        <v>0.20163466556547724</v>
      </c>
      <c r="W285" s="11">
        <f t="shared" ca="1" si="137"/>
        <v>2.424231951624475</v>
      </c>
      <c r="X285" s="11"/>
      <c r="Y285" s="2">
        <f t="shared" ca="1" si="138"/>
        <v>-8.5322201564738025E-5</v>
      </c>
      <c r="Z285" s="11">
        <f t="shared" ca="1" si="139"/>
        <v>-1.1920526740338039E-5</v>
      </c>
      <c r="AA285" s="2">
        <f t="shared" ca="1" si="140"/>
        <v>1.4206446725850915E-2</v>
      </c>
      <c r="AB285" s="2">
        <f t="shared" ca="1" si="141"/>
        <v>4.1332035460318092E-4</v>
      </c>
      <c r="AC285" s="2">
        <f t="shared" ca="1" si="142"/>
        <v>3.099062125965658E-5</v>
      </c>
      <c r="AD285" s="2">
        <f t="shared" ca="1" si="143"/>
        <v>0.2789298007645567</v>
      </c>
      <c r="AE285" s="2">
        <f t="shared" ca="1" si="144"/>
        <v>-1.1920526740338039E-5</v>
      </c>
      <c r="AF285" s="2">
        <f t="shared" ca="1" si="145"/>
        <v>0.20163466556547724</v>
      </c>
      <c r="AG285" s="2">
        <f t="shared" ca="1" si="146"/>
        <v>2.424231951624475</v>
      </c>
      <c r="AI285" s="2">
        <f t="shared" ca="1" si="147"/>
        <v>-8.5322201564738025E-5</v>
      </c>
      <c r="AJ285" s="11">
        <f t="shared" ca="1" si="148"/>
        <v>-1.1920526740338039E-5</v>
      </c>
      <c r="AK285" s="2">
        <f t="shared" ca="1" si="149"/>
        <v>1.4206446725850915E-2</v>
      </c>
      <c r="AL285" s="2">
        <f t="shared" ca="1" si="150"/>
        <v>4.1332035460318092E-4</v>
      </c>
      <c r="AM285" s="2">
        <f t="shared" ca="1" si="151"/>
        <v>3.099062125965658E-5</v>
      </c>
      <c r="AN285" s="2">
        <f t="shared" ca="1" si="152"/>
        <v>0.2789298007645567</v>
      </c>
      <c r="AO285" s="2">
        <f t="shared" ca="1" si="153"/>
        <v>-1.1920526740338039E-5</v>
      </c>
      <c r="AP285" s="2">
        <f t="shared" ca="1" si="154"/>
        <v>0.20163466556547724</v>
      </c>
      <c r="AQ285" s="2">
        <f t="shared" ca="1" si="155"/>
        <v>2.424231951624475</v>
      </c>
      <c r="AS285" s="2">
        <f t="shared" ca="1" si="156"/>
        <v>8.6911902026229075</v>
      </c>
      <c r="AT285" s="2">
        <f t="shared" ca="1" si="157"/>
        <v>0.40039584112187854</v>
      </c>
      <c r="AU285" s="2">
        <f t="shared" ca="1" si="158"/>
        <v>1.6549175103413373E-4</v>
      </c>
      <c r="AV285" s="2">
        <f t="shared" ca="1" si="159"/>
        <v>0.2014691738144431</v>
      </c>
      <c r="AW285" s="2">
        <f t="shared" ca="1" si="160"/>
        <v>0.70894753258418841</v>
      </c>
      <c r="AX285" s="2">
        <f t="shared" ca="1" si="161"/>
        <v>5.2899077995529814E-2</v>
      </c>
      <c r="AY285" s="9">
        <f t="shared" ca="1" si="162"/>
        <v>0.70894753258418841</v>
      </c>
      <c r="AZ285" s="9">
        <f t="shared" ca="1" si="163"/>
        <v>0.70894753258418841</v>
      </c>
      <c r="BB285" s="2">
        <f t="shared" ca="1" si="164"/>
        <v>8.6911902026229075</v>
      </c>
      <c r="BC285" s="2">
        <f t="shared" ca="1" si="165"/>
        <v>0.40039584112187854</v>
      </c>
      <c r="BD285" s="2">
        <f t="shared" ca="1" si="166"/>
        <v>1.6549175103413373E-4</v>
      </c>
      <c r="BE285" s="2">
        <f t="shared" ca="1" si="167"/>
        <v>0.2014691738144431</v>
      </c>
      <c r="BF285" s="2">
        <f t="shared" ca="1" si="168"/>
        <v>0.70894753258418841</v>
      </c>
      <c r="BG285" s="2">
        <f t="shared" ca="1" si="169"/>
        <v>5.2899077995529814E-2</v>
      </c>
      <c r="BH285" s="2">
        <f t="shared" ca="1" si="170"/>
        <v>0.70894753258418841</v>
      </c>
      <c r="BI285" s="2">
        <f t="shared" ca="1" si="171"/>
        <v>0.70894753258418841</v>
      </c>
    </row>
    <row r="286" spans="1:61" ht="15" x14ac:dyDescent="0.25">
      <c r="A286" s="66">
        <v>220</v>
      </c>
      <c r="B286" s="66">
        <v>1498730235.3889999</v>
      </c>
      <c r="C286" s="67">
        <v>-4.1575112297952602E-5</v>
      </c>
      <c r="D286" s="67">
        <v>1.4805021849922099E-5</v>
      </c>
      <c r="E286" s="67">
        <v>1.5560523398512801E-2</v>
      </c>
      <c r="F286" s="67">
        <v>4.7328941673691099E-4</v>
      </c>
      <c r="G286" s="67">
        <v>-5.70602486064825E-5</v>
      </c>
      <c r="H286" s="67">
        <v>0.289882850544677</v>
      </c>
      <c r="I286" s="67">
        <v>1.4805021849922099E-5</v>
      </c>
      <c r="J286" s="67">
        <v>0.20923085005598199</v>
      </c>
      <c r="K286" s="67">
        <v>2.5157355773492198</v>
      </c>
      <c r="L286" s="67"/>
      <c r="M286" s="67"/>
      <c r="O286" s="11">
        <f t="shared" ca="1" si="129"/>
        <v>-5.4379043007912629E-5</v>
      </c>
      <c r="P286" s="11">
        <f t="shared" ca="1" si="130"/>
        <v>1.4039921619617359E-5</v>
      </c>
      <c r="Q286" s="11">
        <f t="shared" ca="1" si="131"/>
        <v>1.4724031786244516E-2</v>
      </c>
      <c r="R286" s="11">
        <f t="shared" ca="1" si="132"/>
        <v>4.6164292909056388E-4</v>
      </c>
      <c r="S286" s="11">
        <f t="shared" ca="1" si="133"/>
        <v>-6.7987900653452627E-5</v>
      </c>
      <c r="T286" s="11">
        <f t="shared" ca="1" si="134"/>
        <v>0.28874429550609471</v>
      </c>
      <c r="U286" s="11">
        <f t="shared" ca="1" si="135"/>
        <v>1.4039921619617359E-5</v>
      </c>
      <c r="V286" s="11">
        <f t="shared" ca="1" si="136"/>
        <v>0.20858065405028822</v>
      </c>
      <c r="W286" s="11">
        <f t="shared" ca="1" si="137"/>
        <v>2.5086127290857148</v>
      </c>
      <c r="X286" s="11"/>
      <c r="Y286" s="2">
        <f t="shared" ca="1" si="138"/>
        <v>-5.4379043007912629E-5</v>
      </c>
      <c r="Z286" s="11">
        <f t="shared" ca="1" si="139"/>
        <v>1.4039921619617359E-5</v>
      </c>
      <c r="AA286" s="2">
        <f t="shared" ca="1" si="140"/>
        <v>1.4723924370337944E-2</v>
      </c>
      <c r="AB286" s="2">
        <f t="shared" ca="1" si="141"/>
        <v>4.5904297589738878E-4</v>
      </c>
      <c r="AC286" s="2">
        <f t="shared" ca="1" si="142"/>
        <v>-6.7987900653452627E-5</v>
      </c>
      <c r="AD286" s="2">
        <f t="shared" ca="1" si="143"/>
        <v>0.28872538786526736</v>
      </c>
      <c r="AE286" s="2">
        <f t="shared" ca="1" si="144"/>
        <v>1.4039921619617359E-5</v>
      </c>
      <c r="AF286" s="2">
        <f t="shared" ca="1" si="145"/>
        <v>0.20855273201775587</v>
      </c>
      <c r="AG286" s="2">
        <f t="shared" ca="1" si="146"/>
        <v>2.5086013989744655</v>
      </c>
      <c r="AI286" s="2">
        <f t="shared" ca="1" si="147"/>
        <v>-5.4379043007912629E-5</v>
      </c>
      <c r="AJ286" s="11">
        <f t="shared" ca="1" si="148"/>
        <v>1.4039921619617359E-5</v>
      </c>
      <c r="AK286" s="2">
        <f t="shared" ca="1" si="149"/>
        <v>1.4707359860584281E-2</v>
      </c>
      <c r="AL286" s="2">
        <f t="shared" ca="1" si="150"/>
        <v>4.5129009342735317E-4</v>
      </c>
      <c r="AM286" s="2">
        <f t="shared" ca="1" si="151"/>
        <v>-6.7987900653452627E-5</v>
      </c>
      <c r="AN286" s="2">
        <f t="shared" ca="1" si="152"/>
        <v>0.28872538786526736</v>
      </c>
      <c r="AO286" s="2">
        <f t="shared" ca="1" si="153"/>
        <v>1.4039921619617359E-5</v>
      </c>
      <c r="AP286" s="2">
        <f t="shared" ca="1" si="154"/>
        <v>0.20855273201775587</v>
      </c>
      <c r="AQ286" s="2">
        <f t="shared" ca="1" si="155"/>
        <v>2.5086013989744655</v>
      </c>
      <c r="AS286" s="2">
        <f t="shared" ca="1" si="156"/>
        <v>8.6880079299532476</v>
      </c>
      <c r="AT286" s="2">
        <f t="shared" ca="1" si="157"/>
        <v>0.40024745868299133</v>
      </c>
      <c r="AU286" s="2">
        <f t="shared" ca="1" si="158"/>
        <v>1.8477140918747055E-4</v>
      </c>
      <c r="AV286" s="2">
        <f t="shared" ca="1" si="159"/>
        <v>0.20839588264110076</v>
      </c>
      <c r="AW286" s="2">
        <f t="shared" ca="1" si="160"/>
        <v>0.70852670207202295</v>
      </c>
      <c r="AX286" s="2">
        <f t="shared" ca="1" si="161"/>
        <v>5.2942950633317234E-2</v>
      </c>
      <c r="AY286" s="9">
        <f t="shared" ca="1" si="162"/>
        <v>0.70852670207202295</v>
      </c>
      <c r="AZ286" s="9">
        <f t="shared" ca="1" si="163"/>
        <v>0.70852670207202295</v>
      </c>
      <c r="BB286" s="2">
        <f t="shared" ca="1" si="164"/>
        <v>8.6885376361329723</v>
      </c>
      <c r="BC286" s="2">
        <f t="shared" ca="1" si="165"/>
        <v>0.40027215768194324</v>
      </c>
      <c r="BD286" s="2">
        <f t="shared" ca="1" si="166"/>
        <v>1.8063885943665241E-4</v>
      </c>
      <c r="BE286" s="2">
        <f t="shared" ca="1" si="167"/>
        <v>0.20837209315831923</v>
      </c>
      <c r="BF286" s="2">
        <f t="shared" ca="1" si="168"/>
        <v>0.7084704611955196</v>
      </c>
      <c r="BG286" s="2">
        <f t="shared" ca="1" si="169"/>
        <v>5.2889766252054202E-2</v>
      </c>
      <c r="BH286" s="2">
        <f t="shared" ca="1" si="170"/>
        <v>0.7084704611955196</v>
      </c>
      <c r="BI286" s="2">
        <f t="shared" ca="1" si="171"/>
        <v>0.7084704611955196</v>
      </c>
    </row>
    <row r="287" spans="1:61" ht="15" x14ac:dyDescent="0.25">
      <c r="A287" s="66">
        <v>221</v>
      </c>
      <c r="B287" s="66">
        <v>1498730235.9159999</v>
      </c>
      <c r="C287" s="67">
        <v>6.5670478030368504E-5</v>
      </c>
      <c r="D287" s="67">
        <v>-2.3979600641277101E-5</v>
      </c>
      <c r="E287" s="67">
        <v>1.53015772638848E-2</v>
      </c>
      <c r="F287" s="67">
        <v>3.9473666663595902E-4</v>
      </c>
      <c r="G287" s="67">
        <v>-3.6778312584399302E-5</v>
      </c>
      <c r="H287" s="67">
        <v>0.28584670109687399</v>
      </c>
      <c r="I287" s="67">
        <v>-2.3979600641277101E-5</v>
      </c>
      <c r="J287" s="67">
        <v>0.20663171383286999</v>
      </c>
      <c r="K287" s="67">
        <v>2.4833624775677601</v>
      </c>
      <c r="L287" s="67"/>
      <c r="M287" s="67"/>
      <c r="O287" s="11">
        <f t="shared" ca="1" si="129"/>
        <v>5.2866547320408476E-5</v>
      </c>
      <c r="P287" s="11">
        <f t="shared" ca="1" si="130"/>
        <v>-2.4744700871581843E-5</v>
      </c>
      <c r="Q287" s="11">
        <f t="shared" ca="1" si="131"/>
        <v>1.4465085651616515E-2</v>
      </c>
      <c r="R287" s="11">
        <f t="shared" ca="1" si="132"/>
        <v>3.8309017898961192E-4</v>
      </c>
      <c r="S287" s="11">
        <f t="shared" ca="1" si="133"/>
        <v>-4.7705964631369423E-5</v>
      </c>
      <c r="T287" s="11">
        <f t="shared" ca="1" si="134"/>
        <v>0.2847081460582917</v>
      </c>
      <c r="U287" s="11">
        <f t="shared" ca="1" si="135"/>
        <v>-2.4744700871581843E-5</v>
      </c>
      <c r="V287" s="11">
        <f t="shared" ca="1" si="136"/>
        <v>0.20598151782717622</v>
      </c>
      <c r="W287" s="11">
        <f t="shared" ca="1" si="137"/>
        <v>2.476239629304255</v>
      </c>
      <c r="X287" s="11"/>
      <c r="Y287" s="2">
        <f t="shared" ca="1" si="138"/>
        <v>5.2866547320408476E-5</v>
      </c>
      <c r="Z287" s="11">
        <f t="shared" ca="1" si="139"/>
        <v>-2.4744700871581843E-5</v>
      </c>
      <c r="AA287" s="2">
        <f t="shared" ca="1" si="140"/>
        <v>1.4465085651616515E-2</v>
      </c>
      <c r="AB287" s="2">
        <f t="shared" ca="1" si="141"/>
        <v>3.8309017898961192E-4</v>
      </c>
      <c r="AC287" s="2">
        <f t="shared" ca="1" si="142"/>
        <v>-4.7705964631369423E-5</v>
      </c>
      <c r="AD287" s="2">
        <f t="shared" ca="1" si="143"/>
        <v>0.2847081460582917</v>
      </c>
      <c r="AE287" s="2">
        <f t="shared" ca="1" si="144"/>
        <v>-2.4744700871581843E-5</v>
      </c>
      <c r="AF287" s="2">
        <f t="shared" ca="1" si="145"/>
        <v>0.20598151782717622</v>
      </c>
      <c r="AG287" s="2">
        <f t="shared" ca="1" si="146"/>
        <v>2.476239629304255</v>
      </c>
      <c r="AI287" s="2">
        <f t="shared" ca="1" si="147"/>
        <v>5.2866547320408476E-5</v>
      </c>
      <c r="AJ287" s="11">
        <f t="shared" ca="1" si="148"/>
        <v>-2.4744700871581843E-5</v>
      </c>
      <c r="AK287" s="2">
        <f t="shared" ca="1" si="149"/>
        <v>1.4465085651616515E-2</v>
      </c>
      <c r="AL287" s="2">
        <f t="shared" ca="1" si="150"/>
        <v>3.8309017898961192E-4</v>
      </c>
      <c r="AM287" s="2">
        <f t="shared" ca="1" si="151"/>
        <v>-4.7705964631369423E-5</v>
      </c>
      <c r="AN287" s="2">
        <f t="shared" ca="1" si="152"/>
        <v>0.2847081460582917</v>
      </c>
      <c r="AO287" s="2">
        <f t="shared" ca="1" si="153"/>
        <v>-2.4744700871581843E-5</v>
      </c>
      <c r="AP287" s="2">
        <f t="shared" ca="1" si="154"/>
        <v>0.20598151782717622</v>
      </c>
      <c r="AQ287" s="2">
        <f t="shared" ca="1" si="155"/>
        <v>2.476239629304255</v>
      </c>
      <c r="AS287" s="2">
        <f t="shared" ca="1" si="156"/>
        <v>8.6974667342228589</v>
      </c>
      <c r="AT287" s="2">
        <f t="shared" ca="1" si="157"/>
        <v>0.40068850404215256</v>
      </c>
      <c r="AU287" s="2">
        <f t="shared" ca="1" si="158"/>
        <v>1.5349983073258805E-4</v>
      </c>
      <c r="AV287" s="2">
        <f t="shared" ca="1" si="159"/>
        <v>0.20582801799644362</v>
      </c>
      <c r="AW287" s="2">
        <f t="shared" ca="1" si="160"/>
        <v>0.70932802303579923</v>
      </c>
      <c r="AX287" s="2">
        <f t="shared" ca="1" si="161"/>
        <v>5.2807970831755008E-2</v>
      </c>
      <c r="AY287" s="9">
        <f t="shared" ca="1" si="162"/>
        <v>0.70932802303579923</v>
      </c>
      <c r="AZ287" s="9">
        <f t="shared" ca="1" si="163"/>
        <v>0.70932802303579923</v>
      </c>
      <c r="BB287" s="2">
        <f t="shared" ca="1" si="164"/>
        <v>8.6974667342228589</v>
      </c>
      <c r="BC287" s="2">
        <f t="shared" ca="1" si="165"/>
        <v>0.40068850404215256</v>
      </c>
      <c r="BD287" s="2">
        <f t="shared" ca="1" si="166"/>
        <v>1.5349983073258805E-4</v>
      </c>
      <c r="BE287" s="2">
        <f t="shared" ca="1" si="167"/>
        <v>0.20582801799644362</v>
      </c>
      <c r="BF287" s="2">
        <f t="shared" ca="1" si="168"/>
        <v>0.70932802303579923</v>
      </c>
      <c r="BG287" s="2">
        <f t="shared" ca="1" si="169"/>
        <v>5.2807970831755008E-2</v>
      </c>
      <c r="BH287" s="2">
        <f t="shared" ca="1" si="170"/>
        <v>0.70932802303579923</v>
      </c>
      <c r="BI287" s="2">
        <f t="shared" ca="1" si="171"/>
        <v>0.70932802303579923</v>
      </c>
    </row>
    <row r="288" spans="1:61" ht="15" x14ac:dyDescent="0.25">
      <c r="A288" s="66">
        <v>222</v>
      </c>
      <c r="B288" s="66">
        <v>1498730236.4430001</v>
      </c>
      <c r="C288" s="67">
        <v>-5.8345951603461399E-5</v>
      </c>
      <c r="D288" s="67">
        <v>3.7534850779437802E-5</v>
      </c>
      <c r="E288" s="67">
        <v>1.56900212975884E-2</v>
      </c>
      <c r="F288" s="67">
        <v>4.8328748264355099E-4</v>
      </c>
      <c r="G288" s="67">
        <v>-5.9295242222875201E-5</v>
      </c>
      <c r="H288" s="67">
        <v>0.29248458669508298</v>
      </c>
      <c r="I288" s="67">
        <v>3.7534850779437802E-5</v>
      </c>
      <c r="J288" s="67">
        <v>0.211306755506382</v>
      </c>
      <c r="K288" s="67">
        <v>2.54088375412503</v>
      </c>
      <c r="L288" s="67"/>
      <c r="M288" s="67"/>
      <c r="O288" s="11">
        <f t="shared" ca="1" si="129"/>
        <v>-7.1149882313421427E-5</v>
      </c>
      <c r="P288" s="11">
        <f t="shared" ca="1" si="130"/>
        <v>3.6769750549133064E-5</v>
      </c>
      <c r="Q288" s="11">
        <f t="shared" ca="1" si="131"/>
        <v>1.4853529685320116E-2</v>
      </c>
      <c r="R288" s="11">
        <f t="shared" ca="1" si="132"/>
        <v>4.7164099499720388E-4</v>
      </c>
      <c r="S288" s="11">
        <f t="shared" ca="1" si="133"/>
        <v>-7.0222894269845329E-5</v>
      </c>
      <c r="T288" s="11">
        <f t="shared" ca="1" si="134"/>
        <v>0.29134603165650069</v>
      </c>
      <c r="U288" s="11">
        <f t="shared" ca="1" si="135"/>
        <v>3.6769750549133064E-5</v>
      </c>
      <c r="V288" s="11">
        <f t="shared" ca="1" si="136"/>
        <v>0.21065655950068823</v>
      </c>
      <c r="W288" s="11">
        <f t="shared" ca="1" si="137"/>
        <v>2.5337609058615249</v>
      </c>
      <c r="X288" s="11"/>
      <c r="Y288" s="2">
        <f t="shared" ca="1" si="138"/>
        <v>-7.1149882313421427E-5</v>
      </c>
      <c r="Z288" s="11">
        <f t="shared" ca="1" si="139"/>
        <v>3.6769750549133064E-5</v>
      </c>
      <c r="AA288" s="2">
        <f t="shared" ca="1" si="140"/>
        <v>1.4853248369213324E-2</v>
      </c>
      <c r="AB288" s="2">
        <f t="shared" ca="1" si="141"/>
        <v>4.6483186650328879E-4</v>
      </c>
      <c r="AC288" s="2">
        <f t="shared" ca="1" si="142"/>
        <v>-7.0222894269845329E-5</v>
      </c>
      <c r="AD288" s="2">
        <f t="shared" ca="1" si="143"/>
        <v>0.29129651362815762</v>
      </c>
      <c r="AE288" s="2">
        <f t="shared" ca="1" si="144"/>
        <v>3.6769750549133064E-5</v>
      </c>
      <c r="AF288" s="2">
        <f t="shared" ca="1" si="145"/>
        <v>0.21058343329679233</v>
      </c>
      <c r="AG288" s="2">
        <f t="shared" ca="1" si="146"/>
        <v>2.5337312329491244</v>
      </c>
      <c r="AI288" s="2">
        <f t="shared" ca="1" si="147"/>
        <v>-7.1149882313421427E-5</v>
      </c>
      <c r="AJ288" s="11">
        <f t="shared" ca="1" si="148"/>
        <v>3.6769750549133064E-5</v>
      </c>
      <c r="AK288" s="2">
        <f t="shared" ca="1" si="149"/>
        <v>1.4809866866943407E-2</v>
      </c>
      <c r="AL288" s="2">
        <f t="shared" ca="1" si="150"/>
        <v>4.4452751138056242E-4</v>
      </c>
      <c r="AM288" s="2">
        <f t="shared" ca="1" si="151"/>
        <v>-7.0222894269845329E-5</v>
      </c>
      <c r="AN288" s="2">
        <f t="shared" ca="1" si="152"/>
        <v>0.29129651362815762</v>
      </c>
      <c r="AO288" s="2">
        <f t="shared" ca="1" si="153"/>
        <v>3.6769750549133064E-5</v>
      </c>
      <c r="AP288" s="2">
        <f t="shared" ca="1" si="154"/>
        <v>0.21058343329679233</v>
      </c>
      <c r="AQ288" s="2">
        <f t="shared" ca="1" si="155"/>
        <v>2.5337312329491244</v>
      </c>
      <c r="AS288" s="2">
        <f t="shared" ca="1" si="156"/>
        <v>8.6967407500125127</v>
      </c>
      <c r="AT288" s="2">
        <f t="shared" ca="1" si="157"/>
        <v>0.40065465262625483</v>
      </c>
      <c r="AU288" s="2">
        <f t="shared" ca="1" si="158"/>
        <v>1.889651590149059E-4</v>
      </c>
      <c r="AV288" s="2">
        <f t="shared" ca="1" si="159"/>
        <v>0.21046759434167334</v>
      </c>
      <c r="AW288" s="2">
        <f t="shared" ca="1" si="160"/>
        <v>0.70882153797345926</v>
      </c>
      <c r="AX288" s="2">
        <f t="shared" ca="1" si="161"/>
        <v>5.2986084751009618E-2</v>
      </c>
      <c r="AY288" s="9">
        <f t="shared" ca="1" si="162"/>
        <v>0.70882153797345926</v>
      </c>
      <c r="AZ288" s="9">
        <f t="shared" ca="1" si="163"/>
        <v>0.70882153797345926</v>
      </c>
      <c r="BB288" s="2">
        <f t="shared" ca="1" si="164"/>
        <v>8.698117259938968</v>
      </c>
      <c r="BC288" s="2">
        <f t="shared" ca="1" si="165"/>
        <v>0.40071883698519728</v>
      </c>
      <c r="BD288" s="2">
        <f t="shared" ca="1" si="166"/>
        <v>1.7813054736834301E-4</v>
      </c>
      <c r="BE288" s="2">
        <f t="shared" ca="1" si="167"/>
        <v>0.21040530274942398</v>
      </c>
      <c r="BF288" s="2">
        <f t="shared" ca="1" si="168"/>
        <v>0.70867572294664893</v>
      </c>
      <c r="BG288" s="2">
        <f t="shared" ca="1" si="169"/>
        <v>5.2847867594870354E-2</v>
      </c>
      <c r="BH288" s="2">
        <f t="shared" ca="1" si="170"/>
        <v>0.70867572294664893</v>
      </c>
      <c r="BI288" s="2">
        <f t="shared" ca="1" si="171"/>
        <v>0.70867572294664893</v>
      </c>
    </row>
    <row r="289" spans="1:61" ht="15" x14ac:dyDescent="0.25">
      <c r="A289" s="66">
        <v>223</v>
      </c>
      <c r="B289" s="66">
        <v>1498730236.97</v>
      </c>
      <c r="C289" s="67">
        <v>1.1573786403654601E-5</v>
      </c>
      <c r="D289" s="67">
        <v>5.1335957435379401E-5</v>
      </c>
      <c r="E289" s="67">
        <v>1.5009197217518E-2</v>
      </c>
      <c r="F289" s="67">
        <v>5.4803928458886501E-4</v>
      </c>
      <c r="G289" s="67">
        <v>5.1809800383402403E-5</v>
      </c>
      <c r="H289" s="67">
        <v>0.27981326239360799</v>
      </c>
      <c r="I289" s="67">
        <v>5.1335957435379401E-5</v>
      </c>
      <c r="J289" s="67">
        <v>0.20204351000381099</v>
      </c>
      <c r="K289" s="67">
        <v>2.4297866854857602</v>
      </c>
      <c r="L289" s="67"/>
      <c r="M289" s="67"/>
      <c r="O289" s="11">
        <f t="shared" ca="1" si="129"/>
        <v>-1.2301443063054272E-6</v>
      </c>
      <c r="P289" s="11">
        <f t="shared" ca="1" si="130"/>
        <v>5.0570857205074662E-5</v>
      </c>
      <c r="Q289" s="11">
        <f t="shared" ca="1" si="131"/>
        <v>1.4172705605249716E-2</v>
      </c>
      <c r="R289" s="11">
        <f t="shared" ca="1" si="132"/>
        <v>5.3639279694251785E-4</v>
      </c>
      <c r="S289" s="11">
        <f t="shared" ca="1" si="133"/>
        <v>4.0882148336432282E-5</v>
      </c>
      <c r="T289" s="11">
        <f t="shared" ca="1" si="134"/>
        <v>0.2786747073550257</v>
      </c>
      <c r="U289" s="11">
        <f t="shared" ca="1" si="135"/>
        <v>5.0570857205074662E-5</v>
      </c>
      <c r="V289" s="11">
        <f t="shared" ca="1" si="136"/>
        <v>0.20139331399811722</v>
      </c>
      <c r="W289" s="11">
        <f t="shared" ca="1" si="137"/>
        <v>2.4226638372222551</v>
      </c>
      <c r="X289" s="11"/>
      <c r="Y289" s="2">
        <f t="shared" ca="1" si="138"/>
        <v>-1.2301443063054272E-6</v>
      </c>
      <c r="Z289" s="11">
        <f t="shared" ca="1" si="139"/>
        <v>5.0570857205074662E-5</v>
      </c>
      <c r="AA289" s="2">
        <f t="shared" ca="1" si="140"/>
        <v>1.4172318700349532E-2</v>
      </c>
      <c r="AB289" s="2">
        <f t="shared" ca="1" si="141"/>
        <v>5.2702793969942451E-4</v>
      </c>
      <c r="AC289" s="2">
        <f t="shared" ca="1" si="142"/>
        <v>4.0882148336432282E-5</v>
      </c>
      <c r="AD289" s="2">
        <f t="shared" ca="1" si="143"/>
        <v>0.27860660329930009</v>
      </c>
      <c r="AE289" s="2">
        <f t="shared" ca="1" si="144"/>
        <v>5.0570857205074662E-5</v>
      </c>
      <c r="AF289" s="2">
        <f t="shared" ca="1" si="145"/>
        <v>0.2012927407073023</v>
      </c>
      <c r="AG289" s="2">
        <f t="shared" ca="1" si="146"/>
        <v>2.4226230269204865</v>
      </c>
      <c r="AI289" s="2">
        <f t="shared" ca="1" si="147"/>
        <v>-1.2301443063054272E-6</v>
      </c>
      <c r="AJ289" s="11">
        <f t="shared" ca="1" si="148"/>
        <v>5.0570857205074662E-5</v>
      </c>
      <c r="AK289" s="2">
        <f t="shared" ca="1" si="149"/>
        <v>1.4112654445795993E-2</v>
      </c>
      <c r="AL289" s="2">
        <f t="shared" ca="1" si="150"/>
        <v>4.9910257637174934E-4</v>
      </c>
      <c r="AM289" s="2">
        <f t="shared" ca="1" si="151"/>
        <v>4.0882148336432282E-5</v>
      </c>
      <c r="AN289" s="2">
        <f t="shared" ca="1" si="152"/>
        <v>0.27860660329930009</v>
      </c>
      <c r="AO289" s="2">
        <f t="shared" ca="1" si="153"/>
        <v>5.0570857205074662E-5</v>
      </c>
      <c r="AP289" s="2">
        <f t="shared" ca="1" si="154"/>
        <v>0.2012927407073023</v>
      </c>
      <c r="AQ289" s="2">
        <f t="shared" ca="1" si="155"/>
        <v>2.4226230269204865</v>
      </c>
      <c r="AS289" s="2">
        <f t="shared" ca="1" si="156"/>
        <v>8.6935189067439573</v>
      </c>
      <c r="AT289" s="2">
        <f t="shared" ca="1" si="157"/>
        <v>0.40050442393723196</v>
      </c>
      <c r="AU289" s="2">
        <f t="shared" ca="1" si="158"/>
        <v>2.1482768814354376E-4</v>
      </c>
      <c r="AV289" s="2">
        <f t="shared" ca="1" si="159"/>
        <v>0.20117848630997368</v>
      </c>
      <c r="AW289" s="2">
        <f t="shared" ca="1" si="160"/>
        <v>0.70847706627548035</v>
      </c>
      <c r="AX289" s="2">
        <f t="shared" ca="1" si="161"/>
        <v>5.2836229537439577E-2</v>
      </c>
      <c r="AY289" s="9">
        <f t="shared" ca="1" si="162"/>
        <v>0.70847706627548035</v>
      </c>
      <c r="AZ289" s="9">
        <f t="shared" ca="1" si="163"/>
        <v>0.70847706627548035</v>
      </c>
      <c r="BB289" s="2">
        <f t="shared" ca="1" si="164"/>
        <v>8.6954975159649148</v>
      </c>
      <c r="BC289" s="2">
        <f t="shared" ca="1" si="165"/>
        <v>0.40059668280485611</v>
      </c>
      <c r="BD289" s="2">
        <f t="shared" ca="1" si="166"/>
        <v>1.9993883647388013E-4</v>
      </c>
      <c r="BE289" s="2">
        <f t="shared" ca="1" si="167"/>
        <v>0.20109280187082842</v>
      </c>
      <c r="BF289" s="2">
        <f t="shared" ca="1" si="168"/>
        <v>0.7082672530826517</v>
      </c>
      <c r="BG289" s="2">
        <f t="shared" ca="1" si="169"/>
        <v>5.263747382536358E-2</v>
      </c>
      <c r="BH289" s="2">
        <f t="shared" ca="1" si="170"/>
        <v>0.7082672530826517</v>
      </c>
      <c r="BI289" s="2">
        <f t="shared" ca="1" si="171"/>
        <v>0.7082672530826517</v>
      </c>
    </row>
    <row r="290" spans="1:61" ht="15" x14ac:dyDescent="0.25">
      <c r="A290" s="66">
        <v>224</v>
      </c>
      <c r="B290" s="66">
        <v>1498730237.497</v>
      </c>
      <c r="C290" s="67">
        <v>-5.6703905264218704E-6</v>
      </c>
      <c r="D290" s="67">
        <v>-8.4392283850985002E-6</v>
      </c>
      <c r="E290" s="67">
        <v>1.5782392112989398E-2</v>
      </c>
      <c r="F290" s="67">
        <v>4.6948065604802698E-4</v>
      </c>
      <c r="G290" s="67">
        <v>-3.97017903836803E-6</v>
      </c>
      <c r="H290" s="67">
        <v>0.29311309818166997</v>
      </c>
      <c r="I290" s="67">
        <v>-8.4392283850985002E-6</v>
      </c>
      <c r="J290" s="67">
        <v>0.21160686548133401</v>
      </c>
      <c r="K290" s="67">
        <v>2.5426049753378202</v>
      </c>
      <c r="L290" s="67"/>
      <c r="M290" s="67"/>
      <c r="O290" s="11">
        <f t="shared" ca="1" si="129"/>
        <v>-1.8474321236381899E-5</v>
      </c>
      <c r="P290" s="11">
        <f t="shared" ca="1" si="130"/>
        <v>-9.2043286154032405E-6</v>
      </c>
      <c r="Q290" s="11">
        <f t="shared" ca="1" si="131"/>
        <v>1.4945900500721114E-2</v>
      </c>
      <c r="R290" s="11">
        <f t="shared" ca="1" si="132"/>
        <v>4.5783416840167987E-4</v>
      </c>
      <c r="S290" s="11">
        <f t="shared" ca="1" si="133"/>
        <v>-1.4897831085338152E-5</v>
      </c>
      <c r="T290" s="11">
        <f t="shared" ca="1" si="134"/>
        <v>0.29197454314308768</v>
      </c>
      <c r="U290" s="11">
        <f t="shared" ca="1" si="135"/>
        <v>-9.2043286154032405E-6</v>
      </c>
      <c r="V290" s="11">
        <f t="shared" ca="1" si="136"/>
        <v>0.21095666947564023</v>
      </c>
      <c r="W290" s="11">
        <f t="shared" ca="1" si="137"/>
        <v>2.5354821270743151</v>
      </c>
      <c r="X290" s="11"/>
      <c r="Y290" s="2">
        <f t="shared" ca="1" si="138"/>
        <v>-1.8474321236381899E-5</v>
      </c>
      <c r="Z290" s="11">
        <f t="shared" ca="1" si="139"/>
        <v>-9.2043286154032405E-6</v>
      </c>
      <c r="AA290" s="2">
        <f t="shared" ca="1" si="140"/>
        <v>1.4945900500721114E-2</v>
      </c>
      <c r="AB290" s="2">
        <f t="shared" ca="1" si="141"/>
        <v>4.5783416840167987E-4</v>
      </c>
      <c r="AC290" s="2">
        <f t="shared" ca="1" si="142"/>
        <v>-1.4897831085338152E-5</v>
      </c>
      <c r="AD290" s="2">
        <f t="shared" ca="1" si="143"/>
        <v>0.29197454314308768</v>
      </c>
      <c r="AE290" s="2">
        <f t="shared" ca="1" si="144"/>
        <v>-9.2043286154032405E-6</v>
      </c>
      <c r="AF290" s="2">
        <f t="shared" ca="1" si="145"/>
        <v>0.21095666947564023</v>
      </c>
      <c r="AG290" s="2">
        <f t="shared" ca="1" si="146"/>
        <v>2.5354821270743151</v>
      </c>
      <c r="AI290" s="2">
        <f t="shared" ca="1" si="147"/>
        <v>-1.8474321236381899E-5</v>
      </c>
      <c r="AJ290" s="11">
        <f t="shared" ca="1" si="148"/>
        <v>-9.2043286154032405E-6</v>
      </c>
      <c r="AK290" s="2">
        <f t="shared" ca="1" si="149"/>
        <v>1.4945900500721114E-2</v>
      </c>
      <c r="AL290" s="2">
        <f t="shared" ca="1" si="150"/>
        <v>4.5783416840167987E-4</v>
      </c>
      <c r="AM290" s="2">
        <f t="shared" ca="1" si="151"/>
        <v>-1.4897831085338152E-5</v>
      </c>
      <c r="AN290" s="2">
        <f t="shared" ca="1" si="152"/>
        <v>0.29197454314308768</v>
      </c>
      <c r="AO290" s="2">
        <f t="shared" ca="1" si="153"/>
        <v>-9.2043286154032405E-6</v>
      </c>
      <c r="AP290" s="2">
        <f t="shared" ca="1" si="154"/>
        <v>0.21095666947564023</v>
      </c>
      <c r="AQ290" s="2">
        <f t="shared" ca="1" si="155"/>
        <v>2.5354821270743151</v>
      </c>
      <c r="AS290" s="2">
        <f t="shared" ca="1" si="156"/>
        <v>8.6839150419759505</v>
      </c>
      <c r="AT290" s="2">
        <f t="shared" ca="1" si="157"/>
        <v>0.40005661720614411</v>
      </c>
      <c r="AU290" s="2">
        <f t="shared" ca="1" si="158"/>
        <v>1.8315958865216416E-4</v>
      </c>
      <c r="AV290" s="2">
        <f t="shared" ca="1" si="159"/>
        <v>0.21077350988698806</v>
      </c>
      <c r="AW290" s="2">
        <f t="shared" ca="1" si="160"/>
        <v>0.70885041441202401</v>
      </c>
      <c r="AX290" s="2">
        <f t="shared" ca="1" si="161"/>
        <v>5.3120543141001196E-2</v>
      </c>
      <c r="AY290" s="9">
        <f t="shared" ca="1" si="162"/>
        <v>0.70885041441202401</v>
      </c>
      <c r="AZ290" s="9">
        <f t="shared" ca="1" si="163"/>
        <v>0.70885041441202401</v>
      </c>
      <c r="BB290" s="2">
        <f t="shared" ca="1" si="164"/>
        <v>8.6839150419759505</v>
      </c>
      <c r="BC290" s="2">
        <f t="shared" ca="1" si="165"/>
        <v>0.40005661720614411</v>
      </c>
      <c r="BD290" s="2">
        <f t="shared" ca="1" si="166"/>
        <v>1.8315958865216416E-4</v>
      </c>
      <c r="BE290" s="2">
        <f t="shared" ca="1" si="167"/>
        <v>0.21077350988698806</v>
      </c>
      <c r="BF290" s="2">
        <f t="shared" ca="1" si="168"/>
        <v>0.70885041441202401</v>
      </c>
      <c r="BG290" s="2">
        <f t="shared" ca="1" si="169"/>
        <v>5.3120543141001196E-2</v>
      </c>
      <c r="BH290" s="2">
        <f t="shared" ca="1" si="170"/>
        <v>0.70885041441202401</v>
      </c>
      <c r="BI290" s="2">
        <f t="shared" ca="1" si="171"/>
        <v>0.70885041441202401</v>
      </c>
    </row>
    <row r="291" spans="1:61" ht="15" x14ac:dyDescent="0.25">
      <c r="A291" s="66">
        <v>225</v>
      </c>
      <c r="B291" s="66">
        <v>1498730238.0239999</v>
      </c>
      <c r="C291" s="67">
        <v>3.2361685777444797E-5</v>
      </c>
      <c r="D291" s="67">
        <v>6.0955329874385798E-5</v>
      </c>
      <c r="E291" s="67">
        <v>1.50631835501855E-2</v>
      </c>
      <c r="F291" s="67">
        <v>4.3353619232268598E-4</v>
      </c>
      <c r="G291" s="67">
        <v>-2.0634893712337598E-6</v>
      </c>
      <c r="H291" s="67">
        <v>0.27846430901012797</v>
      </c>
      <c r="I291" s="67">
        <v>6.0955329874385798E-5</v>
      </c>
      <c r="J291" s="67">
        <v>0.20114230450540899</v>
      </c>
      <c r="K291" s="67">
        <v>2.42107599735886</v>
      </c>
      <c r="L291" s="67"/>
      <c r="M291" s="67"/>
      <c r="O291" s="11">
        <f t="shared" ca="1" si="129"/>
        <v>1.955775506748477E-5</v>
      </c>
      <c r="P291" s="11">
        <f t="shared" ca="1" si="130"/>
        <v>6.0190229644081059E-5</v>
      </c>
      <c r="Q291" s="11">
        <f t="shared" ca="1" si="131"/>
        <v>1.4226691937917216E-2</v>
      </c>
      <c r="R291" s="11">
        <f t="shared" ca="1" si="132"/>
        <v>4.2188970467633887E-4</v>
      </c>
      <c r="S291" s="11">
        <f t="shared" ca="1" si="133"/>
        <v>-1.2991141418203882E-5</v>
      </c>
      <c r="T291" s="11">
        <f t="shared" ca="1" si="134"/>
        <v>0.27732575397154569</v>
      </c>
      <c r="U291" s="11">
        <f t="shared" ca="1" si="135"/>
        <v>6.0190229644081059E-5</v>
      </c>
      <c r="V291" s="11">
        <f t="shared" ca="1" si="136"/>
        <v>0.20049210849971522</v>
      </c>
      <c r="W291" s="11">
        <f t="shared" ca="1" si="137"/>
        <v>2.413953149095355</v>
      </c>
      <c r="X291" s="11"/>
      <c r="Y291" s="2">
        <f t="shared" ca="1" si="138"/>
        <v>1.955775506748477E-5</v>
      </c>
      <c r="Z291" s="11">
        <f t="shared" ca="1" si="139"/>
        <v>6.0190229644081059E-5</v>
      </c>
      <c r="AA291" s="2">
        <f t="shared" ca="1" si="140"/>
        <v>1.4226231437619622E-2</v>
      </c>
      <c r="AB291" s="2">
        <f t="shared" ca="1" si="141"/>
        <v>4.1074350429140132E-4</v>
      </c>
      <c r="AC291" s="2">
        <f t="shared" ca="1" si="142"/>
        <v>-1.2991141418203882E-5</v>
      </c>
      <c r="AD291" s="2">
        <f t="shared" ca="1" si="143"/>
        <v>0.27724469545325336</v>
      </c>
      <c r="AE291" s="2">
        <f t="shared" ca="1" si="144"/>
        <v>6.0190229644081059E-5</v>
      </c>
      <c r="AF291" s="2">
        <f t="shared" ca="1" si="145"/>
        <v>0.20037240458713049</v>
      </c>
      <c r="AG291" s="2">
        <f t="shared" ca="1" si="146"/>
        <v>2.4139045760323095</v>
      </c>
      <c r="AI291" s="2">
        <f t="shared" ca="1" si="147"/>
        <v>1.955775506748477E-5</v>
      </c>
      <c r="AJ291" s="11">
        <f t="shared" ca="1" si="148"/>
        <v>6.0190229644081059E-5</v>
      </c>
      <c r="AK291" s="2">
        <f t="shared" ca="1" si="149"/>
        <v>1.415521810342682E-2</v>
      </c>
      <c r="AL291" s="2">
        <f t="shared" ca="1" si="150"/>
        <v>3.7750629763755604E-4</v>
      </c>
      <c r="AM291" s="2">
        <f t="shared" ca="1" si="151"/>
        <v>-1.2991141418203882E-5</v>
      </c>
      <c r="AN291" s="2">
        <f t="shared" ca="1" si="152"/>
        <v>0.27724469545325336</v>
      </c>
      <c r="AO291" s="2">
        <f t="shared" ca="1" si="153"/>
        <v>6.0190229644081059E-5</v>
      </c>
      <c r="AP291" s="2">
        <f t="shared" ca="1" si="154"/>
        <v>0.20037240458713049</v>
      </c>
      <c r="AQ291" s="2">
        <f t="shared" ca="1" si="155"/>
        <v>2.4139045760323095</v>
      </c>
      <c r="AS291" s="2">
        <f t="shared" ca="1" si="156"/>
        <v>8.7043958757001434</v>
      </c>
      <c r="AT291" s="2">
        <f t="shared" ca="1" si="157"/>
        <v>0.40101159991437951</v>
      </c>
      <c r="AU291" s="2">
        <f t="shared" ca="1" si="158"/>
        <v>1.6918266545966373E-4</v>
      </c>
      <c r="AV291" s="2">
        <f t="shared" ca="1" si="159"/>
        <v>0.20032292583425554</v>
      </c>
      <c r="AW291" s="2">
        <f t="shared" ca="1" si="160"/>
        <v>0.70844933890398087</v>
      </c>
      <c r="AX291" s="2">
        <f t="shared" ca="1" si="161"/>
        <v>5.3363706668111584E-2</v>
      </c>
      <c r="AY291" s="9">
        <f t="shared" ca="1" si="162"/>
        <v>0.70844933890398087</v>
      </c>
      <c r="AZ291" s="9">
        <f t="shared" ca="1" si="163"/>
        <v>0.70844933890398087</v>
      </c>
      <c r="BB291" s="2">
        <f t="shared" ca="1" si="164"/>
        <v>8.7067655959510368</v>
      </c>
      <c r="BC291" s="2">
        <f t="shared" ca="1" si="165"/>
        <v>0.40112209726748971</v>
      </c>
      <c r="BD291" s="2">
        <f t="shared" ca="1" si="166"/>
        <v>1.5142611784006168E-4</v>
      </c>
      <c r="BE291" s="2">
        <f t="shared" ca="1" si="167"/>
        <v>0.20022097846929043</v>
      </c>
      <c r="BF291" s="2">
        <f t="shared" ca="1" si="168"/>
        <v>0.70819873579746839</v>
      </c>
      <c r="BG291" s="2">
        <f t="shared" ca="1" si="169"/>
        <v>5.3125930482645488E-2</v>
      </c>
      <c r="BH291" s="2">
        <f t="shared" ca="1" si="170"/>
        <v>0.70819873579746839</v>
      </c>
      <c r="BI291" s="2">
        <f t="shared" ca="1" si="171"/>
        <v>0.70819873579746839</v>
      </c>
    </row>
    <row r="292" spans="1:61" ht="15" x14ac:dyDescent="0.25">
      <c r="A292" s="66">
        <v>226</v>
      </c>
      <c r="B292" s="66">
        <v>1498730238.5510001</v>
      </c>
      <c r="C292" s="67">
        <v>5.8110937725492902E-5</v>
      </c>
      <c r="D292" s="67">
        <v>2.08059467221774E-5</v>
      </c>
      <c r="E292" s="67">
        <v>1.4229817375692099E-2</v>
      </c>
      <c r="F292" s="67">
        <v>3.4332366607435602E-4</v>
      </c>
      <c r="G292" s="67">
        <v>1.99014019874404E-5</v>
      </c>
      <c r="H292" s="67">
        <v>0.26441721999534301</v>
      </c>
      <c r="I292" s="67">
        <v>2.08059467221774E-5</v>
      </c>
      <c r="J292" s="67">
        <v>0.19101026312498001</v>
      </c>
      <c r="K292" s="67">
        <v>2.2956217094359199</v>
      </c>
      <c r="L292" s="67"/>
      <c r="M292" s="67"/>
      <c r="O292" s="11">
        <f t="shared" ca="1" si="129"/>
        <v>4.5307007015532874E-5</v>
      </c>
      <c r="P292" s="11">
        <f t="shared" ca="1" si="130"/>
        <v>2.0040846491872658E-5</v>
      </c>
      <c r="Q292" s="11">
        <f t="shared" ca="1" si="131"/>
        <v>1.3393325763423815E-2</v>
      </c>
      <c r="R292" s="11">
        <f t="shared" ca="1" si="132"/>
        <v>3.3167717842800892E-4</v>
      </c>
      <c r="S292" s="11">
        <f t="shared" ca="1" si="133"/>
        <v>8.9737499404702774E-6</v>
      </c>
      <c r="T292" s="11">
        <f t="shared" ca="1" si="134"/>
        <v>0.26327866495676072</v>
      </c>
      <c r="U292" s="11">
        <f t="shared" ca="1" si="135"/>
        <v>2.0040846491872658E-5</v>
      </c>
      <c r="V292" s="11">
        <f t="shared" ca="1" si="136"/>
        <v>0.19036006711928624</v>
      </c>
      <c r="W292" s="11">
        <f t="shared" ca="1" si="137"/>
        <v>2.2884988611724149</v>
      </c>
      <c r="X292" s="11"/>
      <c r="Y292" s="2">
        <f t="shared" ca="1" si="138"/>
        <v>4.5307007015532874E-5</v>
      </c>
      <c r="Z292" s="11">
        <f t="shared" ca="1" si="139"/>
        <v>2.0040846491872658E-5</v>
      </c>
      <c r="AA292" s="2">
        <f t="shared" ca="1" si="140"/>
        <v>1.3393172435951431E-2</v>
      </c>
      <c r="AB292" s="2">
        <f t="shared" ca="1" si="141"/>
        <v>3.2796595665326111E-4</v>
      </c>
      <c r="AC292" s="2">
        <f t="shared" ca="1" si="142"/>
        <v>8.9737499404702774E-6</v>
      </c>
      <c r="AD292" s="2">
        <f t="shared" ca="1" si="143"/>
        <v>0.26325167583690584</v>
      </c>
      <c r="AE292" s="2">
        <f t="shared" ca="1" si="144"/>
        <v>2.0040846491872658E-5</v>
      </c>
      <c r="AF292" s="2">
        <f t="shared" ca="1" si="145"/>
        <v>0.19032021068825461</v>
      </c>
      <c r="AG292" s="2">
        <f t="shared" ca="1" si="146"/>
        <v>2.2884826883598852</v>
      </c>
      <c r="AI292" s="2">
        <f t="shared" ca="1" si="147"/>
        <v>4.5307007015532874E-5</v>
      </c>
      <c r="AJ292" s="11">
        <f t="shared" ca="1" si="148"/>
        <v>2.0040846491872658E-5</v>
      </c>
      <c r="AK292" s="2">
        <f t="shared" ca="1" si="149"/>
        <v>1.3369527945178601E-2</v>
      </c>
      <c r="AL292" s="2">
        <f t="shared" ca="1" si="150"/>
        <v>3.168993473329914E-4</v>
      </c>
      <c r="AM292" s="2">
        <f t="shared" ca="1" si="151"/>
        <v>8.9737499404702774E-6</v>
      </c>
      <c r="AN292" s="2">
        <f t="shared" ca="1" si="152"/>
        <v>0.26325167583690584</v>
      </c>
      <c r="AO292" s="2">
        <f t="shared" ca="1" si="153"/>
        <v>2.0040846491872658E-5</v>
      </c>
      <c r="AP292" s="2">
        <f t="shared" ca="1" si="154"/>
        <v>0.19032021068825461</v>
      </c>
      <c r="AQ292" s="2">
        <f t="shared" ca="1" si="155"/>
        <v>2.2884826883598852</v>
      </c>
      <c r="AS292" s="2">
        <f t="shared" ca="1" si="156"/>
        <v>8.6923065397200485</v>
      </c>
      <c r="AT292" s="2">
        <f t="shared" ca="1" si="157"/>
        <v>0.40044789364382311</v>
      </c>
      <c r="AU292" s="2">
        <f t="shared" ca="1" si="158"/>
        <v>1.3281942747122265E-4</v>
      </c>
      <c r="AV292" s="2">
        <f t="shared" ca="1" si="159"/>
        <v>0.19022724769181501</v>
      </c>
      <c r="AW292" s="2">
        <f t="shared" ca="1" si="160"/>
        <v>0.70913573938275887</v>
      </c>
      <c r="AX292" s="2">
        <f t="shared" ca="1" si="161"/>
        <v>5.2842991243021338E-2</v>
      </c>
      <c r="AY292" s="9">
        <f t="shared" ca="1" si="162"/>
        <v>0.70913573938275887</v>
      </c>
      <c r="AZ292" s="9">
        <f t="shared" ca="1" si="163"/>
        <v>0.70913573938275887</v>
      </c>
      <c r="BB292" s="2">
        <f t="shared" ca="1" si="164"/>
        <v>8.6931362586184822</v>
      </c>
      <c r="BC292" s="2">
        <f t="shared" ca="1" si="165"/>
        <v>0.40048658179627988</v>
      </c>
      <c r="BD292" s="2">
        <f t="shared" ca="1" si="166"/>
        <v>1.2691393638686178E-4</v>
      </c>
      <c r="BE292" s="2">
        <f t="shared" ca="1" si="167"/>
        <v>0.19019329675186775</v>
      </c>
      <c r="BF292" s="2">
        <f t="shared" ca="1" si="168"/>
        <v>0.70904778175577832</v>
      </c>
      <c r="BG292" s="2">
        <f t="shared" ca="1" si="169"/>
        <v>5.2759658304309121E-2</v>
      </c>
      <c r="BH292" s="2">
        <f t="shared" ca="1" si="170"/>
        <v>0.70904778175577832</v>
      </c>
      <c r="BI292" s="2">
        <f t="shared" ca="1" si="171"/>
        <v>0.70904778175577832</v>
      </c>
    </row>
    <row r="293" spans="1:61" ht="15" x14ac:dyDescent="0.25">
      <c r="A293" s="66">
        <v>227</v>
      </c>
      <c r="B293" s="66">
        <v>1498730239.0780001</v>
      </c>
      <c r="C293" s="67">
        <v>1.09847693436966E-4</v>
      </c>
      <c r="D293" s="67">
        <v>1.5230272289825E-5</v>
      </c>
      <c r="E293" s="67">
        <v>1.54199513129906E-2</v>
      </c>
      <c r="F293" s="67">
        <v>4.5853054996501902E-4</v>
      </c>
      <c r="G293" s="67">
        <v>1.9039512856466699E-4</v>
      </c>
      <c r="H293" s="67">
        <v>0.28420794945404798</v>
      </c>
      <c r="I293" s="67">
        <v>1.5230272289825E-5</v>
      </c>
      <c r="J293" s="67">
        <v>0.20524841550747899</v>
      </c>
      <c r="K293" s="67">
        <v>2.46478948416806</v>
      </c>
      <c r="L293" s="67"/>
      <c r="M293" s="67"/>
      <c r="O293" s="11">
        <f t="shared" ca="1" si="129"/>
        <v>9.7043762727005983E-5</v>
      </c>
      <c r="P293" s="11">
        <f t="shared" ca="1" si="130"/>
        <v>1.446517205952026E-5</v>
      </c>
      <c r="Q293" s="11">
        <f t="shared" ca="1" si="131"/>
        <v>1.4583459700722315E-2</v>
      </c>
      <c r="R293" s="11">
        <f t="shared" ca="1" si="132"/>
        <v>4.4688406231867191E-4</v>
      </c>
      <c r="S293" s="11">
        <f t="shared" ca="1" si="133"/>
        <v>1.7946747651769688E-4</v>
      </c>
      <c r="T293" s="11">
        <f t="shared" ca="1" si="134"/>
        <v>0.28306939441546569</v>
      </c>
      <c r="U293" s="11">
        <f t="shared" ca="1" si="135"/>
        <v>1.446517205952026E-5</v>
      </c>
      <c r="V293" s="11">
        <f t="shared" ca="1" si="136"/>
        <v>0.20459821950178522</v>
      </c>
      <c r="W293" s="11">
        <f t="shared" ca="1" si="137"/>
        <v>2.4576666359045549</v>
      </c>
      <c r="X293" s="11"/>
      <c r="Y293" s="2">
        <f t="shared" ca="1" si="138"/>
        <v>9.7043762727005983E-5</v>
      </c>
      <c r="Z293" s="11">
        <f t="shared" ca="1" si="139"/>
        <v>1.446517205952026E-5</v>
      </c>
      <c r="AA293" s="2">
        <f t="shared" ca="1" si="140"/>
        <v>1.458334903133166E-2</v>
      </c>
      <c r="AB293" s="2">
        <f t="shared" ca="1" si="141"/>
        <v>4.442053600221129E-4</v>
      </c>
      <c r="AC293" s="2">
        <f t="shared" ca="1" si="142"/>
        <v>1.7946747651769688E-4</v>
      </c>
      <c r="AD293" s="2">
        <f t="shared" ca="1" si="143"/>
        <v>0.2830499140874968</v>
      </c>
      <c r="AE293" s="2">
        <f t="shared" ca="1" si="144"/>
        <v>1.446517205952026E-5</v>
      </c>
      <c r="AF293" s="2">
        <f t="shared" ca="1" si="145"/>
        <v>0.20456945174824823</v>
      </c>
      <c r="AG293" s="2">
        <f t="shared" ca="1" si="146"/>
        <v>2.457654962619396</v>
      </c>
      <c r="AI293" s="2">
        <f t="shared" ca="1" si="147"/>
        <v>9.7043762727005983E-5</v>
      </c>
      <c r="AJ293" s="11">
        <f t="shared" ca="1" si="148"/>
        <v>1.446517205952026E-5</v>
      </c>
      <c r="AK293" s="2">
        <f t="shared" ca="1" si="149"/>
        <v>1.4566282804741509E-2</v>
      </c>
      <c r="AL293" s="2">
        <f t="shared" ca="1" si="150"/>
        <v>4.3621765311571497E-4</v>
      </c>
      <c r="AM293" s="2">
        <f t="shared" ca="1" si="151"/>
        <v>1.7946747651769688E-4</v>
      </c>
      <c r="AN293" s="2">
        <f t="shared" ca="1" si="152"/>
        <v>0.2830499140874968</v>
      </c>
      <c r="AO293" s="2">
        <f t="shared" ca="1" si="153"/>
        <v>1.446517205952026E-5</v>
      </c>
      <c r="AP293" s="2">
        <f t="shared" ca="1" si="154"/>
        <v>0.20456945174824823</v>
      </c>
      <c r="AQ293" s="2">
        <f t="shared" ca="1" si="155"/>
        <v>2.457654962619396</v>
      </c>
      <c r="AS293" s="2">
        <f t="shared" ca="1" si="156"/>
        <v>8.6822054393397128</v>
      </c>
      <c r="AT293" s="2">
        <f t="shared" ca="1" si="157"/>
        <v>0.39997690288906884</v>
      </c>
      <c r="AU293" s="2">
        <f t="shared" ca="1" si="158"/>
        <v>1.7874330319670804E-4</v>
      </c>
      <c r="AV293" s="2">
        <f t="shared" ca="1" si="159"/>
        <v>0.20441947619858852</v>
      </c>
      <c r="AW293" s="2">
        <f t="shared" ca="1" si="160"/>
        <v>0.70917917501434002</v>
      </c>
      <c r="AX293" s="2">
        <f t="shared" ca="1" si="161"/>
        <v>5.345219717297945E-2</v>
      </c>
      <c r="AY293" s="9">
        <f t="shared" ca="1" si="162"/>
        <v>0.70917917501434002</v>
      </c>
      <c r="AZ293" s="9">
        <f t="shared" ca="1" si="163"/>
        <v>0.70917917501434002</v>
      </c>
      <c r="BB293" s="2">
        <f t="shared" ca="1" si="164"/>
        <v>8.6827617331820921</v>
      </c>
      <c r="BC293" s="2">
        <f t="shared" ca="1" si="165"/>
        <v>0.40000284140079023</v>
      </c>
      <c r="BD293" s="2">
        <f t="shared" ca="1" si="166"/>
        <v>1.7448830071547025E-4</v>
      </c>
      <c r="BE293" s="2">
        <f t="shared" ca="1" si="167"/>
        <v>0.20439496344753275</v>
      </c>
      <c r="BF293" s="2">
        <f t="shared" ca="1" si="168"/>
        <v>0.70912005589029736</v>
      </c>
      <c r="BG293" s="2">
        <f t="shared" ca="1" si="169"/>
        <v>5.3396414338217242E-2</v>
      </c>
      <c r="BH293" s="2">
        <f t="shared" ca="1" si="170"/>
        <v>0.70912005589029736</v>
      </c>
      <c r="BI293" s="2">
        <f t="shared" ca="1" si="171"/>
        <v>0.70912005589029736</v>
      </c>
    </row>
    <row r="294" spans="1:61" ht="15" x14ac:dyDescent="0.25">
      <c r="A294" s="66">
        <v>228</v>
      </c>
      <c r="B294" s="66">
        <v>1498730239.605</v>
      </c>
      <c r="C294" s="67">
        <v>5.6693530330222697E-5</v>
      </c>
      <c r="D294" s="67">
        <v>2.76814683353631E-5</v>
      </c>
      <c r="E294" s="67">
        <v>1.52634883535254E-2</v>
      </c>
      <c r="F294" s="67">
        <v>4.25918988627313E-4</v>
      </c>
      <c r="G294" s="67">
        <v>1.03049610869332E-4</v>
      </c>
      <c r="H294" s="67">
        <v>0.28270189439440202</v>
      </c>
      <c r="I294" s="67">
        <v>2.76814683353631E-5</v>
      </c>
      <c r="J294" s="67">
        <v>0.20430456399264699</v>
      </c>
      <c r="K294" s="67">
        <v>2.45549152410682</v>
      </c>
      <c r="L294" s="67"/>
      <c r="M294" s="67"/>
      <c r="O294" s="11">
        <f t="shared" ca="1" si="129"/>
        <v>4.3889599620262669E-5</v>
      </c>
      <c r="P294" s="11">
        <f t="shared" ca="1" si="130"/>
        <v>2.6916368105058358E-5</v>
      </c>
      <c r="Q294" s="11">
        <f t="shared" ca="1" si="131"/>
        <v>1.4426996741257116E-2</v>
      </c>
      <c r="R294" s="11">
        <f t="shared" ca="1" si="132"/>
        <v>4.1427250098096589E-4</v>
      </c>
      <c r="S294" s="11">
        <f t="shared" ca="1" si="133"/>
        <v>9.2121958822361874E-5</v>
      </c>
      <c r="T294" s="11">
        <f t="shared" ca="1" si="134"/>
        <v>0.28156333935581973</v>
      </c>
      <c r="U294" s="11">
        <f t="shared" ca="1" si="135"/>
        <v>2.6916368105058358E-5</v>
      </c>
      <c r="V294" s="11">
        <f t="shared" ca="1" si="136"/>
        <v>0.20365436798695322</v>
      </c>
      <c r="W294" s="11">
        <f t="shared" ca="1" si="137"/>
        <v>2.448368675843315</v>
      </c>
      <c r="X294" s="11"/>
      <c r="Y294" s="2">
        <f t="shared" ca="1" si="138"/>
        <v>4.3889599620262669E-5</v>
      </c>
      <c r="Z294" s="11">
        <f t="shared" ca="1" si="139"/>
        <v>2.6916368105058358E-5</v>
      </c>
      <c r="AA294" s="2">
        <f t="shared" ca="1" si="140"/>
        <v>1.4426790810899384E-2</v>
      </c>
      <c r="AB294" s="2">
        <f t="shared" ca="1" si="141"/>
        <v>4.0928805027679374E-4</v>
      </c>
      <c r="AC294" s="2">
        <f t="shared" ca="1" si="142"/>
        <v>9.2121958822361874E-5</v>
      </c>
      <c r="AD294" s="2">
        <f t="shared" ca="1" si="143"/>
        <v>0.28152709093262368</v>
      </c>
      <c r="AE294" s="2">
        <f t="shared" ca="1" si="144"/>
        <v>2.6916368105058358E-5</v>
      </c>
      <c r="AF294" s="2">
        <f t="shared" ca="1" si="145"/>
        <v>0.20360083779453164</v>
      </c>
      <c r="AG294" s="2">
        <f t="shared" ca="1" si="146"/>
        <v>2.4483469545365071</v>
      </c>
      <c r="AI294" s="2">
        <f t="shared" ca="1" si="147"/>
        <v>4.3889599620262669E-5</v>
      </c>
      <c r="AJ294" s="11">
        <f t="shared" ca="1" si="148"/>
        <v>2.6916368105058358E-5</v>
      </c>
      <c r="AK294" s="2">
        <f t="shared" ca="1" si="149"/>
        <v>1.4395034476776659E-2</v>
      </c>
      <c r="AL294" s="2">
        <f t="shared" ca="1" si="150"/>
        <v>3.9442475943426129E-4</v>
      </c>
      <c r="AM294" s="2">
        <f t="shared" ca="1" si="151"/>
        <v>9.2121958822361874E-5</v>
      </c>
      <c r="AN294" s="2">
        <f t="shared" ca="1" si="152"/>
        <v>0.28152709093262368</v>
      </c>
      <c r="AO294" s="2">
        <f t="shared" ca="1" si="153"/>
        <v>2.6916368105058358E-5</v>
      </c>
      <c r="AP294" s="2">
        <f t="shared" ca="1" si="154"/>
        <v>0.20360083779453164</v>
      </c>
      <c r="AQ294" s="2">
        <f t="shared" ca="1" si="155"/>
        <v>2.4483469545365071</v>
      </c>
      <c r="AS294" s="2">
        <f t="shared" ca="1" si="156"/>
        <v>8.6956230929952163</v>
      </c>
      <c r="AT294" s="2">
        <f t="shared" ca="1" si="157"/>
        <v>0.4006025382367906</v>
      </c>
      <c r="AU294" s="2">
        <f t="shared" ca="1" si="158"/>
        <v>1.6595861541467827E-4</v>
      </c>
      <c r="AV294" s="2">
        <f t="shared" ca="1" si="159"/>
        <v>0.20348840937153853</v>
      </c>
      <c r="AW294" s="2">
        <f t="shared" ca="1" si="160"/>
        <v>0.70917342687688512</v>
      </c>
      <c r="AX294" s="2">
        <f t="shared" ca="1" si="161"/>
        <v>5.3245631262275037E-2</v>
      </c>
      <c r="AY294" s="9">
        <f t="shared" ca="1" si="162"/>
        <v>0.70917342687688512</v>
      </c>
      <c r="AZ294" s="9">
        <f t="shared" ca="1" si="163"/>
        <v>0.70917342687688512</v>
      </c>
      <c r="BB294" s="2">
        <f t="shared" ca="1" si="164"/>
        <v>8.6966655550831398</v>
      </c>
      <c r="BC294" s="2">
        <f t="shared" ca="1" si="165"/>
        <v>0.40065114641583149</v>
      </c>
      <c r="BD294" s="2">
        <f t="shared" ca="1" si="166"/>
        <v>1.5802673204212534E-4</v>
      </c>
      <c r="BE294" s="2">
        <f t="shared" ca="1" si="167"/>
        <v>0.20344281106248951</v>
      </c>
      <c r="BF294" s="2">
        <f t="shared" ca="1" si="168"/>
        <v>0.70906299662477812</v>
      </c>
      <c r="BG294" s="2">
        <f t="shared" ca="1" si="169"/>
        <v>5.3141026917880772E-2</v>
      </c>
      <c r="BH294" s="2">
        <f t="shared" ca="1" si="170"/>
        <v>0.70906299662477812</v>
      </c>
      <c r="BI294" s="2">
        <f t="shared" ca="1" si="171"/>
        <v>0.70906299662477812</v>
      </c>
    </row>
    <row r="295" spans="1:61" ht="15" x14ac:dyDescent="0.25">
      <c r="A295" s="66">
        <v>229</v>
      </c>
      <c r="B295" s="66">
        <v>1498730240.131</v>
      </c>
      <c r="C295" s="67">
        <v>1.20478867770182E-4</v>
      </c>
      <c r="D295" s="67">
        <v>1.12707957933657E-4</v>
      </c>
      <c r="E295" s="67">
        <v>1.45921052372143E-2</v>
      </c>
      <c r="F295" s="67">
        <v>5.4327797970820301E-4</v>
      </c>
      <c r="G295" s="67">
        <v>2.62805339156204E-4</v>
      </c>
      <c r="H295" s="67">
        <v>0.26904446513306302</v>
      </c>
      <c r="I295" s="67">
        <v>1.12707957933657E-4</v>
      </c>
      <c r="J295" s="67">
        <v>0.19431355789938501</v>
      </c>
      <c r="K295" s="67">
        <v>2.33762409015918</v>
      </c>
      <c r="L295" s="67"/>
      <c r="M295" s="67"/>
      <c r="O295" s="11">
        <f t="shared" ca="1" si="129"/>
        <v>1.0767493706022196E-4</v>
      </c>
      <c r="P295" s="11">
        <f t="shared" ca="1" si="130"/>
        <v>1.1194285770335226E-4</v>
      </c>
      <c r="Q295" s="11">
        <f t="shared" ca="1" si="131"/>
        <v>1.3755613624946015E-2</v>
      </c>
      <c r="R295" s="11">
        <f t="shared" ca="1" si="132"/>
        <v>5.3163149206185585E-4</v>
      </c>
      <c r="S295" s="11">
        <f t="shared" ca="1" si="133"/>
        <v>2.5187768710923389E-4</v>
      </c>
      <c r="T295" s="11">
        <f t="shared" ca="1" si="134"/>
        <v>0.26790591009448073</v>
      </c>
      <c r="U295" s="11">
        <f t="shared" ca="1" si="135"/>
        <v>1.1194285770335226E-4</v>
      </c>
      <c r="V295" s="11">
        <f t="shared" ca="1" si="136"/>
        <v>0.19366336189369124</v>
      </c>
      <c r="W295" s="11">
        <f t="shared" ca="1" si="137"/>
        <v>2.330501241895675</v>
      </c>
      <c r="X295" s="11"/>
      <c r="Y295" s="2">
        <f t="shared" ca="1" si="138"/>
        <v>1.0767493706022196E-4</v>
      </c>
      <c r="Z295" s="11">
        <f t="shared" ca="1" si="139"/>
        <v>1.1194285770335226E-4</v>
      </c>
      <c r="AA295" s="2">
        <f t="shared" ca="1" si="140"/>
        <v>1.3754757178316875E-2</v>
      </c>
      <c r="AB295" s="2">
        <f t="shared" ca="1" si="141"/>
        <v>5.1090159069742708E-4</v>
      </c>
      <c r="AC295" s="2">
        <f t="shared" ca="1" si="142"/>
        <v>2.5187768710923389E-4</v>
      </c>
      <c r="AD295" s="2">
        <f t="shared" ca="1" si="143"/>
        <v>0.26775515602305583</v>
      </c>
      <c r="AE295" s="2">
        <f t="shared" ca="1" si="144"/>
        <v>1.1194285770335226E-4</v>
      </c>
      <c r="AF295" s="2">
        <f t="shared" ca="1" si="145"/>
        <v>0.19344073443185494</v>
      </c>
      <c r="AG295" s="2">
        <f t="shared" ca="1" si="146"/>
        <v>2.3304109048506612</v>
      </c>
      <c r="AI295" s="2">
        <f t="shared" ca="1" si="147"/>
        <v>1.0767493706022196E-4</v>
      </c>
      <c r="AJ295" s="11">
        <f t="shared" ca="1" si="148"/>
        <v>1.1194285770335226E-4</v>
      </c>
      <c r="AK295" s="2">
        <f t="shared" ca="1" si="149"/>
        <v>1.36226853186215E-2</v>
      </c>
      <c r="AL295" s="2">
        <f t="shared" ca="1" si="150"/>
        <v>4.4908644367257781E-4</v>
      </c>
      <c r="AM295" s="2">
        <f t="shared" ca="1" si="151"/>
        <v>2.5187768710923389E-4</v>
      </c>
      <c r="AN295" s="2">
        <f t="shared" ca="1" si="152"/>
        <v>0.26775515602305583</v>
      </c>
      <c r="AO295" s="2">
        <f t="shared" ca="1" si="153"/>
        <v>1.1194285770335226E-4</v>
      </c>
      <c r="AP295" s="2">
        <f t="shared" ca="1" si="154"/>
        <v>0.19344073443185494</v>
      </c>
      <c r="AQ295" s="2">
        <f t="shared" ca="1" si="155"/>
        <v>2.3304109048506612</v>
      </c>
      <c r="AS295" s="2">
        <f t="shared" ca="1" si="156"/>
        <v>8.698954200277969</v>
      </c>
      <c r="AT295" s="2">
        <f t="shared" ca="1" si="157"/>
        <v>0.40075786217564557</v>
      </c>
      <c r="AU295" s="2">
        <f t="shared" ca="1" si="158"/>
        <v>2.1305550022395804E-4</v>
      </c>
      <c r="AV295" s="2">
        <f t="shared" ca="1" si="159"/>
        <v>0.19345030639346728</v>
      </c>
      <c r="AW295" s="2">
        <f t="shared" ca="1" si="160"/>
        <v>0.70842233578966285</v>
      </c>
      <c r="AX295" s="2">
        <f t="shared" ca="1" si="161"/>
        <v>5.3376738400872883E-2</v>
      </c>
      <c r="AY295" s="9">
        <f t="shared" ca="1" si="162"/>
        <v>0.70842233578966285</v>
      </c>
      <c r="AZ295" s="9">
        <f t="shared" ca="1" si="163"/>
        <v>0.70842233578966285</v>
      </c>
      <c r="BB295" s="2">
        <f t="shared" ca="1" si="164"/>
        <v>8.7035145819936872</v>
      </c>
      <c r="BC295" s="2">
        <f t="shared" ca="1" si="165"/>
        <v>0.40097050628685738</v>
      </c>
      <c r="BD295" s="2">
        <f t="shared" ca="1" si="166"/>
        <v>1.8007041868595779E-4</v>
      </c>
      <c r="BE295" s="2">
        <f t="shared" ca="1" si="167"/>
        <v>0.19326066401316899</v>
      </c>
      <c r="BF295" s="2">
        <f t="shared" ca="1" si="168"/>
        <v>0.70793945386158774</v>
      </c>
      <c r="BG295" s="2">
        <f t="shared" ca="1" si="169"/>
        <v>5.2919063456177272E-2</v>
      </c>
      <c r="BH295" s="2">
        <f t="shared" ca="1" si="170"/>
        <v>0.70793945386158774</v>
      </c>
      <c r="BI295" s="2">
        <f t="shared" ca="1" si="171"/>
        <v>0.70793945386158774</v>
      </c>
    </row>
    <row r="296" spans="1:61" ht="15" x14ac:dyDescent="0.25">
      <c r="A296" s="66">
        <v>230</v>
      </c>
      <c r="B296" s="66">
        <v>1498730240.658</v>
      </c>
      <c r="C296" s="67">
        <v>-3.02369194784492E-5</v>
      </c>
      <c r="D296" s="67">
        <v>6.3105040172157101E-7</v>
      </c>
      <c r="E296" s="67">
        <v>1.38616979544009E-2</v>
      </c>
      <c r="F296" s="67">
        <v>4.0663820138199698E-4</v>
      </c>
      <c r="G296" s="67">
        <v>2.9366878616444499E-5</v>
      </c>
      <c r="H296" s="67">
        <v>0.25619083861505698</v>
      </c>
      <c r="I296" s="67">
        <v>6.3105040172157101E-7</v>
      </c>
      <c r="J296" s="67">
        <v>0.18500816331926101</v>
      </c>
      <c r="K296" s="67">
        <v>2.2250059445404</v>
      </c>
      <c r="L296" s="67"/>
      <c r="M296" s="67"/>
      <c r="O296" s="11">
        <f t="shared" ca="1" si="129"/>
        <v>-4.3040850188409224E-5</v>
      </c>
      <c r="P296" s="11">
        <f t="shared" ca="1" si="130"/>
        <v>-1.340498285831694E-7</v>
      </c>
      <c r="Q296" s="11">
        <f t="shared" ca="1" si="131"/>
        <v>1.3025206342132615E-2</v>
      </c>
      <c r="R296" s="11">
        <f t="shared" ca="1" si="132"/>
        <v>3.9499171373564987E-4</v>
      </c>
      <c r="S296" s="11">
        <f t="shared" ca="1" si="133"/>
        <v>1.8439226569474375E-5</v>
      </c>
      <c r="T296" s="11">
        <f t="shared" ca="1" si="134"/>
        <v>0.25505228357647469</v>
      </c>
      <c r="U296" s="11">
        <f t="shared" ca="1" si="135"/>
        <v>-1.340498285831694E-7</v>
      </c>
      <c r="V296" s="11">
        <f t="shared" ca="1" si="136"/>
        <v>0.18435796731356724</v>
      </c>
      <c r="W296" s="11">
        <f t="shared" ca="1" si="137"/>
        <v>2.2178830962768949</v>
      </c>
      <c r="X296" s="11"/>
      <c r="Y296" s="2">
        <f t="shared" ca="1" si="138"/>
        <v>-4.3040850188409224E-5</v>
      </c>
      <c r="Z296" s="11">
        <f t="shared" ca="1" si="139"/>
        <v>-1.340498285831694E-7</v>
      </c>
      <c r="AA296" s="2">
        <f t="shared" ca="1" si="140"/>
        <v>1.3025206342132615E-2</v>
      </c>
      <c r="AB296" s="2">
        <f t="shared" ca="1" si="141"/>
        <v>3.9499171373564987E-4</v>
      </c>
      <c r="AC296" s="2">
        <f t="shared" ca="1" si="142"/>
        <v>1.8439226569474375E-5</v>
      </c>
      <c r="AD296" s="2">
        <f t="shared" ca="1" si="143"/>
        <v>0.25505228357647469</v>
      </c>
      <c r="AE296" s="2">
        <f t="shared" ca="1" si="144"/>
        <v>-1.340498285831694E-7</v>
      </c>
      <c r="AF296" s="2">
        <f t="shared" ca="1" si="145"/>
        <v>0.18435796731356724</v>
      </c>
      <c r="AG296" s="2">
        <f t="shared" ca="1" si="146"/>
        <v>2.2178830962768949</v>
      </c>
      <c r="AI296" s="2">
        <f t="shared" ca="1" si="147"/>
        <v>-4.3040850188409224E-5</v>
      </c>
      <c r="AJ296" s="11">
        <f t="shared" ca="1" si="148"/>
        <v>-1.340498285831694E-7</v>
      </c>
      <c r="AK296" s="2">
        <f t="shared" ca="1" si="149"/>
        <v>1.3025206342132615E-2</v>
      </c>
      <c r="AL296" s="2">
        <f t="shared" ca="1" si="150"/>
        <v>3.9499171373564987E-4</v>
      </c>
      <c r="AM296" s="2">
        <f t="shared" ca="1" si="151"/>
        <v>1.8439226569474375E-5</v>
      </c>
      <c r="AN296" s="2">
        <f t="shared" ca="1" si="152"/>
        <v>0.25505228357647469</v>
      </c>
      <c r="AO296" s="2">
        <f t="shared" ca="1" si="153"/>
        <v>-1.340498285831694E-7</v>
      </c>
      <c r="AP296" s="2">
        <f t="shared" ca="1" si="154"/>
        <v>0.18435796731356724</v>
      </c>
      <c r="AQ296" s="2">
        <f t="shared" ca="1" si="155"/>
        <v>2.2178830962768949</v>
      </c>
      <c r="AS296" s="2">
        <f t="shared" ca="1" si="156"/>
        <v>8.6957978386885788</v>
      </c>
      <c r="AT296" s="2">
        <f t="shared" ca="1" si="157"/>
        <v>0.40061068631709784</v>
      </c>
      <c r="AU296" s="2">
        <f t="shared" ca="1" si="158"/>
        <v>1.5823790152920533E-4</v>
      </c>
      <c r="AV296" s="2">
        <f t="shared" ca="1" si="159"/>
        <v>0.18419972941203802</v>
      </c>
      <c r="AW296" s="2">
        <f t="shared" ca="1" si="160"/>
        <v>0.7086703468912634</v>
      </c>
      <c r="AX296" s="2">
        <f t="shared" ca="1" si="161"/>
        <v>5.3069925741083449E-2</v>
      </c>
      <c r="AY296" s="9">
        <f t="shared" ca="1" si="162"/>
        <v>0.7086703468912634</v>
      </c>
      <c r="AZ296" s="9">
        <f t="shared" ca="1" si="163"/>
        <v>0.7086703468912634</v>
      </c>
      <c r="BB296" s="2">
        <f t="shared" ca="1" si="164"/>
        <v>8.6957978386885788</v>
      </c>
      <c r="BC296" s="2">
        <f t="shared" ca="1" si="165"/>
        <v>0.40061068631709784</v>
      </c>
      <c r="BD296" s="2">
        <f t="shared" ca="1" si="166"/>
        <v>1.5823790152920533E-4</v>
      </c>
      <c r="BE296" s="2">
        <f t="shared" ca="1" si="167"/>
        <v>0.18419972941203802</v>
      </c>
      <c r="BF296" s="2">
        <f t="shared" ca="1" si="168"/>
        <v>0.7086703468912634</v>
      </c>
      <c r="BG296" s="2">
        <f t="shared" ca="1" si="169"/>
        <v>5.3069925741083449E-2</v>
      </c>
      <c r="BH296" s="2">
        <f t="shared" ca="1" si="170"/>
        <v>0.7086703468912634</v>
      </c>
      <c r="BI296" s="2">
        <f t="shared" ca="1" si="171"/>
        <v>0.7086703468912634</v>
      </c>
    </row>
    <row r="297" spans="1:61" ht="15" x14ac:dyDescent="0.25">
      <c r="A297" s="66">
        <v>231</v>
      </c>
      <c r="B297" s="66">
        <v>1498730241.1849999</v>
      </c>
      <c r="C297" s="67">
        <v>1.7715620432701799E-5</v>
      </c>
      <c r="D297" s="67">
        <v>6.9133711748119606E-5</v>
      </c>
      <c r="E297" s="67">
        <v>1.4516734578232901E-2</v>
      </c>
      <c r="F297" s="67">
        <v>4.8542993835786499E-4</v>
      </c>
      <c r="G297" s="67">
        <v>4.3189985655161801E-5</v>
      </c>
      <c r="H297" s="67">
        <v>0.26878993270360702</v>
      </c>
      <c r="I297" s="67">
        <v>6.9133711748119606E-5</v>
      </c>
      <c r="J297" s="67">
        <v>0.193911042427306</v>
      </c>
      <c r="K297" s="67">
        <v>2.3294932646837099</v>
      </c>
      <c r="L297" s="67"/>
      <c r="M297" s="67"/>
      <c r="O297" s="11">
        <f t="shared" ca="1" si="129"/>
        <v>4.911689722741771E-6</v>
      </c>
      <c r="P297" s="11">
        <f t="shared" ca="1" si="130"/>
        <v>6.8368611517814868E-5</v>
      </c>
      <c r="Q297" s="11">
        <f t="shared" ca="1" si="131"/>
        <v>1.3680242965964616E-2</v>
      </c>
      <c r="R297" s="11">
        <f t="shared" ca="1" si="132"/>
        <v>4.7378345071151789E-4</v>
      </c>
      <c r="S297" s="11">
        <f t="shared" ca="1" si="133"/>
        <v>3.226233360819168E-5</v>
      </c>
      <c r="T297" s="11">
        <f t="shared" ca="1" si="134"/>
        <v>0.26765137766502473</v>
      </c>
      <c r="U297" s="11">
        <f t="shared" ca="1" si="135"/>
        <v>6.8368611517814868E-5</v>
      </c>
      <c r="V297" s="11">
        <f t="shared" ca="1" si="136"/>
        <v>0.19326084642161223</v>
      </c>
      <c r="W297" s="11">
        <f t="shared" ca="1" si="137"/>
        <v>2.3223704164202048</v>
      </c>
      <c r="X297" s="11"/>
      <c r="Y297" s="2">
        <f t="shared" ca="1" si="138"/>
        <v>4.911689722741771E-6</v>
      </c>
      <c r="Z297" s="11">
        <f t="shared" ca="1" si="139"/>
        <v>6.8368611517814868E-5</v>
      </c>
      <c r="AA297" s="2">
        <f t="shared" ca="1" si="140"/>
        <v>1.3679719894925741E-2</v>
      </c>
      <c r="AB297" s="2">
        <f t="shared" ca="1" si="141"/>
        <v>4.6112275397512567E-4</v>
      </c>
      <c r="AC297" s="2">
        <f t="shared" ca="1" si="142"/>
        <v>3.226233360819168E-5</v>
      </c>
      <c r="AD297" s="2">
        <f t="shared" ca="1" si="143"/>
        <v>0.26755930527420468</v>
      </c>
      <c r="AE297" s="2">
        <f t="shared" ca="1" si="144"/>
        <v>6.8368611517814868E-5</v>
      </c>
      <c r="AF297" s="2">
        <f t="shared" ca="1" si="145"/>
        <v>0.19312487767145028</v>
      </c>
      <c r="AG297" s="2">
        <f t="shared" ca="1" si="146"/>
        <v>2.3223152434644403</v>
      </c>
      <c r="AI297" s="2">
        <f t="shared" ca="1" si="147"/>
        <v>4.911689722741771E-6</v>
      </c>
      <c r="AJ297" s="11">
        <f t="shared" ca="1" si="148"/>
        <v>6.8368611517814868E-5</v>
      </c>
      <c r="AK297" s="2">
        <f t="shared" ca="1" si="149"/>
        <v>1.3599057583339264E-2</v>
      </c>
      <c r="AL297" s="2">
        <f t="shared" ca="1" si="150"/>
        <v>4.2336942285990642E-4</v>
      </c>
      <c r="AM297" s="2">
        <f t="shared" ca="1" si="151"/>
        <v>3.226233360819168E-5</v>
      </c>
      <c r="AN297" s="2">
        <f t="shared" ca="1" si="152"/>
        <v>0.26755930527420468</v>
      </c>
      <c r="AO297" s="2">
        <f t="shared" ca="1" si="153"/>
        <v>6.8368611517814868E-5</v>
      </c>
      <c r="AP297" s="2">
        <f t="shared" ca="1" si="154"/>
        <v>0.19312487767145028</v>
      </c>
      <c r="AQ297" s="2">
        <f t="shared" ca="1" si="155"/>
        <v>2.3223152434644403</v>
      </c>
      <c r="AS297" s="2">
        <f t="shared" ca="1" si="156"/>
        <v>8.676848356546607</v>
      </c>
      <c r="AT297" s="2">
        <f t="shared" ca="1" si="157"/>
        <v>0.39972711730779609</v>
      </c>
      <c r="AU297" s="2">
        <f t="shared" ca="1" si="158"/>
        <v>1.8938409298105532E-4</v>
      </c>
      <c r="AV297" s="2">
        <f t="shared" ca="1" si="159"/>
        <v>0.19307146232863118</v>
      </c>
      <c r="AW297" s="2">
        <f t="shared" ca="1" si="160"/>
        <v>0.70861478585575832</v>
      </c>
      <c r="AX297" s="2">
        <f t="shared" ca="1" si="161"/>
        <v>5.2996593667363083E-2</v>
      </c>
      <c r="AY297" s="9">
        <f t="shared" ca="1" si="162"/>
        <v>0.70861478585575832</v>
      </c>
      <c r="AZ297" s="9">
        <f t="shared" ca="1" si="163"/>
        <v>0.70861478585575832</v>
      </c>
      <c r="BB297" s="2">
        <f t="shared" ca="1" si="164"/>
        <v>8.6796280214752599</v>
      </c>
      <c r="BC297" s="2">
        <f t="shared" ca="1" si="165"/>
        <v>0.39985672496860791</v>
      </c>
      <c r="BD297" s="2">
        <f t="shared" ca="1" si="166"/>
        <v>1.6928711087661185E-4</v>
      </c>
      <c r="BE297" s="2">
        <f t="shared" ca="1" si="167"/>
        <v>0.19295559056057368</v>
      </c>
      <c r="BF297" s="2">
        <f t="shared" ca="1" si="168"/>
        <v>0.70831895005302026</v>
      </c>
      <c r="BG297" s="2">
        <f t="shared" ca="1" si="169"/>
        <v>5.2717489724547456E-2</v>
      </c>
      <c r="BH297" s="2">
        <f t="shared" ca="1" si="170"/>
        <v>0.70831895005302026</v>
      </c>
      <c r="BI297" s="2">
        <f t="shared" ca="1" si="171"/>
        <v>0.70831895005302026</v>
      </c>
    </row>
    <row r="298" spans="1:61" ht="15" x14ac:dyDescent="0.25">
      <c r="A298" s="66">
        <v>232</v>
      </c>
      <c r="B298" s="66">
        <v>1498730241.711</v>
      </c>
      <c r="C298" s="67">
        <v>7.0855471180362303E-6</v>
      </c>
      <c r="D298" s="67">
        <v>5.7504538620312201E-5</v>
      </c>
      <c r="E298" s="67">
        <v>1.5222508214444701E-2</v>
      </c>
      <c r="F298" s="67">
        <v>5.0733086034885396E-4</v>
      </c>
      <c r="G298" s="67">
        <v>2.00513801943704E-4</v>
      </c>
      <c r="H298" s="67">
        <v>0.279916488205884</v>
      </c>
      <c r="I298" s="67">
        <v>5.7504538620312201E-5</v>
      </c>
      <c r="J298" s="67">
        <v>0.20210338534929301</v>
      </c>
      <c r="K298" s="67">
        <v>2.4297977689836499</v>
      </c>
      <c r="L298" s="67"/>
      <c r="M298" s="67"/>
      <c r="O298" s="11">
        <f t="shared" ca="1" si="129"/>
        <v>-5.7183835919237975E-6</v>
      </c>
      <c r="P298" s="11">
        <f t="shared" ca="1" si="130"/>
        <v>5.6739438390007462E-5</v>
      </c>
      <c r="Q298" s="11">
        <f t="shared" ca="1" si="131"/>
        <v>1.4386016602176416E-2</v>
      </c>
      <c r="R298" s="11">
        <f t="shared" ca="1" si="132"/>
        <v>4.956843727025068E-4</v>
      </c>
      <c r="S298" s="11">
        <f t="shared" ca="1" si="133"/>
        <v>1.8958614989673388E-4</v>
      </c>
      <c r="T298" s="11">
        <f t="shared" ca="1" si="134"/>
        <v>0.27877793316730171</v>
      </c>
      <c r="U298" s="11">
        <f t="shared" ca="1" si="135"/>
        <v>5.6739438390007462E-5</v>
      </c>
      <c r="V298" s="11">
        <f t="shared" ca="1" si="136"/>
        <v>0.20145318934359924</v>
      </c>
      <c r="W298" s="11">
        <f t="shared" ca="1" si="137"/>
        <v>2.4226749207201448</v>
      </c>
      <c r="X298" s="11"/>
      <c r="Y298" s="2">
        <f t="shared" ca="1" si="138"/>
        <v>-5.7183835919237975E-6</v>
      </c>
      <c r="Z298" s="11">
        <f t="shared" ca="1" si="139"/>
        <v>5.6739438390007462E-5</v>
      </c>
      <c r="AA298" s="2">
        <f t="shared" ca="1" si="140"/>
        <v>1.4385582503014169E-2</v>
      </c>
      <c r="AB298" s="2">
        <f t="shared" ca="1" si="141"/>
        <v>4.8517719979814102E-4</v>
      </c>
      <c r="AC298" s="2">
        <f t="shared" ca="1" si="142"/>
        <v>1.8958614989673388E-4</v>
      </c>
      <c r="AD298" s="2">
        <f t="shared" ca="1" si="143"/>
        <v>0.27870152184885633</v>
      </c>
      <c r="AE298" s="2">
        <f t="shared" ca="1" si="144"/>
        <v>5.6739438390007462E-5</v>
      </c>
      <c r="AF298" s="2">
        <f t="shared" ca="1" si="145"/>
        <v>0.20134034822614039</v>
      </c>
      <c r="AG298" s="2">
        <f t="shared" ca="1" si="146"/>
        <v>2.4226291324197113</v>
      </c>
      <c r="AI298" s="2">
        <f t="shared" ca="1" si="147"/>
        <v>-5.7183835919237975E-6</v>
      </c>
      <c r="AJ298" s="11">
        <f t="shared" ca="1" si="148"/>
        <v>5.6739438390007462E-5</v>
      </c>
      <c r="AK298" s="2">
        <f t="shared" ca="1" si="149"/>
        <v>1.4318640464013363E-2</v>
      </c>
      <c r="AL298" s="2">
        <f t="shared" ca="1" si="150"/>
        <v>4.5384552935356329E-4</v>
      </c>
      <c r="AM298" s="2">
        <f t="shared" ca="1" si="151"/>
        <v>1.8958614989673388E-4</v>
      </c>
      <c r="AN298" s="2">
        <f t="shared" ca="1" si="152"/>
        <v>0.27870152184885633</v>
      </c>
      <c r="AO298" s="2">
        <f t="shared" ca="1" si="153"/>
        <v>5.6739438390007462E-5</v>
      </c>
      <c r="AP298" s="2">
        <f t="shared" ca="1" si="154"/>
        <v>0.20134034822614039</v>
      </c>
      <c r="AQ298" s="2">
        <f t="shared" ca="1" si="155"/>
        <v>2.4226291324197113</v>
      </c>
      <c r="AS298" s="2">
        <f t="shared" ca="1" si="156"/>
        <v>8.6903396305267684</v>
      </c>
      <c r="AT298" s="2">
        <f t="shared" ca="1" si="157"/>
        <v>0.4003561807343039</v>
      </c>
      <c r="AU298" s="2">
        <f t="shared" ca="1" si="158"/>
        <v>1.9845030230485487E-4</v>
      </c>
      <c r="AV298" s="2">
        <f t="shared" ca="1" si="159"/>
        <v>0.20125473904129437</v>
      </c>
      <c r="AW298" s="2">
        <f t="shared" ca="1" si="160"/>
        <v>0.70861368173617556</v>
      </c>
      <c r="AX298" s="2">
        <f t="shared" ca="1" si="161"/>
        <v>5.3591538182503132E-2</v>
      </c>
      <c r="AY298" s="9">
        <f t="shared" ca="1" si="162"/>
        <v>0.70861368173617556</v>
      </c>
      <c r="AZ298" s="9">
        <f t="shared" ca="1" si="163"/>
        <v>0.70861368173617556</v>
      </c>
      <c r="BB298" s="2">
        <f t="shared" ca="1" si="164"/>
        <v>8.6925579607474717</v>
      </c>
      <c r="BC298" s="2">
        <f t="shared" ca="1" si="165"/>
        <v>0.4004596169047176</v>
      </c>
      <c r="BD298" s="2">
        <f t="shared" ca="1" si="166"/>
        <v>1.8174680681884672E-4</v>
      </c>
      <c r="BE298" s="2">
        <f t="shared" ca="1" si="167"/>
        <v>0.20115860141932154</v>
      </c>
      <c r="BF298" s="2">
        <f t="shared" ca="1" si="168"/>
        <v>0.70837831460439826</v>
      </c>
      <c r="BG298" s="2">
        <f t="shared" ca="1" si="169"/>
        <v>5.3369105762815519E-2</v>
      </c>
      <c r="BH298" s="2">
        <f t="shared" ca="1" si="170"/>
        <v>0.70837831460439826</v>
      </c>
      <c r="BI298" s="2">
        <f t="shared" ca="1" si="171"/>
        <v>0.70837831460439826</v>
      </c>
    </row>
    <row r="299" spans="1:61" ht="15" x14ac:dyDescent="0.25">
      <c r="A299" s="66">
        <v>233</v>
      </c>
      <c r="B299" s="66">
        <v>1498730242.2379999</v>
      </c>
      <c r="C299" s="67">
        <v>3.2361685777444797E-5</v>
      </c>
      <c r="D299" s="67">
        <v>-1.00937029131875E-4</v>
      </c>
      <c r="E299" s="67">
        <v>1.4108945579903999E-2</v>
      </c>
      <c r="F299" s="67">
        <v>3.8616764942799698E-4</v>
      </c>
      <c r="G299" s="67">
        <v>3.9775239493740897E-5</v>
      </c>
      <c r="H299" s="67">
        <v>0.26133549497577302</v>
      </c>
      <c r="I299" s="67">
        <v>-1.00937029131875E-4</v>
      </c>
      <c r="J299" s="67">
        <v>0.18879427554026601</v>
      </c>
      <c r="K299" s="67">
        <v>2.27022871296536</v>
      </c>
      <c r="L299" s="67"/>
      <c r="M299" s="67"/>
      <c r="O299" s="11">
        <f t="shared" ca="1" si="129"/>
        <v>1.955775506748477E-5</v>
      </c>
      <c r="P299" s="11">
        <f t="shared" ca="1" si="130"/>
        <v>-1.0170212936217974E-4</v>
      </c>
      <c r="Q299" s="11">
        <f t="shared" ca="1" si="131"/>
        <v>1.3272453967635715E-2</v>
      </c>
      <c r="R299" s="11">
        <f t="shared" ca="1" si="132"/>
        <v>3.7452116178164987E-4</v>
      </c>
      <c r="S299" s="11">
        <f t="shared" ca="1" si="133"/>
        <v>2.8847587446770776E-5</v>
      </c>
      <c r="T299" s="11">
        <f t="shared" ca="1" si="134"/>
        <v>0.26019693993719073</v>
      </c>
      <c r="U299" s="11">
        <f t="shared" ca="1" si="135"/>
        <v>-1.0170212936217974E-4</v>
      </c>
      <c r="V299" s="11">
        <f t="shared" ca="1" si="136"/>
        <v>0.18814407953457224</v>
      </c>
      <c r="W299" s="11">
        <f t="shared" ca="1" si="137"/>
        <v>2.2631058647018549</v>
      </c>
      <c r="X299" s="11"/>
      <c r="Y299" s="2">
        <f t="shared" ca="1" si="138"/>
        <v>1.955775506748477E-5</v>
      </c>
      <c r="Z299" s="11">
        <f t="shared" ca="1" si="139"/>
        <v>-1.0170212936217974E-4</v>
      </c>
      <c r="AA299" s="2">
        <f t="shared" ca="1" si="140"/>
        <v>1.3272453967635715E-2</v>
      </c>
      <c r="AB299" s="2">
        <f t="shared" ca="1" si="141"/>
        <v>3.7452116178164987E-4</v>
      </c>
      <c r="AC299" s="2">
        <f t="shared" ca="1" si="142"/>
        <v>2.8847587446770776E-5</v>
      </c>
      <c r="AD299" s="2">
        <f t="shared" ca="1" si="143"/>
        <v>0.26019693993719073</v>
      </c>
      <c r="AE299" s="2">
        <f t="shared" ca="1" si="144"/>
        <v>-1.0170212936217974E-4</v>
      </c>
      <c r="AF299" s="2">
        <f t="shared" ca="1" si="145"/>
        <v>0.18814407953457224</v>
      </c>
      <c r="AG299" s="2">
        <f t="shared" ca="1" si="146"/>
        <v>2.2631058647018549</v>
      </c>
      <c r="AI299" s="2">
        <f t="shared" ca="1" si="147"/>
        <v>1.955775506748477E-5</v>
      </c>
      <c r="AJ299" s="11">
        <f t="shared" ca="1" si="148"/>
        <v>-1.0170212936217974E-4</v>
      </c>
      <c r="AK299" s="2">
        <f t="shared" ca="1" si="149"/>
        <v>1.3272453967635715E-2</v>
      </c>
      <c r="AL299" s="2">
        <f t="shared" ca="1" si="150"/>
        <v>3.7452116178164987E-4</v>
      </c>
      <c r="AM299" s="2">
        <f t="shared" ca="1" si="151"/>
        <v>2.8847587446770776E-5</v>
      </c>
      <c r="AN299" s="2">
        <f t="shared" ca="1" si="152"/>
        <v>0.26019693993719073</v>
      </c>
      <c r="AO299" s="2">
        <f t="shared" ca="1" si="153"/>
        <v>-1.0170212936217974E-4</v>
      </c>
      <c r="AP299" s="2">
        <f t="shared" ca="1" si="154"/>
        <v>0.18814407953457224</v>
      </c>
      <c r="AQ299" s="2">
        <f t="shared" ca="1" si="155"/>
        <v>2.2631058647018549</v>
      </c>
      <c r="AS299" s="2">
        <f t="shared" ca="1" si="156"/>
        <v>8.6976651810284515</v>
      </c>
      <c r="AT299" s="2">
        <f t="shared" ca="1" si="157"/>
        <v>0.40069775728703588</v>
      </c>
      <c r="AU299" s="2">
        <f t="shared" ca="1" si="158"/>
        <v>1.5006978958244225E-4</v>
      </c>
      <c r="AV299" s="2">
        <f t="shared" ca="1" si="159"/>
        <v>0.18799400974498981</v>
      </c>
      <c r="AW299" s="2">
        <f t="shared" ca="1" si="160"/>
        <v>0.70889082458885977</v>
      </c>
      <c r="AX299" s="2">
        <f t="shared" ca="1" si="161"/>
        <v>5.30197341907356E-2</v>
      </c>
      <c r="AY299" s="9">
        <f t="shared" ca="1" si="162"/>
        <v>0.70889082458885977</v>
      </c>
      <c r="AZ299" s="9">
        <f t="shared" ca="1" si="163"/>
        <v>0.70889082458885977</v>
      </c>
      <c r="BB299" s="2">
        <f t="shared" ca="1" si="164"/>
        <v>8.6976651810284515</v>
      </c>
      <c r="BC299" s="2">
        <f t="shared" ca="1" si="165"/>
        <v>0.40069775728703588</v>
      </c>
      <c r="BD299" s="2">
        <f t="shared" ca="1" si="166"/>
        <v>1.5006978958244225E-4</v>
      </c>
      <c r="BE299" s="2">
        <f t="shared" ca="1" si="167"/>
        <v>0.18799400974498981</v>
      </c>
      <c r="BF299" s="2">
        <f t="shared" ca="1" si="168"/>
        <v>0.70889082458885977</v>
      </c>
      <c r="BG299" s="2">
        <f t="shared" ca="1" si="169"/>
        <v>5.30197341907356E-2</v>
      </c>
      <c r="BH299" s="2">
        <f t="shared" ca="1" si="170"/>
        <v>0.70889082458885977</v>
      </c>
      <c r="BI299" s="2">
        <f t="shared" ca="1" si="171"/>
        <v>0.70889082458885977</v>
      </c>
    </row>
    <row r="300" spans="1:61" ht="15" x14ac:dyDescent="0.25">
      <c r="A300" s="66">
        <v>234</v>
      </c>
      <c r="B300" s="66">
        <v>1498730242.7650001</v>
      </c>
      <c r="C300" s="67">
        <v>1.0628892235247599E-5</v>
      </c>
      <c r="D300" s="67">
        <v>7.5524200656340899E-6</v>
      </c>
      <c r="E300" s="67">
        <v>1.4162021237537801E-2</v>
      </c>
      <c r="F300" s="67">
        <v>3.6212718803327998E-4</v>
      </c>
      <c r="G300" s="67">
        <v>-1.08844118907619E-4</v>
      </c>
      <c r="H300" s="67">
        <v>0.262652853301791</v>
      </c>
      <c r="I300" s="67">
        <v>7.5524200656340899E-6</v>
      </c>
      <c r="J300" s="67">
        <v>0.189738114068532</v>
      </c>
      <c r="K300" s="67">
        <v>2.2808654703053501</v>
      </c>
      <c r="L300" s="67"/>
      <c r="M300" s="67"/>
      <c r="O300" s="11">
        <f t="shared" ca="1" si="129"/>
        <v>-2.1750384747124283E-6</v>
      </c>
      <c r="P300" s="11">
        <f t="shared" ca="1" si="130"/>
        <v>6.7873198353293496E-6</v>
      </c>
      <c r="Q300" s="11">
        <f t="shared" ca="1" si="131"/>
        <v>1.3325529625269516E-2</v>
      </c>
      <c r="R300" s="11">
        <f t="shared" ca="1" si="132"/>
        <v>3.5048070038693288E-4</v>
      </c>
      <c r="S300" s="11">
        <f t="shared" ca="1" si="133"/>
        <v>-1.1977177095458913E-4</v>
      </c>
      <c r="T300" s="11">
        <f t="shared" ca="1" si="134"/>
        <v>0.26151429826320871</v>
      </c>
      <c r="U300" s="11">
        <f t="shared" ca="1" si="135"/>
        <v>6.7873198353293496E-6</v>
      </c>
      <c r="V300" s="11">
        <f t="shared" ca="1" si="136"/>
        <v>0.18908791806283823</v>
      </c>
      <c r="W300" s="11">
        <f t="shared" ca="1" si="137"/>
        <v>2.2737426220418451</v>
      </c>
      <c r="X300" s="11"/>
      <c r="Y300" s="2">
        <f t="shared" ca="1" si="138"/>
        <v>-2.1750384747124283E-6</v>
      </c>
      <c r="Z300" s="11">
        <f t="shared" ca="1" si="139"/>
        <v>6.7873198353293496E-6</v>
      </c>
      <c r="AA300" s="2">
        <f t="shared" ca="1" si="140"/>
        <v>1.3325477697193772E-2</v>
      </c>
      <c r="AB300" s="2">
        <f t="shared" ca="1" si="141"/>
        <v>3.4922380491720972E-4</v>
      </c>
      <c r="AC300" s="2">
        <f t="shared" ca="1" si="142"/>
        <v>-1.1977177095458913E-4</v>
      </c>
      <c r="AD300" s="2">
        <f t="shared" ca="1" si="143"/>
        <v>0.26150515774169414</v>
      </c>
      <c r="AE300" s="2">
        <f t="shared" ca="1" si="144"/>
        <v>6.7873198353293496E-6</v>
      </c>
      <c r="AF300" s="2">
        <f t="shared" ca="1" si="145"/>
        <v>0.18907441971360353</v>
      </c>
      <c r="AG300" s="2">
        <f t="shared" ca="1" si="146"/>
        <v>2.2737371447257386</v>
      </c>
      <c r="AI300" s="2">
        <f t="shared" ca="1" si="147"/>
        <v>-2.1750384747124283E-6</v>
      </c>
      <c r="AJ300" s="11">
        <f t="shared" ca="1" si="148"/>
        <v>6.7873198353293496E-6</v>
      </c>
      <c r="AK300" s="2">
        <f t="shared" ca="1" si="149"/>
        <v>1.3317469915622082E-2</v>
      </c>
      <c r="AL300" s="2">
        <f t="shared" ca="1" si="150"/>
        <v>3.4547582865384339E-4</v>
      </c>
      <c r="AM300" s="2">
        <f t="shared" ca="1" si="151"/>
        <v>-1.1977177095458913E-4</v>
      </c>
      <c r="AN300" s="2">
        <f t="shared" ca="1" si="152"/>
        <v>0.26150515774169414</v>
      </c>
      <c r="AO300" s="2">
        <f t="shared" ca="1" si="153"/>
        <v>6.7873198353293496E-6</v>
      </c>
      <c r="AP300" s="2">
        <f t="shared" ca="1" si="154"/>
        <v>0.18907441971360353</v>
      </c>
      <c r="AQ300" s="2">
        <f t="shared" ca="1" si="155"/>
        <v>2.2737371447257386</v>
      </c>
      <c r="AS300" s="2">
        <f t="shared" ca="1" si="156"/>
        <v>8.6945250685810311</v>
      </c>
      <c r="AT300" s="2">
        <f t="shared" ca="1" si="157"/>
        <v>0.40055133936034276</v>
      </c>
      <c r="AU300" s="2">
        <f t="shared" ca="1" si="158"/>
        <v>1.4038551395993695E-4</v>
      </c>
      <c r="AV300" s="2">
        <f t="shared" ca="1" si="159"/>
        <v>0.18894753254887828</v>
      </c>
      <c r="AW300" s="2">
        <f t="shared" ca="1" si="160"/>
        <v>0.70902620885698298</v>
      </c>
      <c r="AX300" s="2">
        <f t="shared" ca="1" si="161"/>
        <v>5.2944039740633837E-2</v>
      </c>
      <c r="AY300" s="9">
        <f t="shared" ca="1" si="162"/>
        <v>0.70902620885698298</v>
      </c>
      <c r="AZ300" s="9">
        <f t="shared" ca="1" si="163"/>
        <v>0.70902620885698298</v>
      </c>
      <c r="BB300" s="2">
        <f t="shared" ca="1" si="164"/>
        <v>8.6948080273493442</v>
      </c>
      <c r="BC300" s="2">
        <f t="shared" ca="1" si="165"/>
        <v>0.40056453320430102</v>
      </c>
      <c r="BD300" s="2">
        <f t="shared" ca="1" si="166"/>
        <v>1.3838536403809585E-4</v>
      </c>
      <c r="BE300" s="2">
        <f t="shared" ca="1" si="167"/>
        <v>0.18893603434956543</v>
      </c>
      <c r="BF300" s="2">
        <f t="shared" ca="1" si="168"/>
        <v>0.70899622349709635</v>
      </c>
      <c r="BG300" s="2">
        <f t="shared" ca="1" si="169"/>
        <v>5.2915629033356434E-2</v>
      </c>
      <c r="BH300" s="2">
        <f t="shared" ca="1" si="170"/>
        <v>0.70899622349709635</v>
      </c>
      <c r="BI300" s="2">
        <f t="shared" ca="1" si="171"/>
        <v>0.70899622349709635</v>
      </c>
    </row>
    <row r="301" spans="1:61" ht="15" x14ac:dyDescent="0.25">
      <c r="A301" s="66">
        <v>235</v>
      </c>
      <c r="B301" s="66">
        <v>1498730243.2920001</v>
      </c>
      <c r="C301" s="67">
        <v>-2.5748849025094199E-5</v>
      </c>
      <c r="D301" s="67">
        <v>6.3649866772710003E-5</v>
      </c>
      <c r="E301" s="67">
        <v>1.4418271065415499E-2</v>
      </c>
      <c r="F301" s="67">
        <v>3.8830989683816399E-4</v>
      </c>
      <c r="G301" s="67">
        <v>-5.17195855351414E-5</v>
      </c>
      <c r="H301" s="67">
        <v>0.26578521609840899</v>
      </c>
      <c r="I301" s="67">
        <v>6.3649866772710003E-5</v>
      </c>
      <c r="J301" s="67">
        <v>0.191836152066198</v>
      </c>
      <c r="K301" s="67">
        <v>2.30733022572629</v>
      </c>
      <c r="L301" s="67"/>
      <c r="M301" s="67"/>
      <c r="O301" s="11">
        <f t="shared" ca="1" si="129"/>
        <v>-3.8552779735054226E-5</v>
      </c>
      <c r="P301" s="11">
        <f t="shared" ca="1" si="130"/>
        <v>6.2884766542405264E-5</v>
      </c>
      <c r="Q301" s="11">
        <f t="shared" ca="1" si="131"/>
        <v>1.3581779453147215E-2</v>
      </c>
      <c r="R301" s="11">
        <f t="shared" ca="1" si="132"/>
        <v>3.7666340919181689E-4</v>
      </c>
      <c r="S301" s="11">
        <f t="shared" ca="1" si="133"/>
        <v>-6.2647237582111521E-5</v>
      </c>
      <c r="T301" s="11">
        <f t="shared" ca="1" si="134"/>
        <v>0.2646466610598267</v>
      </c>
      <c r="U301" s="11">
        <f t="shared" ca="1" si="135"/>
        <v>6.2884766542405264E-5</v>
      </c>
      <c r="V301" s="11">
        <f t="shared" ca="1" si="136"/>
        <v>0.19118595606050423</v>
      </c>
      <c r="W301" s="11">
        <f t="shared" ca="1" si="137"/>
        <v>2.3002073774627849</v>
      </c>
      <c r="X301" s="11"/>
      <c r="Y301" s="2">
        <f t="shared" ca="1" si="138"/>
        <v>-3.8552779735054226E-5</v>
      </c>
      <c r="Z301" s="11">
        <f t="shared" ca="1" si="139"/>
        <v>6.2884766542405264E-5</v>
      </c>
      <c r="AA301" s="2">
        <f t="shared" ca="1" si="140"/>
        <v>1.3581298337626006E-2</v>
      </c>
      <c r="AB301" s="2">
        <f t="shared" ca="1" si="141"/>
        <v>3.6501822668983264E-4</v>
      </c>
      <c r="AC301" s="2">
        <f t="shared" ca="1" si="142"/>
        <v>-6.2647237582111521E-5</v>
      </c>
      <c r="AD301" s="2">
        <f t="shared" ca="1" si="143"/>
        <v>0.26456197379365032</v>
      </c>
      <c r="AE301" s="2">
        <f t="shared" ca="1" si="144"/>
        <v>6.2884766542405264E-5</v>
      </c>
      <c r="AF301" s="2">
        <f t="shared" ca="1" si="145"/>
        <v>0.1910608933610991</v>
      </c>
      <c r="AG301" s="2">
        <f t="shared" ca="1" si="146"/>
        <v>2.3001566299287095</v>
      </c>
      <c r="AI301" s="2">
        <f t="shared" ca="1" si="147"/>
        <v>-3.8552779735054226E-5</v>
      </c>
      <c r="AJ301" s="11">
        <f t="shared" ca="1" si="148"/>
        <v>6.2884766542405264E-5</v>
      </c>
      <c r="AK301" s="2">
        <f t="shared" ca="1" si="149"/>
        <v>1.3507105948453897E-2</v>
      </c>
      <c r="AL301" s="2">
        <f t="shared" ca="1" si="150"/>
        <v>3.3029308951544286E-4</v>
      </c>
      <c r="AM301" s="2">
        <f t="shared" ca="1" si="151"/>
        <v>-6.2647237582111521E-5</v>
      </c>
      <c r="AN301" s="2">
        <f t="shared" ca="1" si="152"/>
        <v>0.26456197379365032</v>
      </c>
      <c r="AO301" s="2">
        <f t="shared" ca="1" si="153"/>
        <v>6.2884766542405264E-5</v>
      </c>
      <c r="AP301" s="2">
        <f t="shared" ca="1" si="154"/>
        <v>0.1910608933610991</v>
      </c>
      <c r="AQ301" s="2">
        <f t="shared" ca="1" si="155"/>
        <v>2.3001566299287095</v>
      </c>
      <c r="AS301" s="2">
        <f t="shared" ca="1" si="156"/>
        <v>8.6916168458395706</v>
      </c>
      <c r="AT301" s="2">
        <f t="shared" ca="1" si="157"/>
        <v>0.40041573461531166</v>
      </c>
      <c r="AU301" s="2">
        <f t="shared" ca="1" si="158"/>
        <v>1.5082195569424909E-4</v>
      </c>
      <c r="AV301" s="2">
        <f t="shared" ca="1" si="159"/>
        <v>0.19103513410480999</v>
      </c>
      <c r="AW301" s="2">
        <f t="shared" ca="1" si="160"/>
        <v>0.70849452594092632</v>
      </c>
      <c r="AX301" s="2">
        <f t="shared" ca="1" si="161"/>
        <v>5.3305205417873119E-2</v>
      </c>
      <c r="AY301" s="9">
        <f t="shared" ca="1" si="162"/>
        <v>0.70849452594092632</v>
      </c>
      <c r="AZ301" s="9">
        <f t="shared" ca="1" si="163"/>
        <v>0.70849452594092632</v>
      </c>
      <c r="BB301" s="2">
        <f t="shared" ca="1" si="164"/>
        <v>8.694207247345215</v>
      </c>
      <c r="BC301" s="2">
        <f t="shared" ca="1" si="165"/>
        <v>0.40053651995022233</v>
      </c>
      <c r="BD301" s="2">
        <f t="shared" ca="1" si="166"/>
        <v>1.3229444463812274E-4</v>
      </c>
      <c r="BE301" s="2">
        <f t="shared" ca="1" si="167"/>
        <v>0.190928598916461</v>
      </c>
      <c r="BF301" s="2">
        <f t="shared" ca="1" si="168"/>
        <v>0.70821979517462919</v>
      </c>
      <c r="BG301" s="2">
        <f t="shared" ca="1" si="169"/>
        <v>5.3045271336669995E-2</v>
      </c>
      <c r="BH301" s="2">
        <f t="shared" ca="1" si="170"/>
        <v>0.70821979517462919</v>
      </c>
      <c r="BI301" s="2">
        <f t="shared" ca="1" si="171"/>
        <v>0.70821979517462919</v>
      </c>
    </row>
    <row r="302" spans="1:61" ht="15" x14ac:dyDescent="0.25">
      <c r="A302" s="66">
        <v>236</v>
      </c>
      <c r="B302" s="66">
        <v>1498730243.819</v>
      </c>
      <c r="C302" s="67">
        <v>-1.25207337984591E-5</v>
      </c>
      <c r="D302" s="67">
        <v>-4.12175899936257E-5</v>
      </c>
      <c r="E302" s="67">
        <v>1.49691913457362E-2</v>
      </c>
      <c r="F302" s="67">
        <v>5.2923226253472305E-4</v>
      </c>
      <c r="G302" s="67">
        <v>8.6909151951308094E-5</v>
      </c>
      <c r="H302" s="67">
        <v>0.27506957726313502</v>
      </c>
      <c r="I302" s="67">
        <v>-4.12175899936257E-5</v>
      </c>
      <c r="J302" s="67">
        <v>0.19864830279846299</v>
      </c>
      <c r="K302" s="67">
        <v>2.3862617707794498</v>
      </c>
      <c r="L302" s="67"/>
      <c r="M302" s="67"/>
      <c r="O302" s="11">
        <f t="shared" ca="1" si="129"/>
        <v>-2.5324664508419126E-5</v>
      </c>
      <c r="P302" s="11">
        <f t="shared" ca="1" si="130"/>
        <v>-4.1982690223930439E-5</v>
      </c>
      <c r="Q302" s="11">
        <f t="shared" ca="1" si="131"/>
        <v>1.4132699733467915E-2</v>
      </c>
      <c r="R302" s="11">
        <f t="shared" ca="1" si="132"/>
        <v>5.1758577488837589E-4</v>
      </c>
      <c r="S302" s="11">
        <f t="shared" ca="1" si="133"/>
        <v>7.5981499904337967E-5</v>
      </c>
      <c r="T302" s="11">
        <f t="shared" ca="1" si="134"/>
        <v>0.27393102222455273</v>
      </c>
      <c r="U302" s="11">
        <f t="shared" ca="1" si="135"/>
        <v>-4.1982690223930439E-5</v>
      </c>
      <c r="V302" s="11">
        <f t="shared" ca="1" si="136"/>
        <v>0.19799810679276922</v>
      </c>
      <c r="W302" s="11">
        <f t="shared" ca="1" si="137"/>
        <v>2.3791389225159447</v>
      </c>
      <c r="X302" s="11"/>
      <c r="Y302" s="2">
        <f t="shared" ca="1" si="138"/>
        <v>-2.5324664508419126E-5</v>
      </c>
      <c r="Z302" s="11">
        <f t="shared" ca="1" si="139"/>
        <v>-4.1982690223930439E-5</v>
      </c>
      <c r="AA302" s="2">
        <f t="shared" ca="1" si="140"/>
        <v>1.4132699733467915E-2</v>
      </c>
      <c r="AB302" s="2">
        <f t="shared" ca="1" si="141"/>
        <v>5.1758577488837589E-4</v>
      </c>
      <c r="AC302" s="2">
        <f t="shared" ca="1" si="142"/>
        <v>7.5981499904337967E-5</v>
      </c>
      <c r="AD302" s="2">
        <f t="shared" ca="1" si="143"/>
        <v>0.27393102222455273</v>
      </c>
      <c r="AE302" s="2">
        <f t="shared" ca="1" si="144"/>
        <v>-4.1982690223930439E-5</v>
      </c>
      <c r="AF302" s="2">
        <f t="shared" ca="1" si="145"/>
        <v>0.19799810679276922</v>
      </c>
      <c r="AG302" s="2">
        <f t="shared" ca="1" si="146"/>
        <v>2.3791389225159447</v>
      </c>
      <c r="AI302" s="2">
        <f t="shared" ca="1" si="147"/>
        <v>-2.5324664508419126E-5</v>
      </c>
      <c r="AJ302" s="11">
        <f t="shared" ca="1" si="148"/>
        <v>-4.1982690223930439E-5</v>
      </c>
      <c r="AK302" s="2">
        <f t="shared" ca="1" si="149"/>
        <v>1.4132699733467915E-2</v>
      </c>
      <c r="AL302" s="2">
        <f t="shared" ca="1" si="150"/>
        <v>5.1758577488837589E-4</v>
      </c>
      <c r="AM302" s="2">
        <f t="shared" ca="1" si="151"/>
        <v>7.5981499904337967E-5</v>
      </c>
      <c r="AN302" s="2">
        <f t="shared" ca="1" si="152"/>
        <v>0.27393102222455273</v>
      </c>
      <c r="AO302" s="2">
        <f t="shared" ca="1" si="153"/>
        <v>-4.1982690223930439E-5</v>
      </c>
      <c r="AP302" s="2">
        <f t="shared" ca="1" si="154"/>
        <v>0.19799810679276922</v>
      </c>
      <c r="AQ302" s="2">
        <f t="shared" ca="1" si="155"/>
        <v>2.3791389225159447</v>
      </c>
      <c r="AS302" s="2">
        <f t="shared" ca="1" si="156"/>
        <v>8.6851752065002152</v>
      </c>
      <c r="AT302" s="2">
        <f t="shared" ca="1" si="157"/>
        <v>0.40011537551679571</v>
      </c>
      <c r="AU302" s="2">
        <f t="shared" ca="1" si="158"/>
        <v>2.070940266816142E-4</v>
      </c>
      <c r="AV302" s="2">
        <f t="shared" ca="1" si="159"/>
        <v>0.1977910127660876</v>
      </c>
      <c r="AW302" s="2">
        <f t="shared" ca="1" si="160"/>
        <v>0.70895253239274003</v>
      </c>
      <c r="AX302" s="2">
        <f t="shared" ca="1" si="161"/>
        <v>5.3546834840532867E-2</v>
      </c>
      <c r="AY302" s="9">
        <f t="shared" ca="1" si="162"/>
        <v>0.70895253239274003</v>
      </c>
      <c r="AZ302" s="9">
        <f t="shared" ca="1" si="163"/>
        <v>0.70895253239274003</v>
      </c>
      <c r="BB302" s="2">
        <f t="shared" ca="1" si="164"/>
        <v>8.6851752065002152</v>
      </c>
      <c r="BC302" s="2">
        <f t="shared" ca="1" si="165"/>
        <v>0.40011537551679571</v>
      </c>
      <c r="BD302" s="2">
        <f t="shared" ca="1" si="166"/>
        <v>2.070940266816142E-4</v>
      </c>
      <c r="BE302" s="2">
        <f t="shared" ca="1" si="167"/>
        <v>0.1977910127660876</v>
      </c>
      <c r="BF302" s="2">
        <f t="shared" ca="1" si="168"/>
        <v>0.70895253239274003</v>
      </c>
      <c r="BG302" s="2">
        <f t="shared" ca="1" si="169"/>
        <v>5.3546834840532867E-2</v>
      </c>
      <c r="BH302" s="2">
        <f t="shared" ca="1" si="170"/>
        <v>0.70895253239274003</v>
      </c>
      <c r="BI302" s="2">
        <f t="shared" ca="1" si="171"/>
        <v>0.70895253239274003</v>
      </c>
    </row>
    <row r="303" spans="1:61" ht="15" x14ac:dyDescent="0.25">
      <c r="A303" s="66">
        <v>237</v>
      </c>
      <c r="B303" s="66">
        <v>1498730244.346</v>
      </c>
      <c r="C303" s="67">
        <v>-2.0552110505113001E-5</v>
      </c>
      <c r="D303" s="67">
        <v>4.1882937485286798E-5</v>
      </c>
      <c r="E303" s="67">
        <v>1.48395446235609E-2</v>
      </c>
      <c r="F303" s="67">
        <v>4.77574289871502E-4</v>
      </c>
      <c r="G303" s="67">
        <v>4.7476247709546503E-5</v>
      </c>
      <c r="H303" s="67">
        <v>0.27423072677197802</v>
      </c>
      <c r="I303" s="67">
        <v>4.1882937485286798E-5</v>
      </c>
      <c r="J303" s="67">
        <v>0.19800145782916401</v>
      </c>
      <c r="K303" s="67">
        <v>2.3806521671795</v>
      </c>
      <c r="L303" s="67"/>
      <c r="M303" s="67"/>
      <c r="O303" s="11">
        <f t="shared" ca="1" si="129"/>
        <v>-3.3356041215073032E-5</v>
      </c>
      <c r="P303" s="11">
        <f t="shared" ca="1" si="130"/>
        <v>4.111783725498206E-5</v>
      </c>
      <c r="Q303" s="11">
        <f t="shared" ca="1" si="131"/>
        <v>1.4003053011292616E-2</v>
      </c>
      <c r="R303" s="11">
        <f t="shared" ca="1" si="132"/>
        <v>4.6592780222515489E-4</v>
      </c>
      <c r="S303" s="11">
        <f t="shared" ca="1" si="133"/>
        <v>3.6548595662576382E-5</v>
      </c>
      <c r="T303" s="11">
        <f t="shared" ca="1" si="134"/>
        <v>0.27309217173339573</v>
      </c>
      <c r="U303" s="11">
        <f t="shared" ca="1" si="135"/>
        <v>4.111783725498206E-5</v>
      </c>
      <c r="V303" s="11">
        <f t="shared" ca="1" si="136"/>
        <v>0.19735126182347024</v>
      </c>
      <c r="W303" s="11">
        <f t="shared" ca="1" si="137"/>
        <v>2.3735293189159949</v>
      </c>
      <c r="X303" s="11"/>
      <c r="Y303" s="2">
        <f t="shared" ca="1" si="138"/>
        <v>-3.3356041215073032E-5</v>
      </c>
      <c r="Z303" s="11">
        <f t="shared" ca="1" si="139"/>
        <v>4.111783725498206E-5</v>
      </c>
      <c r="AA303" s="2">
        <f t="shared" ca="1" si="140"/>
        <v>1.4002738429068818E-2</v>
      </c>
      <c r="AB303" s="2">
        <f t="shared" ca="1" si="141"/>
        <v>4.5831348249005232E-4</v>
      </c>
      <c r="AC303" s="2">
        <f t="shared" ca="1" si="142"/>
        <v>3.6548595662576382E-5</v>
      </c>
      <c r="AD303" s="2">
        <f t="shared" ca="1" si="143"/>
        <v>0.27303679811241133</v>
      </c>
      <c r="AE303" s="2">
        <f t="shared" ca="1" si="144"/>
        <v>4.111783725498206E-5</v>
      </c>
      <c r="AF303" s="2">
        <f t="shared" ca="1" si="145"/>
        <v>0.19726948831927282</v>
      </c>
      <c r="AG303" s="2">
        <f t="shared" ca="1" si="146"/>
        <v>2.3734961371302949</v>
      </c>
      <c r="AI303" s="2">
        <f t="shared" ca="1" si="147"/>
        <v>-3.3356041215073032E-5</v>
      </c>
      <c r="AJ303" s="11">
        <f t="shared" ca="1" si="148"/>
        <v>4.111783725498206E-5</v>
      </c>
      <c r="AK303" s="2">
        <f t="shared" ca="1" si="149"/>
        <v>1.395422698899724E-2</v>
      </c>
      <c r="AL303" s="2">
        <f t="shared" ca="1" si="150"/>
        <v>4.35608102196867E-4</v>
      </c>
      <c r="AM303" s="2">
        <f t="shared" ca="1" si="151"/>
        <v>3.6548595662576382E-5</v>
      </c>
      <c r="AN303" s="2">
        <f t="shared" ca="1" si="152"/>
        <v>0.27303679811241133</v>
      </c>
      <c r="AO303" s="2">
        <f t="shared" ca="1" si="153"/>
        <v>4.111783725498206E-5</v>
      </c>
      <c r="AP303" s="2">
        <f t="shared" ca="1" si="154"/>
        <v>0.19726948831927282</v>
      </c>
      <c r="AQ303" s="2">
        <f t="shared" ca="1" si="155"/>
        <v>2.3734961371302949</v>
      </c>
      <c r="AS303" s="2">
        <f t="shared" ca="1" si="156"/>
        <v>8.6913121817096091</v>
      </c>
      <c r="AT303" s="2">
        <f t="shared" ca="1" si="157"/>
        <v>0.40040152875395535</v>
      </c>
      <c r="AU303" s="2">
        <f t="shared" ca="1" si="158"/>
        <v>1.8655820429992257E-4</v>
      </c>
      <c r="AV303" s="2">
        <f t="shared" ca="1" si="159"/>
        <v>0.19716470361917032</v>
      </c>
      <c r="AW303" s="2">
        <f t="shared" ca="1" si="160"/>
        <v>0.70862628265215255</v>
      </c>
      <c r="AX303" s="2">
        <f t="shared" ca="1" si="161"/>
        <v>5.3257070155159833E-2</v>
      </c>
      <c r="AY303" s="9">
        <f t="shared" ca="1" si="162"/>
        <v>0.70862628265215255</v>
      </c>
      <c r="AZ303" s="9">
        <f t="shared" ca="1" si="163"/>
        <v>0.70862628265215255</v>
      </c>
      <c r="BB303" s="2">
        <f t="shared" ca="1" si="164"/>
        <v>8.6929533071696383</v>
      </c>
      <c r="BC303" s="2">
        <f t="shared" ca="1" si="165"/>
        <v>0.40047805112793899</v>
      </c>
      <c r="BD303" s="2">
        <f t="shared" ca="1" si="166"/>
        <v>1.7445148382334136E-4</v>
      </c>
      <c r="BE303" s="2">
        <f t="shared" ca="1" si="167"/>
        <v>0.19709503683544949</v>
      </c>
      <c r="BF303" s="2">
        <f t="shared" ca="1" si="168"/>
        <v>0.70845219385334945</v>
      </c>
      <c r="BG303" s="2">
        <f t="shared" ca="1" si="169"/>
        <v>5.3092392175180789E-2</v>
      </c>
      <c r="BH303" s="2">
        <f t="shared" ca="1" si="170"/>
        <v>0.70845219385334945</v>
      </c>
      <c r="BI303" s="2">
        <f t="shared" ca="1" si="171"/>
        <v>0.70845219385334945</v>
      </c>
    </row>
    <row r="304" spans="1:61" ht="15" x14ac:dyDescent="0.25">
      <c r="A304" s="66">
        <v>238</v>
      </c>
      <c r="B304" s="66">
        <v>1498730244.8729999</v>
      </c>
      <c r="C304" s="67">
        <v>-8.2688021629118999E-6</v>
      </c>
      <c r="D304" s="67">
        <v>4.4789645212099901E-5</v>
      </c>
      <c r="E304" s="67">
        <v>1.47303939925177E-2</v>
      </c>
      <c r="F304" s="67">
        <v>4.7828843718092899E-4</v>
      </c>
      <c r="G304" s="67">
        <v>5.0396664517860101E-5</v>
      </c>
      <c r="H304" s="67">
        <v>0.27061547668434399</v>
      </c>
      <c r="I304" s="67">
        <v>4.4789645212099901E-5</v>
      </c>
      <c r="J304" s="67">
        <v>0.195437244976674</v>
      </c>
      <c r="K304" s="67">
        <v>2.34993784873642</v>
      </c>
      <c r="L304" s="67"/>
      <c r="M304" s="67"/>
      <c r="O304" s="11">
        <f t="shared" ca="1" si="129"/>
        <v>-2.1072732872871928E-5</v>
      </c>
      <c r="P304" s="11">
        <f t="shared" ca="1" si="130"/>
        <v>4.4024544981795163E-5</v>
      </c>
      <c r="Q304" s="11">
        <f t="shared" ca="1" si="131"/>
        <v>1.3893902380249415E-2</v>
      </c>
      <c r="R304" s="11">
        <f t="shared" ca="1" si="132"/>
        <v>4.6664194953458188E-4</v>
      </c>
      <c r="S304" s="11">
        <f t="shared" ca="1" si="133"/>
        <v>3.946901247088998E-5</v>
      </c>
      <c r="T304" s="11">
        <f t="shared" ca="1" si="134"/>
        <v>0.2694769216457617</v>
      </c>
      <c r="U304" s="11">
        <f t="shared" ca="1" si="135"/>
        <v>4.4024544981795163E-5</v>
      </c>
      <c r="V304" s="11">
        <f t="shared" ca="1" si="136"/>
        <v>0.19478704897098023</v>
      </c>
      <c r="W304" s="11">
        <f t="shared" ca="1" si="137"/>
        <v>2.3428150004729149</v>
      </c>
      <c r="X304" s="11"/>
      <c r="Y304" s="2">
        <f t="shared" ca="1" si="138"/>
        <v>-2.1072732872871928E-5</v>
      </c>
      <c r="Z304" s="11">
        <f t="shared" ca="1" si="139"/>
        <v>4.4024544981795163E-5</v>
      </c>
      <c r="AA304" s="2">
        <f t="shared" ca="1" si="140"/>
        <v>1.3893565559536395E-2</v>
      </c>
      <c r="AB304" s="2">
        <f t="shared" ca="1" si="141"/>
        <v>4.5848935727626274E-4</v>
      </c>
      <c r="AC304" s="2">
        <f t="shared" ca="1" si="142"/>
        <v>3.946901247088998E-5</v>
      </c>
      <c r="AD304" s="2">
        <f t="shared" ca="1" si="143"/>
        <v>0.269417633545254</v>
      </c>
      <c r="AE304" s="2">
        <f t="shared" ca="1" si="144"/>
        <v>4.4024544981795163E-5</v>
      </c>
      <c r="AF304" s="2">
        <f t="shared" ca="1" si="145"/>
        <v>0.19469949472313561</v>
      </c>
      <c r="AG304" s="2">
        <f t="shared" ca="1" si="146"/>
        <v>2.3427794729959208</v>
      </c>
      <c r="AI304" s="2">
        <f t="shared" ca="1" si="147"/>
        <v>-2.1072732872871928E-5</v>
      </c>
      <c r="AJ304" s="11">
        <f t="shared" ca="1" si="148"/>
        <v>4.4024544981795163E-5</v>
      </c>
      <c r="AK304" s="2">
        <f t="shared" ca="1" si="149"/>
        <v>1.384162474216512E-2</v>
      </c>
      <c r="AL304" s="2">
        <f t="shared" ca="1" si="150"/>
        <v>4.3417888516053917E-4</v>
      </c>
      <c r="AM304" s="2">
        <f t="shared" ca="1" si="151"/>
        <v>3.946901247088998E-5</v>
      </c>
      <c r="AN304" s="2">
        <f t="shared" ca="1" si="152"/>
        <v>0.269417633545254</v>
      </c>
      <c r="AO304" s="2">
        <f t="shared" ca="1" si="153"/>
        <v>4.4024544981795163E-5</v>
      </c>
      <c r="AP304" s="2">
        <f t="shared" ca="1" si="154"/>
        <v>0.19469949472313561</v>
      </c>
      <c r="AQ304" s="2">
        <f t="shared" ca="1" si="155"/>
        <v>2.3427794729959208</v>
      </c>
      <c r="AS304" s="2">
        <f t="shared" ca="1" si="156"/>
        <v>8.6939355925723394</v>
      </c>
      <c r="AT304" s="2">
        <f t="shared" ca="1" si="157"/>
        <v>0.40052385320117773</v>
      </c>
      <c r="AU304" s="2">
        <f t="shared" ca="1" si="158"/>
        <v>1.8690123169290025E-4</v>
      </c>
      <c r="AV304" s="2">
        <f t="shared" ca="1" si="159"/>
        <v>0.19460014773928733</v>
      </c>
      <c r="AW304" s="2">
        <f t="shared" ca="1" si="160"/>
        <v>0.70868447622146669</v>
      </c>
      <c r="AX304" s="2">
        <f t="shared" ca="1" si="161"/>
        <v>5.3567400420851487E-2</v>
      </c>
      <c r="AY304" s="9">
        <f t="shared" ca="1" si="162"/>
        <v>0.70868447622146669</v>
      </c>
      <c r="AZ304" s="9">
        <f t="shared" ca="1" si="163"/>
        <v>0.70868447622146669</v>
      </c>
      <c r="BB304" s="2">
        <f t="shared" ca="1" si="164"/>
        <v>8.6957169141729729</v>
      </c>
      <c r="BC304" s="2">
        <f t="shared" ca="1" si="165"/>
        <v>0.40060691295088524</v>
      </c>
      <c r="BD304" s="2">
        <f t="shared" ca="1" si="166"/>
        <v>1.7393506285262052E-4</v>
      </c>
      <c r="BE304" s="2">
        <f t="shared" ca="1" si="167"/>
        <v>0.19452555966028298</v>
      </c>
      <c r="BF304" s="2">
        <f t="shared" ca="1" si="168"/>
        <v>0.70849563819601835</v>
      </c>
      <c r="BG304" s="2">
        <f t="shared" ca="1" si="169"/>
        <v>5.3388780692341611E-2</v>
      </c>
      <c r="BH304" s="2">
        <f t="shared" ca="1" si="170"/>
        <v>0.70849563819601835</v>
      </c>
      <c r="BI304" s="2">
        <f t="shared" ca="1" si="171"/>
        <v>0.70849563819601835</v>
      </c>
    </row>
    <row r="305" spans="1:61" ht="15" x14ac:dyDescent="0.25">
      <c r="A305" s="66">
        <v>239</v>
      </c>
      <c r="B305" s="66">
        <v>1498730245.3989999</v>
      </c>
      <c r="C305" s="67">
        <v>-4.4892920784146004E-6</v>
      </c>
      <c r="D305" s="67">
        <v>-2.9670829844660699E-5</v>
      </c>
      <c r="E305" s="67">
        <v>1.42681809034547E-2</v>
      </c>
      <c r="F305" s="67">
        <v>4.4400994225263799E-4</v>
      </c>
      <c r="G305" s="67">
        <v>1.8086706718212101E-4</v>
      </c>
      <c r="H305" s="67">
        <v>0.26315290461130603</v>
      </c>
      <c r="I305" s="67">
        <v>-2.9670829844660699E-5</v>
      </c>
      <c r="J305" s="67">
        <v>0.190002649660998</v>
      </c>
      <c r="K305" s="67">
        <v>2.2834298532108099</v>
      </c>
      <c r="L305" s="67"/>
      <c r="M305" s="67"/>
      <c r="O305" s="11">
        <f t="shared" ca="1" si="129"/>
        <v>-1.7293222788374627E-5</v>
      </c>
      <c r="P305" s="11">
        <f t="shared" ca="1" si="130"/>
        <v>-3.0435930074965441E-5</v>
      </c>
      <c r="Q305" s="11">
        <f t="shared" ca="1" si="131"/>
        <v>1.3431689291186415E-2</v>
      </c>
      <c r="R305" s="11">
        <f t="shared" ca="1" si="132"/>
        <v>4.3236345460629088E-4</v>
      </c>
      <c r="S305" s="11">
        <f t="shared" ca="1" si="133"/>
        <v>1.6993941513515089E-4</v>
      </c>
      <c r="T305" s="11">
        <f t="shared" ca="1" si="134"/>
        <v>0.26201434957272374</v>
      </c>
      <c r="U305" s="11">
        <f t="shared" ca="1" si="135"/>
        <v>-3.0435930074965441E-5</v>
      </c>
      <c r="V305" s="11">
        <f t="shared" ca="1" si="136"/>
        <v>0.18935245365530423</v>
      </c>
      <c r="W305" s="11">
        <f t="shared" ca="1" si="137"/>
        <v>2.2763070049473049</v>
      </c>
      <c r="X305" s="11"/>
      <c r="Y305" s="2">
        <f t="shared" ca="1" si="138"/>
        <v>-1.7293222788374627E-5</v>
      </c>
      <c r="Z305" s="11">
        <f t="shared" ca="1" si="139"/>
        <v>-3.0435930074965441E-5</v>
      </c>
      <c r="AA305" s="2">
        <f t="shared" ca="1" si="140"/>
        <v>1.3431689291186415E-2</v>
      </c>
      <c r="AB305" s="2">
        <f t="shared" ca="1" si="141"/>
        <v>4.3236345460629088E-4</v>
      </c>
      <c r="AC305" s="2">
        <f t="shared" ca="1" si="142"/>
        <v>1.6993941513515089E-4</v>
      </c>
      <c r="AD305" s="2">
        <f t="shared" ca="1" si="143"/>
        <v>0.26201434957272374</v>
      </c>
      <c r="AE305" s="2">
        <f t="shared" ca="1" si="144"/>
        <v>-3.0435930074965441E-5</v>
      </c>
      <c r="AF305" s="2">
        <f t="shared" ca="1" si="145"/>
        <v>0.18935245365530423</v>
      </c>
      <c r="AG305" s="2">
        <f t="shared" ca="1" si="146"/>
        <v>2.2763070049473049</v>
      </c>
      <c r="AI305" s="2">
        <f t="shared" ca="1" si="147"/>
        <v>-1.7293222788374627E-5</v>
      </c>
      <c r="AJ305" s="11">
        <f t="shared" ca="1" si="148"/>
        <v>-3.0435930074965441E-5</v>
      </c>
      <c r="AK305" s="2">
        <f t="shared" ca="1" si="149"/>
        <v>1.3431689291186415E-2</v>
      </c>
      <c r="AL305" s="2">
        <f t="shared" ca="1" si="150"/>
        <v>4.3236345460629088E-4</v>
      </c>
      <c r="AM305" s="2">
        <f t="shared" ca="1" si="151"/>
        <v>1.6993941513515089E-4</v>
      </c>
      <c r="AN305" s="2">
        <f t="shared" ca="1" si="152"/>
        <v>0.26201434957272374</v>
      </c>
      <c r="AO305" s="2">
        <f t="shared" ca="1" si="153"/>
        <v>-3.0435930074965441E-5</v>
      </c>
      <c r="AP305" s="2">
        <f t="shared" ca="1" si="154"/>
        <v>0.18935245365530423</v>
      </c>
      <c r="AQ305" s="2">
        <f t="shared" ca="1" si="155"/>
        <v>2.2763070049473049</v>
      </c>
      <c r="AS305" s="2">
        <f t="shared" ca="1" si="156"/>
        <v>8.687718854556481</v>
      </c>
      <c r="AT305" s="2">
        <f t="shared" ca="1" si="157"/>
        <v>0.40023397975993091</v>
      </c>
      <c r="AU305" s="2">
        <f t="shared" ca="1" si="158"/>
        <v>1.7304654613982802E-4</v>
      </c>
      <c r="AV305" s="2">
        <f t="shared" ca="1" si="159"/>
        <v>0.18917940710916439</v>
      </c>
      <c r="AW305" s="2">
        <f t="shared" ca="1" si="160"/>
        <v>0.70882097646019149</v>
      </c>
      <c r="AX305" s="2">
        <f t="shared" ca="1" si="161"/>
        <v>5.3221312709880363E-2</v>
      </c>
      <c r="AY305" s="9">
        <f t="shared" ca="1" si="162"/>
        <v>0.70882097646019149</v>
      </c>
      <c r="AZ305" s="9">
        <f t="shared" ca="1" si="163"/>
        <v>0.70882097646019149</v>
      </c>
      <c r="BB305" s="2">
        <f t="shared" ca="1" si="164"/>
        <v>8.687718854556481</v>
      </c>
      <c r="BC305" s="2">
        <f t="shared" ca="1" si="165"/>
        <v>0.40023397975993091</v>
      </c>
      <c r="BD305" s="2">
        <f t="shared" ca="1" si="166"/>
        <v>1.7304654613982802E-4</v>
      </c>
      <c r="BE305" s="2">
        <f t="shared" ca="1" si="167"/>
        <v>0.18917940710916439</v>
      </c>
      <c r="BF305" s="2">
        <f t="shared" ca="1" si="168"/>
        <v>0.70882097646019149</v>
      </c>
      <c r="BG305" s="2">
        <f t="shared" ca="1" si="169"/>
        <v>5.3221312709880363E-2</v>
      </c>
      <c r="BH305" s="2">
        <f t="shared" ca="1" si="170"/>
        <v>0.70882097646019149</v>
      </c>
      <c r="BI305" s="2">
        <f t="shared" ca="1" si="171"/>
        <v>0.70882097646019149</v>
      </c>
    </row>
    <row r="306" spans="1:61" ht="15" x14ac:dyDescent="0.25">
      <c r="A306" s="66">
        <v>240</v>
      </c>
      <c r="B306" s="66">
        <v>1498730245.9260001</v>
      </c>
      <c r="C306" s="67">
        <v>6.8032846187484098E-5</v>
      </c>
      <c r="D306" s="67">
        <v>6.9630109228078699E-5</v>
      </c>
      <c r="E306" s="67">
        <v>1.4854725444766299E-2</v>
      </c>
      <c r="F306" s="67">
        <v>5.1518674285817205E-4</v>
      </c>
      <c r="G306" s="67">
        <v>1.5792329753757601E-4</v>
      </c>
      <c r="H306" s="67">
        <v>0.273881501096504</v>
      </c>
      <c r="I306" s="67">
        <v>6.9630109228078699E-5</v>
      </c>
      <c r="J306" s="67">
        <v>0.19764757860145701</v>
      </c>
      <c r="K306" s="67">
        <v>2.3763906764256602</v>
      </c>
      <c r="L306" s="67"/>
      <c r="M306" s="67"/>
      <c r="O306" s="11">
        <f t="shared" ca="1" si="129"/>
        <v>5.522891547752407E-5</v>
      </c>
      <c r="P306" s="11">
        <f t="shared" ca="1" si="130"/>
        <v>6.886500899777396E-5</v>
      </c>
      <c r="Q306" s="11">
        <f t="shared" ca="1" si="131"/>
        <v>1.4018233832498015E-2</v>
      </c>
      <c r="R306" s="11">
        <f t="shared" ca="1" si="132"/>
        <v>5.0354025521182489E-4</v>
      </c>
      <c r="S306" s="11">
        <f t="shared" ca="1" si="133"/>
        <v>1.469956454906059E-4</v>
      </c>
      <c r="T306" s="11">
        <f t="shared" ca="1" si="134"/>
        <v>0.27274294605792171</v>
      </c>
      <c r="U306" s="11">
        <f t="shared" ca="1" si="135"/>
        <v>6.886500899777396E-5</v>
      </c>
      <c r="V306" s="11">
        <f t="shared" ca="1" si="136"/>
        <v>0.19699738259576324</v>
      </c>
      <c r="W306" s="11">
        <f t="shared" ca="1" si="137"/>
        <v>2.3692678281621551</v>
      </c>
      <c r="X306" s="11"/>
      <c r="Y306" s="2">
        <f t="shared" ca="1" si="138"/>
        <v>5.522891547752407E-5</v>
      </c>
      <c r="Z306" s="11">
        <f t="shared" ca="1" si="139"/>
        <v>6.886500899777396E-5</v>
      </c>
      <c r="AA306" s="2">
        <f t="shared" ca="1" si="140"/>
        <v>1.401770696364696E-2</v>
      </c>
      <c r="AB306" s="2">
        <f t="shared" ca="1" si="141"/>
        <v>4.9078763415789939E-4</v>
      </c>
      <c r="AC306" s="2">
        <f t="shared" ca="1" si="142"/>
        <v>1.469956454906059E-4</v>
      </c>
      <c r="AD306" s="2">
        <f t="shared" ca="1" si="143"/>
        <v>0.2726502051658441</v>
      </c>
      <c r="AE306" s="2">
        <f t="shared" ca="1" si="144"/>
        <v>6.886500899777396E-5</v>
      </c>
      <c r="AF306" s="2">
        <f t="shared" ca="1" si="145"/>
        <v>0.19686042663021933</v>
      </c>
      <c r="AG306" s="2">
        <f t="shared" ca="1" si="146"/>
        <v>2.3692122546173544</v>
      </c>
      <c r="AI306" s="2">
        <f t="shared" ca="1" si="147"/>
        <v>5.522891547752407E-5</v>
      </c>
      <c r="AJ306" s="11">
        <f t="shared" ca="1" si="148"/>
        <v>6.886500899777396E-5</v>
      </c>
      <c r="AK306" s="2">
        <f t="shared" ca="1" si="149"/>
        <v>1.3936458994880817E-2</v>
      </c>
      <c r="AL306" s="2">
        <f t="shared" ca="1" si="150"/>
        <v>4.5276019101949283E-4</v>
      </c>
      <c r="AM306" s="2">
        <f t="shared" ca="1" si="151"/>
        <v>1.469956454906059E-4</v>
      </c>
      <c r="AN306" s="2">
        <f t="shared" ca="1" si="152"/>
        <v>0.2726502051658441</v>
      </c>
      <c r="AO306" s="2">
        <f t="shared" ca="1" si="153"/>
        <v>6.886500899777396E-5</v>
      </c>
      <c r="AP306" s="2">
        <f t="shared" ca="1" si="154"/>
        <v>0.19686042663021933</v>
      </c>
      <c r="AQ306" s="2">
        <f t="shared" ca="1" si="155"/>
        <v>2.3692122546173544</v>
      </c>
      <c r="AS306" s="2">
        <f t="shared" ca="1" si="156"/>
        <v>8.6868161483413751</v>
      </c>
      <c r="AT306" s="2">
        <f t="shared" ca="1" si="157"/>
        <v>0.40019188867354588</v>
      </c>
      <c r="AU306" s="2">
        <f t="shared" ca="1" si="158"/>
        <v>2.0151272575637952E-4</v>
      </c>
      <c r="AV306" s="2">
        <f t="shared" ca="1" si="159"/>
        <v>0.19679586987000686</v>
      </c>
      <c r="AW306" s="2">
        <f t="shared" ca="1" si="160"/>
        <v>0.70839087239148446</v>
      </c>
      <c r="AX306" s="2">
        <f t="shared" ca="1" si="161"/>
        <v>5.3354814876400106E-2</v>
      </c>
      <c r="AY306" s="9">
        <f t="shared" ca="1" si="162"/>
        <v>0.70839087239148446</v>
      </c>
      <c r="AZ306" s="9">
        <f t="shared" ca="1" si="163"/>
        <v>0.70839087239148446</v>
      </c>
      <c r="BB306" s="2">
        <f t="shared" ca="1" si="164"/>
        <v>8.6895671073353533</v>
      </c>
      <c r="BC306" s="2">
        <f t="shared" ca="1" si="165"/>
        <v>0.4003201596437716</v>
      </c>
      <c r="BD306" s="2">
        <f t="shared" ca="1" si="166"/>
        <v>1.8124903194926788E-4</v>
      </c>
      <c r="BE306" s="2">
        <f t="shared" ca="1" si="167"/>
        <v>0.19667917759827006</v>
      </c>
      <c r="BF306" s="2">
        <f t="shared" ca="1" si="168"/>
        <v>0.7080987197496903</v>
      </c>
      <c r="BG306" s="2">
        <f t="shared" ca="1" si="169"/>
        <v>5.3078808559196701E-2</v>
      </c>
      <c r="BH306" s="2">
        <f t="shared" ca="1" si="170"/>
        <v>0.7080987197496903</v>
      </c>
      <c r="BI306" s="2">
        <f t="shared" ca="1" si="171"/>
        <v>0.7080987197496903</v>
      </c>
    </row>
    <row r="307" spans="1:61" ht="15" x14ac:dyDescent="0.25">
      <c r="A307" s="66">
        <v>241</v>
      </c>
      <c r="B307" s="66">
        <v>1498730246.4530001</v>
      </c>
      <c r="C307" s="67">
        <v>-9.9223332974867194E-6</v>
      </c>
      <c r="D307" s="67">
        <v>-2.5845226283281301E-5</v>
      </c>
      <c r="E307" s="67">
        <v>1.45439254393593E-2</v>
      </c>
      <c r="F307" s="67">
        <v>4.1949201819213398E-4</v>
      </c>
      <c r="G307" s="67">
        <v>-5.89894039755265E-5</v>
      </c>
      <c r="H307" s="67">
        <v>0.268909713922447</v>
      </c>
      <c r="I307" s="67">
        <v>-2.5845226283281301E-5</v>
      </c>
      <c r="J307" s="67">
        <v>0.194130985675601</v>
      </c>
      <c r="K307" s="67">
        <v>2.3355586430806698</v>
      </c>
      <c r="L307" s="67"/>
      <c r="M307" s="67"/>
      <c r="O307" s="11">
        <f t="shared" ca="1" si="129"/>
        <v>-2.2726264007446749E-5</v>
      </c>
      <c r="P307" s="11">
        <f t="shared" ca="1" si="130"/>
        <v>-2.6610326513586043E-5</v>
      </c>
      <c r="Q307" s="11">
        <f t="shared" ca="1" si="131"/>
        <v>1.3707433827091015E-2</v>
      </c>
      <c r="R307" s="11">
        <f t="shared" ca="1" si="132"/>
        <v>4.0784553054578688E-4</v>
      </c>
      <c r="S307" s="11">
        <f t="shared" ca="1" si="133"/>
        <v>-6.9917056022496621E-5</v>
      </c>
      <c r="T307" s="11">
        <f t="shared" ca="1" si="134"/>
        <v>0.26777115888386471</v>
      </c>
      <c r="U307" s="11">
        <f t="shared" ca="1" si="135"/>
        <v>-2.6610326513586043E-5</v>
      </c>
      <c r="V307" s="11">
        <f t="shared" ca="1" si="136"/>
        <v>0.19348078966990723</v>
      </c>
      <c r="W307" s="11">
        <f t="shared" ca="1" si="137"/>
        <v>2.3284357948171648</v>
      </c>
      <c r="X307" s="11"/>
      <c r="Y307" s="2">
        <f t="shared" ca="1" si="138"/>
        <v>-2.2726264007446749E-5</v>
      </c>
      <c r="Z307" s="11">
        <f t="shared" ca="1" si="139"/>
        <v>-2.6610326513586043E-5</v>
      </c>
      <c r="AA307" s="2">
        <f t="shared" ca="1" si="140"/>
        <v>1.3707433827091015E-2</v>
      </c>
      <c r="AB307" s="2">
        <f t="shared" ca="1" si="141"/>
        <v>4.0784553054578688E-4</v>
      </c>
      <c r="AC307" s="2">
        <f t="shared" ca="1" si="142"/>
        <v>-6.9917056022496621E-5</v>
      </c>
      <c r="AD307" s="2">
        <f t="shared" ca="1" si="143"/>
        <v>0.26777115888386471</v>
      </c>
      <c r="AE307" s="2">
        <f t="shared" ca="1" si="144"/>
        <v>-2.6610326513586043E-5</v>
      </c>
      <c r="AF307" s="2">
        <f t="shared" ca="1" si="145"/>
        <v>0.19348078966990723</v>
      </c>
      <c r="AG307" s="2">
        <f t="shared" ca="1" si="146"/>
        <v>2.3284357948171648</v>
      </c>
      <c r="AI307" s="2">
        <f t="shared" ca="1" si="147"/>
        <v>-2.2726264007446749E-5</v>
      </c>
      <c r="AJ307" s="11">
        <f t="shared" ca="1" si="148"/>
        <v>-2.6610326513586043E-5</v>
      </c>
      <c r="AK307" s="2">
        <f t="shared" ca="1" si="149"/>
        <v>1.3707433827091015E-2</v>
      </c>
      <c r="AL307" s="2">
        <f t="shared" ca="1" si="150"/>
        <v>4.0784553054578688E-4</v>
      </c>
      <c r="AM307" s="2">
        <f t="shared" ca="1" si="151"/>
        <v>-6.9917056022496621E-5</v>
      </c>
      <c r="AN307" s="2">
        <f t="shared" ca="1" si="152"/>
        <v>0.26777115888386471</v>
      </c>
      <c r="AO307" s="2">
        <f t="shared" ca="1" si="153"/>
        <v>-2.6610326513586043E-5</v>
      </c>
      <c r="AP307" s="2">
        <f t="shared" ca="1" si="154"/>
        <v>0.19348078966990723</v>
      </c>
      <c r="AQ307" s="2">
        <f t="shared" ca="1" si="155"/>
        <v>2.3284357948171648</v>
      </c>
      <c r="AS307" s="2">
        <f t="shared" ca="1" si="156"/>
        <v>8.695618320220337</v>
      </c>
      <c r="AT307" s="2">
        <f t="shared" ca="1" si="157"/>
        <v>0.40060231569083038</v>
      </c>
      <c r="AU307" s="2">
        <f t="shared" ca="1" si="158"/>
        <v>1.6338386398079751E-4</v>
      </c>
      <c r="AV307" s="2">
        <f t="shared" ca="1" si="159"/>
        <v>0.19331740580592643</v>
      </c>
      <c r="AW307" s="2">
        <f t="shared" ca="1" si="160"/>
        <v>0.70842872874252572</v>
      </c>
      <c r="AX307" s="2">
        <f t="shared" ca="1" si="161"/>
        <v>5.3195668355889299E-2</v>
      </c>
      <c r="AY307" s="9">
        <f t="shared" ca="1" si="162"/>
        <v>0.70842872874252572</v>
      </c>
      <c r="AZ307" s="9">
        <f t="shared" ca="1" si="163"/>
        <v>0.70842872874252572</v>
      </c>
      <c r="BB307" s="2">
        <f t="shared" ca="1" si="164"/>
        <v>8.695618320220337</v>
      </c>
      <c r="BC307" s="2">
        <f t="shared" ca="1" si="165"/>
        <v>0.40060231569083038</v>
      </c>
      <c r="BD307" s="2">
        <f t="shared" ca="1" si="166"/>
        <v>1.6338386398079751E-4</v>
      </c>
      <c r="BE307" s="2">
        <f t="shared" ca="1" si="167"/>
        <v>0.19331740580592643</v>
      </c>
      <c r="BF307" s="2">
        <f t="shared" ca="1" si="168"/>
        <v>0.70842872874252572</v>
      </c>
      <c r="BG307" s="2">
        <f t="shared" ca="1" si="169"/>
        <v>5.3195668355889299E-2</v>
      </c>
      <c r="BH307" s="2">
        <f t="shared" ca="1" si="170"/>
        <v>0.70842872874252572</v>
      </c>
      <c r="BI307" s="2">
        <f t="shared" ca="1" si="171"/>
        <v>0.70842872874252572</v>
      </c>
    </row>
    <row r="308" spans="1:61" ht="15" x14ac:dyDescent="0.25">
      <c r="A308" s="66">
        <v>242</v>
      </c>
      <c r="B308" s="66">
        <v>1498730246.98</v>
      </c>
      <c r="C308" s="67">
        <v>7.2048884962913902E-5</v>
      </c>
      <c r="D308" s="67">
        <v>1.6938546337019701E-4</v>
      </c>
      <c r="E308" s="67">
        <v>1.43328472476979E-2</v>
      </c>
      <c r="F308" s="67">
        <v>4.0901852534862997E-4</v>
      </c>
      <c r="G308" s="67">
        <v>1.3852074589633401E-4</v>
      </c>
      <c r="H308" s="67">
        <v>0.264575864689087</v>
      </c>
      <c r="I308" s="67">
        <v>1.6938546337019701E-4</v>
      </c>
      <c r="J308" s="67">
        <v>0.19102587452573899</v>
      </c>
      <c r="K308" s="67">
        <v>2.29646264743619</v>
      </c>
      <c r="L308" s="67"/>
      <c r="M308" s="67"/>
      <c r="O308" s="11">
        <f t="shared" ca="1" si="129"/>
        <v>5.9244954252953874E-5</v>
      </c>
      <c r="P308" s="11">
        <f t="shared" ca="1" si="130"/>
        <v>1.6862036313989226E-4</v>
      </c>
      <c r="Q308" s="11">
        <f t="shared" ca="1" si="131"/>
        <v>1.3496355635429615E-2</v>
      </c>
      <c r="R308" s="11">
        <f t="shared" ca="1" si="132"/>
        <v>3.9737203770228287E-4</v>
      </c>
      <c r="S308" s="11">
        <f t="shared" ca="1" si="133"/>
        <v>1.2759309384936389E-4</v>
      </c>
      <c r="T308" s="11">
        <f t="shared" ca="1" si="134"/>
        <v>0.26343730965050471</v>
      </c>
      <c r="U308" s="11">
        <f t="shared" ca="1" si="135"/>
        <v>1.6862036313989226E-4</v>
      </c>
      <c r="V308" s="11">
        <f t="shared" ca="1" si="136"/>
        <v>0.19037567852004522</v>
      </c>
      <c r="W308" s="11">
        <f t="shared" ca="1" si="137"/>
        <v>2.2893397991726849</v>
      </c>
      <c r="X308" s="11"/>
      <c r="Y308" s="2">
        <f t="shared" ca="1" si="138"/>
        <v>5.9244954252953874E-5</v>
      </c>
      <c r="Z308" s="11">
        <f t="shared" ca="1" si="139"/>
        <v>1.6862036313989226E-4</v>
      </c>
      <c r="AA308" s="2">
        <f t="shared" ca="1" si="140"/>
        <v>1.3495065563471667E-2</v>
      </c>
      <c r="AB308" s="2">
        <f t="shared" ca="1" si="141"/>
        <v>3.6614643235649894E-4</v>
      </c>
      <c r="AC308" s="2">
        <f t="shared" ca="1" si="142"/>
        <v>1.2759309384936389E-4</v>
      </c>
      <c r="AD308" s="2">
        <f t="shared" ca="1" si="143"/>
        <v>0.26321022766608865</v>
      </c>
      <c r="AE308" s="2">
        <f t="shared" ca="1" si="144"/>
        <v>1.6862036313989226E-4</v>
      </c>
      <c r="AF308" s="2">
        <f t="shared" ca="1" si="145"/>
        <v>0.19004033311052185</v>
      </c>
      <c r="AG308" s="2">
        <f t="shared" ca="1" si="146"/>
        <v>2.2892037238066658</v>
      </c>
      <c r="AI308" s="2">
        <f t="shared" ca="1" si="147"/>
        <v>5.9244954252953874E-5</v>
      </c>
      <c r="AJ308" s="11">
        <f t="shared" ca="1" si="148"/>
        <v>1.6862036313989226E-4</v>
      </c>
      <c r="AK308" s="2">
        <f t="shared" ca="1" si="149"/>
        <v>1.3296124734201342E-2</v>
      </c>
      <c r="AL308" s="2">
        <f t="shared" ca="1" si="150"/>
        <v>2.7303381443050703E-4</v>
      </c>
      <c r="AM308" s="2">
        <f t="shared" ca="1" si="151"/>
        <v>1.2759309384936389E-4</v>
      </c>
      <c r="AN308" s="2">
        <f t="shared" ca="1" si="152"/>
        <v>0.26321022766608865</v>
      </c>
      <c r="AO308" s="2">
        <f t="shared" ca="1" si="153"/>
        <v>1.6862036313989226E-4</v>
      </c>
      <c r="AP308" s="2">
        <f t="shared" ca="1" si="154"/>
        <v>0.19004033311052185</v>
      </c>
      <c r="AQ308" s="2">
        <f t="shared" ca="1" si="155"/>
        <v>2.2892037238066658</v>
      </c>
      <c r="AS308" s="2">
        <f t="shared" ca="1" si="156"/>
        <v>8.6902641171438137</v>
      </c>
      <c r="AT308" s="2">
        <f t="shared" ca="1" si="157"/>
        <v>0.40035265970638251</v>
      </c>
      <c r="AU308" s="2">
        <f t="shared" ca="1" si="158"/>
        <v>1.5908895218705386E-4</v>
      </c>
      <c r="AV308" s="2">
        <f t="shared" ca="1" si="159"/>
        <v>0.19021658956785817</v>
      </c>
      <c r="AW308" s="2">
        <f t="shared" ca="1" si="160"/>
        <v>0.70875285342647643</v>
      </c>
      <c r="AX308" s="2">
        <f t="shared" ca="1" si="161"/>
        <v>5.3204630169993383E-2</v>
      </c>
      <c r="AY308" s="9">
        <f t="shared" ca="1" si="162"/>
        <v>0.70875285342647643</v>
      </c>
      <c r="AZ308" s="9">
        <f t="shared" ca="1" si="163"/>
        <v>0.70875285342647643</v>
      </c>
      <c r="BB308" s="2">
        <f t="shared" ca="1" si="164"/>
        <v>8.6972445717830329</v>
      </c>
      <c r="BC308" s="2">
        <f t="shared" ca="1" si="165"/>
        <v>0.40067814497967946</v>
      </c>
      <c r="BD308" s="2">
        <f t="shared" ca="1" si="166"/>
        <v>1.0939868228274159E-4</v>
      </c>
      <c r="BE308" s="2">
        <f t="shared" ca="1" si="167"/>
        <v>0.18993093442823911</v>
      </c>
      <c r="BF308" s="2">
        <f t="shared" ca="1" si="168"/>
        <v>0.70801270268518235</v>
      </c>
      <c r="BG308" s="2">
        <f t="shared" ca="1" si="169"/>
        <v>5.2503630164458678E-2</v>
      </c>
      <c r="BH308" s="2">
        <f t="shared" ca="1" si="170"/>
        <v>0.70801270268518235</v>
      </c>
      <c r="BI308" s="2">
        <f t="shared" ca="1" si="171"/>
        <v>0.70801270268518235</v>
      </c>
    </row>
    <row r="309" spans="1:61" ht="15" x14ac:dyDescent="0.25">
      <c r="A309" s="66">
        <v>243</v>
      </c>
      <c r="B309" s="66">
        <v>1498730247.506</v>
      </c>
      <c r="C309" s="67">
        <v>1.5426313345255101E-4</v>
      </c>
      <c r="D309" s="67">
        <v>9.3767478135869898E-5</v>
      </c>
      <c r="E309" s="67">
        <v>1.54881854116587E-2</v>
      </c>
      <c r="F309" s="67">
        <v>4.4591427222125102E-4</v>
      </c>
      <c r="G309" s="67">
        <v>1.59738797729978E-4</v>
      </c>
      <c r="H309" s="67">
        <v>0.28702277692371903</v>
      </c>
      <c r="I309" s="67">
        <v>9.3767478135869898E-5</v>
      </c>
      <c r="J309" s="67">
        <v>0.20739677879789201</v>
      </c>
      <c r="K309" s="67">
        <v>2.4914253382454699</v>
      </c>
      <c r="L309" s="67"/>
      <c r="M309" s="67"/>
      <c r="O309" s="11">
        <f t="shared" ca="1" si="129"/>
        <v>1.4145920274259097E-4</v>
      </c>
      <c r="P309" s="11">
        <f t="shared" ca="1" si="130"/>
        <v>9.300237790556516E-5</v>
      </c>
      <c r="Q309" s="11">
        <f t="shared" ca="1" si="131"/>
        <v>1.4651693799390415E-2</v>
      </c>
      <c r="R309" s="11">
        <f t="shared" ca="1" si="132"/>
        <v>4.3426778457490391E-4</v>
      </c>
      <c r="S309" s="11">
        <f t="shared" ca="1" si="133"/>
        <v>1.4881114568300789E-4</v>
      </c>
      <c r="T309" s="11">
        <f t="shared" ca="1" si="134"/>
        <v>0.28588422188513674</v>
      </c>
      <c r="U309" s="11">
        <f t="shared" ca="1" si="135"/>
        <v>9.300237790556516E-5</v>
      </c>
      <c r="V309" s="11">
        <f t="shared" ca="1" si="136"/>
        <v>0.20674658279219824</v>
      </c>
      <c r="W309" s="11">
        <f t="shared" ca="1" si="137"/>
        <v>2.4843024899819648</v>
      </c>
      <c r="X309" s="11"/>
      <c r="Y309" s="2">
        <f t="shared" ca="1" si="138"/>
        <v>1.4145920274259097E-4</v>
      </c>
      <c r="Z309" s="11">
        <f t="shared" ca="1" si="139"/>
        <v>9.300237790556516E-5</v>
      </c>
      <c r="AA309" s="2">
        <f t="shared" ca="1" si="140"/>
        <v>1.4650982261605036E-2</v>
      </c>
      <c r="AB309" s="2">
        <f t="shared" ca="1" si="141"/>
        <v>4.1704533590605991E-4</v>
      </c>
      <c r="AC309" s="2">
        <f t="shared" ca="1" si="142"/>
        <v>1.4881114568300789E-4</v>
      </c>
      <c r="AD309" s="2">
        <f t="shared" ca="1" si="143"/>
        <v>0.28575897506359665</v>
      </c>
      <c r="AE309" s="2">
        <f t="shared" ca="1" si="144"/>
        <v>9.300237790556516E-5</v>
      </c>
      <c r="AF309" s="2">
        <f t="shared" ca="1" si="145"/>
        <v>0.20656162339628284</v>
      </c>
      <c r="AG309" s="2">
        <f t="shared" ca="1" si="146"/>
        <v>2.484227437761827</v>
      </c>
      <c r="AI309" s="2">
        <f t="shared" ca="1" si="147"/>
        <v>1.4145920274259097E-4</v>
      </c>
      <c r="AJ309" s="11">
        <f t="shared" ca="1" si="148"/>
        <v>9.300237790556516E-5</v>
      </c>
      <c r="AK309" s="2">
        <f t="shared" ca="1" si="149"/>
        <v>1.4541256663580462E-2</v>
      </c>
      <c r="AL309" s="2">
        <f t="shared" ca="1" si="150"/>
        <v>3.6568917275425083E-4</v>
      </c>
      <c r="AM309" s="2">
        <f t="shared" ca="1" si="151"/>
        <v>1.4881114568300789E-4</v>
      </c>
      <c r="AN309" s="2">
        <f t="shared" ca="1" si="152"/>
        <v>0.28575897506359665</v>
      </c>
      <c r="AO309" s="2">
        <f t="shared" ca="1" si="153"/>
        <v>9.300237790556516E-5</v>
      </c>
      <c r="AP309" s="2">
        <f t="shared" ca="1" si="154"/>
        <v>0.20656162339628284</v>
      </c>
      <c r="AQ309" s="2">
        <f t="shared" ca="1" si="155"/>
        <v>2.484227437761827</v>
      </c>
      <c r="AS309" s="2">
        <f t="shared" ca="1" si="156"/>
        <v>8.6898901716237908</v>
      </c>
      <c r="AT309" s="2">
        <f t="shared" ca="1" si="157"/>
        <v>0.40033522343015465</v>
      </c>
      <c r="AU309" s="2">
        <f t="shared" ca="1" si="158"/>
        <v>1.7385269056631241E-4</v>
      </c>
      <c r="AV309" s="2">
        <f t="shared" ca="1" si="159"/>
        <v>0.20657273010163194</v>
      </c>
      <c r="AW309" s="2">
        <f t="shared" ca="1" si="160"/>
        <v>0.70927707915215643</v>
      </c>
      <c r="AX309" s="2">
        <f t="shared" ca="1" si="161"/>
        <v>5.3221697438320281E-2</v>
      </c>
      <c r="AY309" s="9">
        <f t="shared" ca="1" si="162"/>
        <v>0.70927707915215643</v>
      </c>
      <c r="AZ309" s="9">
        <f t="shared" ca="1" si="163"/>
        <v>0.70927707915215643</v>
      </c>
      <c r="BB309" s="2">
        <f t="shared" ca="1" si="164"/>
        <v>8.6934362681310482</v>
      </c>
      <c r="BC309" s="2">
        <f t="shared" ca="1" si="165"/>
        <v>0.40050057065796563</v>
      </c>
      <c r="BD309" s="2">
        <f t="shared" ca="1" si="166"/>
        <v>1.4645872237151682E-4</v>
      </c>
      <c r="BE309" s="2">
        <f t="shared" ca="1" si="167"/>
        <v>0.20641516467391133</v>
      </c>
      <c r="BF309" s="2">
        <f t="shared" ca="1" si="168"/>
        <v>0.70890104074992133</v>
      </c>
      <c r="BG309" s="2">
        <f t="shared" ca="1" si="169"/>
        <v>5.2865755393031004E-2</v>
      </c>
      <c r="BH309" s="2">
        <f t="shared" ca="1" si="170"/>
        <v>0.70890104074992133</v>
      </c>
      <c r="BI309" s="2">
        <f t="shared" ca="1" si="171"/>
        <v>0.70890104074992133</v>
      </c>
    </row>
    <row r="310" spans="1:61" ht="15" x14ac:dyDescent="0.25">
      <c r="A310" s="66">
        <v>244</v>
      </c>
      <c r="B310" s="66">
        <v>1498730248.033</v>
      </c>
      <c r="C310" s="67">
        <v>3.3306600643183E-5</v>
      </c>
      <c r="D310" s="67">
        <v>3.6471489013728901E-5</v>
      </c>
      <c r="E310" s="67">
        <v>1.50063051737834E-2</v>
      </c>
      <c r="F310" s="67">
        <v>4.2496684224952803E-4</v>
      </c>
      <c r="G310" s="67">
        <v>6.5094264503657594E-5</v>
      </c>
      <c r="H310" s="67">
        <v>0.27727007230059603</v>
      </c>
      <c r="I310" s="67">
        <v>3.6471489013728901E-5</v>
      </c>
      <c r="J310" s="67">
        <v>0.20031879580950601</v>
      </c>
      <c r="K310" s="67">
        <v>2.4089594626297401</v>
      </c>
      <c r="L310" s="67"/>
      <c r="M310" s="67"/>
      <c r="O310" s="11">
        <f t="shared" ca="1" si="129"/>
        <v>2.0502669933222972E-5</v>
      </c>
      <c r="P310" s="11">
        <f t="shared" ca="1" si="130"/>
        <v>3.5706388783424162E-5</v>
      </c>
      <c r="Q310" s="11">
        <f t="shared" ca="1" si="131"/>
        <v>1.4169813561515116E-2</v>
      </c>
      <c r="R310" s="11">
        <f t="shared" ca="1" si="132"/>
        <v>4.1332035460318092E-4</v>
      </c>
      <c r="S310" s="11">
        <f t="shared" ca="1" si="133"/>
        <v>5.4166612456687473E-5</v>
      </c>
      <c r="T310" s="11">
        <f t="shared" ca="1" si="134"/>
        <v>0.27613151726201374</v>
      </c>
      <c r="U310" s="11">
        <f t="shared" ca="1" si="135"/>
        <v>3.5706388783424162E-5</v>
      </c>
      <c r="V310" s="11">
        <f t="shared" ca="1" si="136"/>
        <v>0.19966859980381224</v>
      </c>
      <c r="W310" s="11">
        <f t="shared" ca="1" si="137"/>
        <v>2.4018366143662351</v>
      </c>
      <c r="X310" s="11"/>
      <c r="Y310" s="2">
        <f t="shared" ca="1" si="138"/>
        <v>2.0502669933222972E-5</v>
      </c>
      <c r="Z310" s="11">
        <f t="shared" ca="1" si="139"/>
        <v>3.5706388783424162E-5</v>
      </c>
      <c r="AA310" s="2">
        <f t="shared" ca="1" si="140"/>
        <v>1.4169540380921554E-2</v>
      </c>
      <c r="AB310" s="2">
        <f t="shared" ca="1" si="141"/>
        <v>4.0670814250902637E-4</v>
      </c>
      <c r="AC310" s="2">
        <f t="shared" ca="1" si="142"/>
        <v>5.4166612456687473E-5</v>
      </c>
      <c r="AD310" s="2">
        <f t="shared" ca="1" si="143"/>
        <v>0.27608343126889712</v>
      </c>
      <c r="AE310" s="2">
        <f t="shared" ca="1" si="144"/>
        <v>3.5706388783424162E-5</v>
      </c>
      <c r="AF310" s="2">
        <f t="shared" ca="1" si="145"/>
        <v>0.19959758837111094</v>
      </c>
      <c r="AG310" s="2">
        <f t="shared" ca="1" si="146"/>
        <v>2.4018077995787892</v>
      </c>
      <c r="AI310" s="2">
        <f t="shared" ca="1" si="147"/>
        <v>2.0502669933222972E-5</v>
      </c>
      <c r="AJ310" s="11">
        <f t="shared" ca="1" si="148"/>
        <v>3.5706388783424162E-5</v>
      </c>
      <c r="AK310" s="2">
        <f t="shared" ca="1" si="149"/>
        <v>1.4127413448785073E-2</v>
      </c>
      <c r="AL310" s="2">
        <f t="shared" ca="1" si="150"/>
        <v>3.86990978612578E-4</v>
      </c>
      <c r="AM310" s="2">
        <f t="shared" ca="1" si="151"/>
        <v>5.4166612456687473E-5</v>
      </c>
      <c r="AN310" s="2">
        <f t="shared" ca="1" si="152"/>
        <v>0.27608343126889712</v>
      </c>
      <c r="AO310" s="2">
        <f t="shared" ca="1" si="153"/>
        <v>3.5706388783424162E-5</v>
      </c>
      <c r="AP310" s="2">
        <f t="shared" ca="1" si="154"/>
        <v>0.19959758837111094</v>
      </c>
      <c r="AQ310" s="2">
        <f t="shared" ca="1" si="155"/>
        <v>2.4018077995787892</v>
      </c>
      <c r="AS310" s="2">
        <f t="shared" ca="1" si="156"/>
        <v>8.698161796891867</v>
      </c>
      <c r="AT310" s="2">
        <f t="shared" ca="1" si="157"/>
        <v>0.40072091367098689</v>
      </c>
      <c r="AU310" s="2">
        <f t="shared" ca="1" si="158"/>
        <v>1.6562611013540296E-4</v>
      </c>
      <c r="AV310" s="2">
        <f t="shared" ca="1" si="159"/>
        <v>0.19950297369367684</v>
      </c>
      <c r="AW310" s="2">
        <f t="shared" ca="1" si="160"/>
        <v>0.70885667890586379</v>
      </c>
      <c r="AX310" s="2">
        <f t="shared" ca="1" si="161"/>
        <v>5.3341108036637878E-2</v>
      </c>
      <c r="AY310" s="9">
        <f t="shared" ca="1" si="162"/>
        <v>0.70885667890586379</v>
      </c>
      <c r="AZ310" s="9">
        <f t="shared" ca="1" si="163"/>
        <v>0.70885667890586379</v>
      </c>
      <c r="BB310" s="2">
        <f t="shared" ca="1" si="164"/>
        <v>8.6995724029505386</v>
      </c>
      <c r="BC310" s="2">
        <f t="shared" ca="1" si="165"/>
        <v>0.40078668800752693</v>
      </c>
      <c r="BD310" s="2">
        <f t="shared" ca="1" si="166"/>
        <v>1.5510083260692682E-4</v>
      </c>
      <c r="BE310" s="2">
        <f t="shared" ca="1" si="167"/>
        <v>0.19944248753850402</v>
      </c>
      <c r="BF310" s="2">
        <f t="shared" ca="1" si="168"/>
        <v>0.70870731305130719</v>
      </c>
      <c r="BG310" s="2">
        <f t="shared" ca="1" si="169"/>
        <v>5.3199585671018644E-2</v>
      </c>
      <c r="BH310" s="2">
        <f t="shared" ca="1" si="170"/>
        <v>0.70870731305130719</v>
      </c>
      <c r="BI310" s="2">
        <f t="shared" ca="1" si="171"/>
        <v>0.70870731305130719</v>
      </c>
    </row>
    <row r="311" spans="1:61" ht="15" x14ac:dyDescent="0.25">
      <c r="A311" s="66">
        <v>245</v>
      </c>
      <c r="B311" s="66">
        <v>1498730248.5599999</v>
      </c>
      <c r="C311" s="67">
        <v>1.9369197628704099E-5</v>
      </c>
      <c r="D311" s="67">
        <v>-3.8431378312665603E-5</v>
      </c>
      <c r="E311" s="67">
        <v>1.4238503330107E-2</v>
      </c>
      <c r="F311" s="67">
        <v>4.2996562085787502E-4</v>
      </c>
      <c r="G311" s="67">
        <v>-1.1831943132918299E-5</v>
      </c>
      <c r="H311" s="67">
        <v>0.26340651724578301</v>
      </c>
      <c r="I311" s="67">
        <v>-3.8431378312665603E-5</v>
      </c>
      <c r="J311" s="67">
        <v>0.19023521268990501</v>
      </c>
      <c r="K311" s="67">
        <v>2.2884218264629301</v>
      </c>
      <c r="L311" s="67"/>
      <c r="M311" s="67"/>
      <c r="O311" s="11">
        <f t="shared" ca="1" si="129"/>
        <v>6.5652669187440711E-6</v>
      </c>
      <c r="P311" s="11">
        <f t="shared" ca="1" si="130"/>
        <v>-3.9196478542970342E-5</v>
      </c>
      <c r="Q311" s="11">
        <f t="shared" ca="1" si="131"/>
        <v>1.3402011717838716E-2</v>
      </c>
      <c r="R311" s="11">
        <f t="shared" ca="1" si="132"/>
        <v>4.1831913321152791E-4</v>
      </c>
      <c r="S311" s="11">
        <f t="shared" ca="1" si="133"/>
        <v>-2.2759595179888423E-5</v>
      </c>
      <c r="T311" s="11">
        <f t="shared" ca="1" si="134"/>
        <v>0.26226796220720072</v>
      </c>
      <c r="U311" s="11">
        <f t="shared" ca="1" si="135"/>
        <v>-3.9196478542970342E-5</v>
      </c>
      <c r="V311" s="11">
        <f t="shared" ca="1" si="136"/>
        <v>0.18958501668421124</v>
      </c>
      <c r="W311" s="11">
        <f t="shared" ca="1" si="137"/>
        <v>2.2812989781994251</v>
      </c>
      <c r="X311" s="11"/>
      <c r="Y311" s="2">
        <f t="shared" ca="1" si="138"/>
        <v>6.5652669187440711E-6</v>
      </c>
      <c r="Z311" s="11">
        <f t="shared" ca="1" si="139"/>
        <v>-3.9196478542970342E-5</v>
      </c>
      <c r="AA311" s="2">
        <f t="shared" ca="1" si="140"/>
        <v>1.3402011717838716E-2</v>
      </c>
      <c r="AB311" s="2">
        <f t="shared" ca="1" si="141"/>
        <v>4.1831913321152791E-4</v>
      </c>
      <c r="AC311" s="2">
        <f t="shared" ca="1" si="142"/>
        <v>-2.2759595179888423E-5</v>
      </c>
      <c r="AD311" s="2">
        <f t="shared" ca="1" si="143"/>
        <v>0.26226796220720072</v>
      </c>
      <c r="AE311" s="2">
        <f t="shared" ca="1" si="144"/>
        <v>-3.9196478542970342E-5</v>
      </c>
      <c r="AF311" s="2">
        <f t="shared" ca="1" si="145"/>
        <v>0.18958501668421124</v>
      </c>
      <c r="AG311" s="2">
        <f t="shared" ca="1" si="146"/>
        <v>2.2812989781994251</v>
      </c>
      <c r="AI311" s="2">
        <f t="shared" ca="1" si="147"/>
        <v>6.5652669187440711E-6</v>
      </c>
      <c r="AJ311" s="11">
        <f t="shared" ca="1" si="148"/>
        <v>-3.9196478542970342E-5</v>
      </c>
      <c r="AK311" s="2">
        <f t="shared" ca="1" si="149"/>
        <v>1.3402011717838716E-2</v>
      </c>
      <c r="AL311" s="2">
        <f t="shared" ca="1" si="150"/>
        <v>4.1831913321152791E-4</v>
      </c>
      <c r="AM311" s="2">
        <f t="shared" ca="1" si="151"/>
        <v>-2.2759595179888423E-5</v>
      </c>
      <c r="AN311" s="2">
        <f t="shared" ca="1" si="152"/>
        <v>0.26226796220720072</v>
      </c>
      <c r="AO311" s="2">
        <f t="shared" ca="1" si="153"/>
        <v>-3.9196478542970342E-5</v>
      </c>
      <c r="AP311" s="2">
        <f t="shared" ca="1" si="154"/>
        <v>0.18958501668421124</v>
      </c>
      <c r="AQ311" s="2">
        <f t="shared" ca="1" si="155"/>
        <v>2.2812989781994251</v>
      </c>
      <c r="AS311" s="2">
        <f t="shared" ca="1" si="156"/>
        <v>8.698351712502042</v>
      </c>
      <c r="AT311" s="2">
        <f t="shared" ca="1" si="157"/>
        <v>0.40072976912893027</v>
      </c>
      <c r="AU311" s="2">
        <f t="shared" ca="1" si="158"/>
        <v>1.6763292967406979E-4</v>
      </c>
      <c r="AV311" s="2">
        <f t="shared" ca="1" si="159"/>
        <v>0.18941738375453718</v>
      </c>
      <c r="AW311" s="2">
        <f t="shared" ca="1" si="160"/>
        <v>0.70858973757913235</v>
      </c>
      <c r="AX311" s="2">
        <f t="shared" ca="1" si="161"/>
        <v>5.3118809159649685E-2</v>
      </c>
      <c r="AY311" s="9">
        <f t="shared" ca="1" si="162"/>
        <v>0.70858973757913235</v>
      </c>
      <c r="AZ311" s="9">
        <f t="shared" ca="1" si="163"/>
        <v>0.70858973757913235</v>
      </c>
      <c r="BB311" s="2">
        <f t="shared" ca="1" si="164"/>
        <v>8.698351712502042</v>
      </c>
      <c r="BC311" s="2">
        <f t="shared" ca="1" si="165"/>
        <v>0.40072976912893027</v>
      </c>
      <c r="BD311" s="2">
        <f t="shared" ca="1" si="166"/>
        <v>1.6763292967406979E-4</v>
      </c>
      <c r="BE311" s="2">
        <f t="shared" ca="1" si="167"/>
        <v>0.18941738375453718</v>
      </c>
      <c r="BF311" s="2">
        <f t="shared" ca="1" si="168"/>
        <v>0.70858973757913235</v>
      </c>
      <c r="BG311" s="2">
        <f t="shared" ca="1" si="169"/>
        <v>5.3118809159649685E-2</v>
      </c>
      <c r="BH311" s="2">
        <f t="shared" ca="1" si="170"/>
        <v>0.70858973757913235</v>
      </c>
      <c r="BI311" s="2">
        <f t="shared" ca="1" si="171"/>
        <v>0.70858973757913235</v>
      </c>
    </row>
    <row r="312" spans="1:61" ht="15" x14ac:dyDescent="0.25">
      <c r="A312" s="66">
        <v>246</v>
      </c>
      <c r="B312" s="66">
        <v>1498730249.0869999</v>
      </c>
      <c r="C312" s="67">
        <v>8.4333339771825103E-5</v>
      </c>
      <c r="D312" s="67">
        <v>-9.8327654114837906E-6</v>
      </c>
      <c r="E312" s="67">
        <v>1.38879877586057E-2</v>
      </c>
      <c r="F312" s="67">
        <v>3.7736068056949001E-4</v>
      </c>
      <c r="G312" s="67">
        <v>-6.6729173193519806E-5</v>
      </c>
      <c r="H312" s="67">
        <v>0.25848744954855202</v>
      </c>
      <c r="I312" s="67">
        <v>-9.8327654114837906E-6</v>
      </c>
      <c r="J312" s="67">
        <v>0.186745466779699</v>
      </c>
      <c r="K312" s="67">
        <v>2.24409909442261</v>
      </c>
      <c r="L312" s="67"/>
      <c r="M312" s="67"/>
      <c r="O312" s="11">
        <f t="shared" ca="1" si="129"/>
        <v>7.1529409061865082E-5</v>
      </c>
      <c r="P312" s="11">
        <f t="shared" ca="1" si="130"/>
        <v>-1.0597865641788531E-5</v>
      </c>
      <c r="Q312" s="11">
        <f t="shared" ca="1" si="131"/>
        <v>1.3051496146337415E-2</v>
      </c>
      <c r="R312" s="11">
        <f t="shared" ca="1" si="132"/>
        <v>3.657141929231429E-4</v>
      </c>
      <c r="S312" s="11">
        <f t="shared" ca="1" si="133"/>
        <v>-7.7656825240489933E-5</v>
      </c>
      <c r="T312" s="11">
        <f t="shared" ca="1" si="134"/>
        <v>0.25734889450996973</v>
      </c>
      <c r="U312" s="11">
        <f t="shared" ca="1" si="135"/>
        <v>-1.0597865641788531E-5</v>
      </c>
      <c r="V312" s="11">
        <f t="shared" ca="1" si="136"/>
        <v>0.18609527077400523</v>
      </c>
      <c r="W312" s="11">
        <f t="shared" ca="1" si="137"/>
        <v>2.236976246159105</v>
      </c>
      <c r="X312" s="11"/>
      <c r="Y312" s="2">
        <f t="shared" ca="1" si="138"/>
        <v>7.1529409061865082E-5</v>
      </c>
      <c r="Z312" s="11">
        <f t="shared" ca="1" si="139"/>
        <v>-1.0597865641788531E-5</v>
      </c>
      <c r="AA312" s="2">
        <f t="shared" ca="1" si="140"/>
        <v>1.3051496146337415E-2</v>
      </c>
      <c r="AB312" s="2">
        <f t="shared" ca="1" si="141"/>
        <v>3.657141929231429E-4</v>
      </c>
      <c r="AC312" s="2">
        <f t="shared" ca="1" si="142"/>
        <v>-7.7656825240489933E-5</v>
      </c>
      <c r="AD312" s="2">
        <f t="shared" ca="1" si="143"/>
        <v>0.25734889450996973</v>
      </c>
      <c r="AE312" s="2">
        <f t="shared" ca="1" si="144"/>
        <v>-1.0597865641788531E-5</v>
      </c>
      <c r="AF312" s="2">
        <f t="shared" ca="1" si="145"/>
        <v>0.18609527077400523</v>
      </c>
      <c r="AG312" s="2">
        <f t="shared" ca="1" si="146"/>
        <v>2.236976246159105</v>
      </c>
      <c r="AI312" s="2">
        <f t="shared" ca="1" si="147"/>
        <v>7.1529409061865082E-5</v>
      </c>
      <c r="AJ312" s="11">
        <f t="shared" ca="1" si="148"/>
        <v>-1.0597865641788531E-5</v>
      </c>
      <c r="AK312" s="2">
        <f t="shared" ca="1" si="149"/>
        <v>1.3051496146337415E-2</v>
      </c>
      <c r="AL312" s="2">
        <f t="shared" ca="1" si="150"/>
        <v>3.657141929231429E-4</v>
      </c>
      <c r="AM312" s="2">
        <f t="shared" ca="1" si="151"/>
        <v>-7.7656825240489933E-5</v>
      </c>
      <c r="AN312" s="2">
        <f t="shared" ca="1" si="152"/>
        <v>0.25734889450996973</v>
      </c>
      <c r="AO312" s="2">
        <f t="shared" ca="1" si="153"/>
        <v>-1.0597865641788531E-5</v>
      </c>
      <c r="AP312" s="2">
        <f t="shared" ca="1" si="154"/>
        <v>0.18609527077400523</v>
      </c>
      <c r="AQ312" s="2">
        <f t="shared" ca="1" si="155"/>
        <v>2.236976246159105</v>
      </c>
      <c r="AS312" s="2">
        <f t="shared" ca="1" si="156"/>
        <v>8.6923872372509621</v>
      </c>
      <c r="AT312" s="2">
        <f t="shared" ca="1" si="157"/>
        <v>0.40045165640824049</v>
      </c>
      <c r="AU312" s="2">
        <f t="shared" ca="1" si="158"/>
        <v>1.4645085432807539E-4</v>
      </c>
      <c r="AV312" s="2">
        <f t="shared" ca="1" si="159"/>
        <v>0.18594881991967716</v>
      </c>
      <c r="AW312" s="2">
        <f t="shared" ca="1" si="160"/>
        <v>0.70915538578336368</v>
      </c>
      <c r="AX312" s="2">
        <f t="shared" ca="1" si="161"/>
        <v>5.2681331899634969E-2</v>
      </c>
      <c r="AY312" s="9">
        <f t="shared" ca="1" si="162"/>
        <v>0.70915538578336368</v>
      </c>
      <c r="AZ312" s="9">
        <f t="shared" ca="1" si="163"/>
        <v>0.70915538578336368</v>
      </c>
      <c r="BB312" s="2">
        <f t="shared" ca="1" si="164"/>
        <v>8.6923872372509621</v>
      </c>
      <c r="BC312" s="2">
        <f t="shared" ca="1" si="165"/>
        <v>0.40045165640824049</v>
      </c>
      <c r="BD312" s="2">
        <f t="shared" ca="1" si="166"/>
        <v>1.4645085432807539E-4</v>
      </c>
      <c r="BE312" s="2">
        <f t="shared" ca="1" si="167"/>
        <v>0.18594881991967716</v>
      </c>
      <c r="BF312" s="2">
        <f t="shared" ca="1" si="168"/>
        <v>0.70915538578336368</v>
      </c>
      <c r="BG312" s="2">
        <f t="shared" ca="1" si="169"/>
        <v>5.2681331899634969E-2</v>
      </c>
      <c r="BH312" s="2">
        <f t="shared" ca="1" si="170"/>
        <v>0.70915538578336368</v>
      </c>
      <c r="BI312" s="2">
        <f t="shared" ca="1" si="171"/>
        <v>0.70915538578336368</v>
      </c>
    </row>
    <row r="313" spans="1:61" ht="15" x14ac:dyDescent="0.25">
      <c r="A313" s="66">
        <v>247</v>
      </c>
      <c r="B313" s="66">
        <v>1498730249.6140001</v>
      </c>
      <c r="C313" s="67">
        <v>3.5432662381292098E-5</v>
      </c>
      <c r="D313" s="67">
        <v>1.2994906553471199E-4</v>
      </c>
      <c r="E313" s="67">
        <v>1.3540969105623499E-2</v>
      </c>
      <c r="F313" s="67">
        <v>3.8354935327760499E-4</v>
      </c>
      <c r="G313" s="67">
        <v>1.56744419144602E-4</v>
      </c>
      <c r="H313" s="67">
        <v>0.24986691203729</v>
      </c>
      <c r="I313" s="67">
        <v>1.2994906553471199E-4</v>
      </c>
      <c r="J313" s="67">
        <v>0.18046352841489799</v>
      </c>
      <c r="K313" s="67">
        <v>2.1697336726238099</v>
      </c>
      <c r="L313" s="67"/>
      <c r="M313" s="67"/>
      <c r="O313" s="11">
        <f t="shared" ca="1" si="129"/>
        <v>2.262873167133207E-5</v>
      </c>
      <c r="P313" s="11">
        <f t="shared" ca="1" si="130"/>
        <v>1.2918396530440724E-4</v>
      </c>
      <c r="Q313" s="11">
        <f t="shared" ca="1" si="131"/>
        <v>1.2704477493355215E-2</v>
      </c>
      <c r="R313" s="11">
        <f t="shared" ca="1" si="132"/>
        <v>3.7190286563125788E-4</v>
      </c>
      <c r="S313" s="11">
        <f t="shared" ca="1" si="133"/>
        <v>1.4581676709763189E-4</v>
      </c>
      <c r="T313" s="11">
        <f t="shared" ca="1" si="134"/>
        <v>0.24872835699870771</v>
      </c>
      <c r="U313" s="11">
        <f t="shared" ca="1" si="135"/>
        <v>1.2918396530440724E-4</v>
      </c>
      <c r="V313" s="11">
        <f t="shared" ca="1" si="136"/>
        <v>0.17981333240920422</v>
      </c>
      <c r="W313" s="11">
        <f t="shared" ca="1" si="137"/>
        <v>2.1626108243603048</v>
      </c>
      <c r="X313" s="11"/>
      <c r="Y313" s="2">
        <f t="shared" ca="1" si="138"/>
        <v>2.262873167133207E-5</v>
      </c>
      <c r="Z313" s="11">
        <f t="shared" ca="1" si="139"/>
        <v>1.2918396530440724E-4</v>
      </c>
      <c r="AA313" s="2">
        <f t="shared" ca="1" si="140"/>
        <v>1.2703489139351272E-2</v>
      </c>
      <c r="AB313" s="2">
        <f t="shared" ca="1" si="141"/>
        <v>3.4798020621762426E-4</v>
      </c>
      <c r="AC313" s="2">
        <f t="shared" ca="1" si="142"/>
        <v>1.4581676709763189E-4</v>
      </c>
      <c r="AD313" s="2">
        <f t="shared" ca="1" si="143"/>
        <v>0.24855438423142265</v>
      </c>
      <c r="AE313" s="2">
        <f t="shared" ca="1" si="144"/>
        <v>1.2918396530440724E-4</v>
      </c>
      <c r="AF313" s="2">
        <f t="shared" ca="1" si="145"/>
        <v>0.1795564165246564</v>
      </c>
      <c r="AG313" s="2">
        <f t="shared" ca="1" si="146"/>
        <v>2.162506573871009</v>
      </c>
      <c r="AI313" s="2">
        <f t="shared" ca="1" si="147"/>
        <v>2.262873167133207E-5</v>
      </c>
      <c r="AJ313" s="11">
        <f t="shared" ca="1" si="148"/>
        <v>1.2918396530440724E-4</v>
      </c>
      <c r="AK313" s="2">
        <f t="shared" ca="1" si="149"/>
        <v>1.2551075962748359E-2</v>
      </c>
      <c r="AL313" s="2">
        <f t="shared" ca="1" si="150"/>
        <v>2.7664447321618037E-4</v>
      </c>
      <c r="AM313" s="2">
        <f t="shared" ca="1" si="151"/>
        <v>1.4581676709763189E-4</v>
      </c>
      <c r="AN313" s="2">
        <f t="shared" ca="1" si="152"/>
        <v>0.24855438423142265</v>
      </c>
      <c r="AO313" s="2">
        <f t="shared" ca="1" si="153"/>
        <v>1.2918396530440724E-4</v>
      </c>
      <c r="AP313" s="2">
        <f t="shared" ca="1" si="154"/>
        <v>0.1795564165246564</v>
      </c>
      <c r="AQ313" s="2">
        <f t="shared" ca="1" si="155"/>
        <v>2.162506573871009</v>
      </c>
      <c r="AS313" s="2">
        <f t="shared" ca="1" si="156"/>
        <v>8.6946693591979169</v>
      </c>
      <c r="AT313" s="2">
        <f t="shared" ca="1" si="157"/>
        <v>0.40055806736425331</v>
      </c>
      <c r="AU313" s="2">
        <f t="shared" ca="1" si="158"/>
        <v>1.4896869310448423E-4</v>
      </c>
      <c r="AV313" s="2">
        <f t="shared" ca="1" si="159"/>
        <v>0.17966436371609973</v>
      </c>
      <c r="AW313" s="2">
        <f t="shared" ca="1" si="160"/>
        <v>0.70884212035737826</v>
      </c>
      <c r="AX313" s="2">
        <f t="shared" ca="1" si="161"/>
        <v>5.3072178821517692E-2</v>
      </c>
      <c r="AY313" s="9">
        <f t="shared" ca="1" si="162"/>
        <v>0.70884212035737826</v>
      </c>
      <c r="AZ313" s="9">
        <f t="shared" ca="1" si="163"/>
        <v>0.70884212035737826</v>
      </c>
      <c r="BB313" s="2">
        <f t="shared" ca="1" si="164"/>
        <v>8.7003356652021644</v>
      </c>
      <c r="BC313" s="2">
        <f t="shared" ca="1" si="165"/>
        <v>0.40082227777688673</v>
      </c>
      <c r="BD313" s="2">
        <f t="shared" ca="1" si="166"/>
        <v>1.1088526788889635E-4</v>
      </c>
      <c r="BE313" s="2">
        <f t="shared" ca="1" si="167"/>
        <v>0.17944553125676752</v>
      </c>
      <c r="BF313" s="2">
        <f t="shared" ca="1" si="168"/>
        <v>0.70824188605655425</v>
      </c>
      <c r="BG313" s="2">
        <f t="shared" ca="1" si="169"/>
        <v>5.2503040661575275E-2</v>
      </c>
      <c r="BH313" s="2">
        <f t="shared" ca="1" si="170"/>
        <v>0.70824188605655425</v>
      </c>
      <c r="BI313" s="2">
        <f t="shared" ca="1" si="171"/>
        <v>0.70824188605655425</v>
      </c>
    </row>
    <row r="314" spans="1:61" ht="15" x14ac:dyDescent="0.25">
      <c r="A314" s="66">
        <v>248</v>
      </c>
      <c r="B314" s="66">
        <v>1498730250.141</v>
      </c>
      <c r="C314" s="67">
        <v>-5.5983878712520603E-5</v>
      </c>
      <c r="D314" s="67">
        <v>-3.0538504021311698E-6</v>
      </c>
      <c r="E314" s="67">
        <v>1.4805328369212899E-2</v>
      </c>
      <c r="F314" s="67">
        <v>4.7043284485877502E-4</v>
      </c>
      <c r="G314" s="67">
        <v>3.9257150377332501E-5</v>
      </c>
      <c r="H314" s="67">
        <v>0.27523893923612502</v>
      </c>
      <c r="I314" s="67">
        <v>-3.0538504021311698E-6</v>
      </c>
      <c r="J314" s="67">
        <v>0.19860026117728</v>
      </c>
      <c r="K314" s="67">
        <v>2.3860152047454402</v>
      </c>
      <c r="L314" s="67"/>
      <c r="M314" s="67"/>
      <c r="O314" s="11">
        <f t="shared" ca="1" si="129"/>
        <v>-6.8787809422480624E-5</v>
      </c>
      <c r="P314" s="11">
        <f t="shared" ca="1" si="130"/>
        <v>-3.8189506324359101E-6</v>
      </c>
      <c r="Q314" s="11">
        <f t="shared" ca="1" si="131"/>
        <v>1.3968836756944615E-2</v>
      </c>
      <c r="R314" s="11">
        <f t="shared" ca="1" si="132"/>
        <v>4.5878635721242791E-4</v>
      </c>
      <c r="S314" s="11">
        <f t="shared" ca="1" si="133"/>
        <v>2.832949833036238E-5</v>
      </c>
      <c r="T314" s="11">
        <f t="shared" ca="1" si="134"/>
        <v>0.27410038419754273</v>
      </c>
      <c r="U314" s="11">
        <f t="shared" ca="1" si="135"/>
        <v>-3.8189506324359101E-6</v>
      </c>
      <c r="V314" s="11">
        <f t="shared" ca="1" si="136"/>
        <v>0.19795006517158623</v>
      </c>
      <c r="W314" s="11">
        <f t="shared" ca="1" si="137"/>
        <v>2.3788923564819351</v>
      </c>
      <c r="X314" s="11"/>
      <c r="Y314" s="2">
        <f t="shared" ca="1" si="138"/>
        <v>-6.8787809422480624E-5</v>
      </c>
      <c r="Z314" s="11">
        <f t="shared" ca="1" si="139"/>
        <v>-3.8189506324359101E-6</v>
      </c>
      <c r="AA314" s="2">
        <f t="shared" ca="1" si="140"/>
        <v>1.3968836756944615E-2</v>
      </c>
      <c r="AB314" s="2">
        <f t="shared" ca="1" si="141"/>
        <v>4.5878635721242791E-4</v>
      </c>
      <c r="AC314" s="2">
        <f t="shared" ca="1" si="142"/>
        <v>2.832949833036238E-5</v>
      </c>
      <c r="AD314" s="2">
        <f t="shared" ca="1" si="143"/>
        <v>0.27410038419754273</v>
      </c>
      <c r="AE314" s="2">
        <f t="shared" ca="1" si="144"/>
        <v>-3.8189506324359101E-6</v>
      </c>
      <c r="AF314" s="2">
        <f t="shared" ca="1" si="145"/>
        <v>0.19795006517158623</v>
      </c>
      <c r="AG314" s="2">
        <f t="shared" ca="1" si="146"/>
        <v>2.3788923564819351</v>
      </c>
      <c r="AI314" s="2">
        <f t="shared" ca="1" si="147"/>
        <v>-6.8787809422480624E-5</v>
      </c>
      <c r="AJ314" s="11">
        <f t="shared" ca="1" si="148"/>
        <v>-3.8189506324359101E-6</v>
      </c>
      <c r="AK314" s="2">
        <f t="shared" ca="1" si="149"/>
        <v>1.3968836756944615E-2</v>
      </c>
      <c r="AL314" s="2">
        <f t="shared" ca="1" si="150"/>
        <v>4.5878635721242791E-4</v>
      </c>
      <c r="AM314" s="2">
        <f t="shared" ca="1" si="151"/>
        <v>2.832949833036238E-5</v>
      </c>
      <c r="AN314" s="2">
        <f t="shared" ca="1" si="152"/>
        <v>0.27410038419754273</v>
      </c>
      <c r="AO314" s="2">
        <f t="shared" ca="1" si="153"/>
        <v>-3.8189506324359101E-6</v>
      </c>
      <c r="AP314" s="2">
        <f t="shared" ca="1" si="154"/>
        <v>0.19795006517158623</v>
      </c>
      <c r="AQ314" s="2">
        <f t="shared" ca="1" si="155"/>
        <v>2.3788923564819351</v>
      </c>
      <c r="AS314" s="2">
        <f t="shared" ca="1" si="156"/>
        <v>8.6789092377465611</v>
      </c>
      <c r="AT314" s="2">
        <f t="shared" ca="1" si="157"/>
        <v>0.39982321013345373</v>
      </c>
      <c r="AU314" s="2">
        <f t="shared" ca="1" si="158"/>
        <v>1.8343343410610633E-4</v>
      </c>
      <c r="AV314" s="2">
        <f t="shared" ca="1" si="159"/>
        <v>0.19776663173748013</v>
      </c>
      <c r="AW314" s="2">
        <f t="shared" ca="1" si="160"/>
        <v>0.70868467207935215</v>
      </c>
      <c r="AX314" s="2">
        <f t="shared" ca="1" si="161"/>
        <v>5.2854231665807341E-2</v>
      </c>
      <c r="AY314" s="9">
        <f t="shared" ca="1" si="162"/>
        <v>0.70868467207935215</v>
      </c>
      <c r="AZ314" s="9">
        <f t="shared" ca="1" si="163"/>
        <v>0.70868467207935215</v>
      </c>
      <c r="BB314" s="2">
        <f t="shared" ca="1" si="164"/>
        <v>8.6789092377465611</v>
      </c>
      <c r="BC314" s="2">
        <f t="shared" ca="1" si="165"/>
        <v>0.39982321013345373</v>
      </c>
      <c r="BD314" s="2">
        <f t="shared" ca="1" si="166"/>
        <v>1.8343343410610633E-4</v>
      </c>
      <c r="BE314" s="2">
        <f t="shared" ca="1" si="167"/>
        <v>0.19776663173748013</v>
      </c>
      <c r="BF314" s="2">
        <f t="shared" ca="1" si="168"/>
        <v>0.70868467207935215</v>
      </c>
      <c r="BG314" s="2">
        <f t="shared" ca="1" si="169"/>
        <v>5.2854231665807341E-2</v>
      </c>
      <c r="BH314" s="2">
        <f t="shared" ca="1" si="170"/>
        <v>0.70868467207935215</v>
      </c>
      <c r="BI314" s="2">
        <f t="shared" ca="1" si="171"/>
        <v>0.70868467207935215</v>
      </c>
    </row>
    <row r="315" spans="1:61" ht="15" x14ac:dyDescent="0.25">
      <c r="A315" s="66">
        <v>249</v>
      </c>
      <c r="B315" s="66">
        <v>1498730250.668</v>
      </c>
      <c r="C315" s="67">
        <v>1.6770720415151999E-5</v>
      </c>
      <c r="D315" s="67">
        <v>-2.2271217498663701E-6</v>
      </c>
      <c r="E315" s="67">
        <v>1.55525659670444E-2</v>
      </c>
      <c r="F315" s="67">
        <v>4.8638214237255802E-4</v>
      </c>
      <c r="G315" s="67">
        <v>2.0866744931594E-5</v>
      </c>
      <c r="H315" s="67">
        <v>0.29063102799423202</v>
      </c>
      <c r="I315" s="67">
        <v>-2.2271217498663701E-6</v>
      </c>
      <c r="J315" s="67">
        <v>0.209730548685791</v>
      </c>
      <c r="K315" s="67">
        <v>2.5220674175609998</v>
      </c>
      <c r="L315" s="67"/>
      <c r="M315" s="67"/>
      <c r="O315" s="11">
        <f t="shared" ca="1" si="129"/>
        <v>3.9667897051919717E-6</v>
      </c>
      <c r="P315" s="11">
        <f t="shared" ca="1" si="130"/>
        <v>-2.9922219801711104E-6</v>
      </c>
      <c r="Q315" s="11">
        <f t="shared" ca="1" si="131"/>
        <v>1.4716074354776116E-2</v>
      </c>
      <c r="R315" s="11">
        <f t="shared" ca="1" si="132"/>
        <v>4.7473565472621091E-4</v>
      </c>
      <c r="S315" s="11">
        <f t="shared" ca="1" si="133"/>
        <v>9.9390928846238773E-6</v>
      </c>
      <c r="T315" s="11">
        <f t="shared" ca="1" si="134"/>
        <v>0.28949247295564973</v>
      </c>
      <c r="U315" s="11">
        <f t="shared" ca="1" si="135"/>
        <v>-2.9922219801711104E-6</v>
      </c>
      <c r="V315" s="11">
        <f t="shared" ca="1" si="136"/>
        <v>0.20908035268009723</v>
      </c>
      <c r="W315" s="11">
        <f t="shared" ca="1" si="137"/>
        <v>2.5149445692974948</v>
      </c>
      <c r="X315" s="11"/>
      <c r="Y315" s="2">
        <f t="shared" ca="1" si="138"/>
        <v>3.9667897051919717E-6</v>
      </c>
      <c r="Z315" s="11">
        <f t="shared" ca="1" si="139"/>
        <v>-2.9922219801711104E-6</v>
      </c>
      <c r="AA315" s="2">
        <f t="shared" ca="1" si="140"/>
        <v>1.4716074354776116E-2</v>
      </c>
      <c r="AB315" s="2">
        <f t="shared" ca="1" si="141"/>
        <v>4.7473565472621091E-4</v>
      </c>
      <c r="AC315" s="2">
        <f t="shared" ca="1" si="142"/>
        <v>9.9390928846238773E-6</v>
      </c>
      <c r="AD315" s="2">
        <f t="shared" ca="1" si="143"/>
        <v>0.28949247295564973</v>
      </c>
      <c r="AE315" s="2">
        <f t="shared" ca="1" si="144"/>
        <v>-2.9922219801711104E-6</v>
      </c>
      <c r="AF315" s="2">
        <f t="shared" ca="1" si="145"/>
        <v>0.20908035268009723</v>
      </c>
      <c r="AG315" s="2">
        <f t="shared" ca="1" si="146"/>
        <v>2.5149445692974948</v>
      </c>
      <c r="AI315" s="2">
        <f t="shared" ca="1" si="147"/>
        <v>3.9667897051919717E-6</v>
      </c>
      <c r="AJ315" s="11">
        <f t="shared" ca="1" si="148"/>
        <v>-2.9922219801711104E-6</v>
      </c>
      <c r="AK315" s="2">
        <f t="shared" ca="1" si="149"/>
        <v>1.4716074354776116E-2</v>
      </c>
      <c r="AL315" s="2">
        <f t="shared" ca="1" si="150"/>
        <v>4.7473565472621091E-4</v>
      </c>
      <c r="AM315" s="2">
        <f t="shared" ca="1" si="151"/>
        <v>9.9390928846238773E-6</v>
      </c>
      <c r="AN315" s="2">
        <f t="shared" ca="1" si="152"/>
        <v>0.28949247295564973</v>
      </c>
      <c r="AO315" s="2">
        <f t="shared" ca="1" si="153"/>
        <v>-2.9922219801711104E-6</v>
      </c>
      <c r="AP315" s="2">
        <f t="shared" ca="1" si="154"/>
        <v>0.20908035268009723</v>
      </c>
      <c r="AQ315" s="2">
        <f t="shared" ca="1" si="155"/>
        <v>2.5149445692974948</v>
      </c>
      <c r="AS315" s="2">
        <f t="shared" ca="1" si="156"/>
        <v>8.6874264592115473</v>
      </c>
      <c r="AT315" s="2">
        <f t="shared" ca="1" si="157"/>
        <v>0.40022034604083201</v>
      </c>
      <c r="AU315" s="2">
        <f t="shared" ca="1" si="158"/>
        <v>1.8999886801244508E-4</v>
      </c>
      <c r="AV315" s="2">
        <f t="shared" ca="1" si="159"/>
        <v>0.20889035381208479</v>
      </c>
      <c r="AW315" s="2">
        <f t="shared" ca="1" si="160"/>
        <v>0.70839624145060376</v>
      </c>
      <c r="AX315" s="2">
        <f t="shared" ca="1" si="161"/>
        <v>5.277396960036719E-2</v>
      </c>
      <c r="AY315" s="9">
        <f t="shared" ca="1" si="162"/>
        <v>0.70839624145060376</v>
      </c>
      <c r="AZ315" s="9">
        <f t="shared" ca="1" si="163"/>
        <v>0.70839624145060376</v>
      </c>
      <c r="BB315" s="2">
        <f t="shared" ca="1" si="164"/>
        <v>8.6874264592115473</v>
      </c>
      <c r="BC315" s="2">
        <f t="shared" ca="1" si="165"/>
        <v>0.40022034604083201</v>
      </c>
      <c r="BD315" s="2">
        <f t="shared" ca="1" si="166"/>
        <v>1.8999886801244508E-4</v>
      </c>
      <c r="BE315" s="2">
        <f t="shared" ca="1" si="167"/>
        <v>0.20889035381208479</v>
      </c>
      <c r="BF315" s="2">
        <f t="shared" ca="1" si="168"/>
        <v>0.70839624145060376</v>
      </c>
      <c r="BG315" s="2">
        <f t="shared" ca="1" si="169"/>
        <v>5.277396960036719E-2</v>
      </c>
      <c r="BH315" s="2">
        <f t="shared" ca="1" si="170"/>
        <v>0.70839624145060376</v>
      </c>
      <c r="BI315" s="2">
        <f t="shared" ca="1" si="171"/>
        <v>0.70839624145060376</v>
      </c>
    </row>
    <row r="316" spans="1:61" ht="15" x14ac:dyDescent="0.25">
      <c r="A316" s="66">
        <v>250</v>
      </c>
      <c r="B316" s="66">
        <v>1498730251.1949999</v>
      </c>
      <c r="C316" s="67">
        <v>4.6063039408149903E-5</v>
      </c>
      <c r="D316" s="67">
        <v>-1.3092148435217499E-5</v>
      </c>
      <c r="E316" s="67">
        <v>1.4998111094727399E-2</v>
      </c>
      <c r="F316" s="67">
        <v>4.4162953489755401E-4</v>
      </c>
      <c r="G316" s="67">
        <v>-5.9059982116602397E-5</v>
      </c>
      <c r="H316" s="67">
        <v>0.27871665819211899</v>
      </c>
      <c r="I316" s="67">
        <v>-1.3092148435217499E-5</v>
      </c>
      <c r="J316" s="67">
        <v>0.201383614327202</v>
      </c>
      <c r="K316" s="67">
        <v>2.4220673149157101</v>
      </c>
      <c r="L316" s="67"/>
      <c r="M316" s="67"/>
      <c r="O316" s="11">
        <f t="shared" ca="1" si="129"/>
        <v>3.3259108698189875E-5</v>
      </c>
      <c r="P316" s="11">
        <f t="shared" ca="1" si="130"/>
        <v>-1.385724866552224E-5</v>
      </c>
      <c r="Q316" s="11">
        <f t="shared" ca="1" si="131"/>
        <v>1.4161619482459115E-2</v>
      </c>
      <c r="R316" s="11">
        <f t="shared" ca="1" si="132"/>
        <v>4.299830472512069E-4</v>
      </c>
      <c r="S316" s="11">
        <f t="shared" ca="1" si="133"/>
        <v>-6.9987634163572518E-5</v>
      </c>
      <c r="T316" s="11">
        <f t="shared" ca="1" si="134"/>
        <v>0.2775781031535367</v>
      </c>
      <c r="U316" s="11">
        <f t="shared" ca="1" si="135"/>
        <v>-1.385724866552224E-5</v>
      </c>
      <c r="V316" s="11">
        <f t="shared" ca="1" si="136"/>
        <v>0.20073341832150823</v>
      </c>
      <c r="W316" s="11">
        <f t="shared" ca="1" si="137"/>
        <v>2.4149444666522051</v>
      </c>
      <c r="X316" s="11"/>
      <c r="Y316" s="2">
        <f t="shared" ca="1" si="138"/>
        <v>3.3259108698189875E-5</v>
      </c>
      <c r="Z316" s="11">
        <f t="shared" ca="1" si="139"/>
        <v>-1.385724866552224E-5</v>
      </c>
      <c r="AA316" s="2">
        <f t="shared" ca="1" si="140"/>
        <v>1.4161619482459115E-2</v>
      </c>
      <c r="AB316" s="2">
        <f t="shared" ca="1" si="141"/>
        <v>4.299830472512069E-4</v>
      </c>
      <c r="AC316" s="2">
        <f t="shared" ca="1" si="142"/>
        <v>-6.9987634163572518E-5</v>
      </c>
      <c r="AD316" s="2">
        <f t="shared" ca="1" si="143"/>
        <v>0.2775781031535367</v>
      </c>
      <c r="AE316" s="2">
        <f t="shared" ca="1" si="144"/>
        <v>-1.385724866552224E-5</v>
      </c>
      <c r="AF316" s="2">
        <f t="shared" ca="1" si="145"/>
        <v>0.20073341832150823</v>
      </c>
      <c r="AG316" s="2">
        <f t="shared" ca="1" si="146"/>
        <v>2.4149444666522051</v>
      </c>
      <c r="AI316" s="2">
        <f t="shared" ca="1" si="147"/>
        <v>3.3259108698189875E-5</v>
      </c>
      <c r="AJ316" s="11">
        <f t="shared" ca="1" si="148"/>
        <v>-1.385724866552224E-5</v>
      </c>
      <c r="AK316" s="2">
        <f t="shared" ca="1" si="149"/>
        <v>1.4161619482459115E-2</v>
      </c>
      <c r="AL316" s="2">
        <f t="shared" ca="1" si="150"/>
        <v>4.299830472512069E-4</v>
      </c>
      <c r="AM316" s="2">
        <f t="shared" ca="1" si="151"/>
        <v>-6.9987634163572518E-5</v>
      </c>
      <c r="AN316" s="2">
        <f t="shared" ca="1" si="152"/>
        <v>0.2775781031535367</v>
      </c>
      <c r="AO316" s="2">
        <f t="shared" ca="1" si="153"/>
        <v>-1.385724866552224E-5</v>
      </c>
      <c r="AP316" s="2">
        <f t="shared" ca="1" si="154"/>
        <v>0.20073341832150823</v>
      </c>
      <c r="AQ316" s="2">
        <f t="shared" ca="1" si="155"/>
        <v>2.4149444666522051</v>
      </c>
      <c r="AS316" s="2">
        <f t="shared" ca="1" si="156"/>
        <v>8.7000539279441202</v>
      </c>
      <c r="AT316" s="2">
        <f t="shared" ca="1" si="157"/>
        <v>0.40080914078841645</v>
      </c>
      <c r="AU316" s="2">
        <f t="shared" ca="1" si="158"/>
        <v>1.7234113572234131E-4</v>
      </c>
      <c r="AV316" s="2">
        <f t="shared" ca="1" si="159"/>
        <v>0.20056107718578589</v>
      </c>
      <c r="AW316" s="2">
        <f t="shared" ca="1" si="160"/>
        <v>0.70882482681661274</v>
      </c>
      <c r="AX316" s="2">
        <f t="shared" ca="1" si="161"/>
        <v>5.304424256440652E-2</v>
      </c>
      <c r="AY316" s="9">
        <f t="shared" ca="1" si="162"/>
        <v>0.70882482681661274</v>
      </c>
      <c r="AZ316" s="9">
        <f t="shared" ca="1" si="163"/>
        <v>0.70882482681661274</v>
      </c>
      <c r="BB316" s="2">
        <f t="shared" ca="1" si="164"/>
        <v>8.7000539279441202</v>
      </c>
      <c r="BC316" s="2">
        <f t="shared" ca="1" si="165"/>
        <v>0.40080914078841645</v>
      </c>
      <c r="BD316" s="2">
        <f t="shared" ca="1" si="166"/>
        <v>1.7234113572234131E-4</v>
      </c>
      <c r="BE316" s="2">
        <f t="shared" ca="1" si="167"/>
        <v>0.20056107718578589</v>
      </c>
      <c r="BF316" s="2">
        <f t="shared" ca="1" si="168"/>
        <v>0.70882482681661274</v>
      </c>
      <c r="BG316" s="2">
        <f t="shared" ca="1" si="169"/>
        <v>5.304424256440652E-2</v>
      </c>
      <c r="BH316" s="2">
        <f t="shared" ca="1" si="170"/>
        <v>0.70882482681661274</v>
      </c>
      <c r="BI316" s="2">
        <f t="shared" ca="1" si="171"/>
        <v>0.70882482681661274</v>
      </c>
    </row>
    <row r="317" spans="1:61" ht="15" x14ac:dyDescent="0.25">
      <c r="A317" s="66">
        <v>251</v>
      </c>
      <c r="B317" s="66">
        <v>1498730251.7219999</v>
      </c>
      <c r="C317" s="67">
        <v>1.0865115693047101E-5</v>
      </c>
      <c r="D317" s="67">
        <v>-2.92693845501316E-5</v>
      </c>
      <c r="E317" s="67">
        <v>1.51492302175974E-2</v>
      </c>
      <c r="F317" s="67">
        <v>4.6519581763257401E-4</v>
      </c>
      <c r="G317" s="67">
        <v>3.6289964994063401E-5</v>
      </c>
      <c r="H317" s="67">
        <v>0.28141423833859802</v>
      </c>
      <c r="I317" s="67">
        <v>-2.92693845501316E-5</v>
      </c>
      <c r="J317" s="67">
        <v>0.203348433480875</v>
      </c>
      <c r="K317" s="67">
        <v>2.4411157376047701</v>
      </c>
      <c r="L317" s="67"/>
      <c r="M317" s="67"/>
      <c r="O317" s="11">
        <f t="shared" ca="1" si="129"/>
        <v>-1.9388150169129273E-6</v>
      </c>
      <c r="P317" s="11">
        <f t="shared" ca="1" si="130"/>
        <v>-3.0034484780436342E-5</v>
      </c>
      <c r="Q317" s="11">
        <f t="shared" ca="1" si="131"/>
        <v>1.4312738605329115E-2</v>
      </c>
      <c r="R317" s="11">
        <f t="shared" ca="1" si="132"/>
        <v>4.5354932998622691E-4</v>
      </c>
      <c r="S317" s="11">
        <f t="shared" ca="1" si="133"/>
        <v>2.536231294709328E-5</v>
      </c>
      <c r="T317" s="11">
        <f t="shared" ca="1" si="134"/>
        <v>0.28027568330001573</v>
      </c>
      <c r="U317" s="11">
        <f t="shared" ca="1" si="135"/>
        <v>-3.0034484780436342E-5</v>
      </c>
      <c r="V317" s="11">
        <f t="shared" ca="1" si="136"/>
        <v>0.20269823747518123</v>
      </c>
      <c r="W317" s="11">
        <f t="shared" ca="1" si="137"/>
        <v>2.433992889341265</v>
      </c>
      <c r="X317" s="11"/>
      <c r="Y317" s="2">
        <f t="shared" ca="1" si="138"/>
        <v>-1.9388150169129273E-6</v>
      </c>
      <c r="Z317" s="11">
        <f t="shared" ca="1" si="139"/>
        <v>-3.0034484780436342E-5</v>
      </c>
      <c r="AA317" s="2">
        <f t="shared" ca="1" si="140"/>
        <v>1.4312738605329115E-2</v>
      </c>
      <c r="AB317" s="2">
        <f t="shared" ca="1" si="141"/>
        <v>4.5354932998622691E-4</v>
      </c>
      <c r="AC317" s="2">
        <f t="shared" ca="1" si="142"/>
        <v>2.536231294709328E-5</v>
      </c>
      <c r="AD317" s="2">
        <f t="shared" ca="1" si="143"/>
        <v>0.28027568330001573</v>
      </c>
      <c r="AE317" s="2">
        <f t="shared" ca="1" si="144"/>
        <v>-3.0034484780436342E-5</v>
      </c>
      <c r="AF317" s="2">
        <f t="shared" ca="1" si="145"/>
        <v>0.20269823747518123</v>
      </c>
      <c r="AG317" s="2">
        <f t="shared" ca="1" si="146"/>
        <v>2.433992889341265</v>
      </c>
      <c r="AI317" s="2">
        <f t="shared" ca="1" si="147"/>
        <v>-1.9388150169129273E-6</v>
      </c>
      <c r="AJ317" s="11">
        <f t="shared" ca="1" si="148"/>
        <v>-3.0034484780436342E-5</v>
      </c>
      <c r="AK317" s="2">
        <f t="shared" ca="1" si="149"/>
        <v>1.4312738605329115E-2</v>
      </c>
      <c r="AL317" s="2">
        <f t="shared" ca="1" si="150"/>
        <v>4.5354932998622691E-4</v>
      </c>
      <c r="AM317" s="2">
        <f t="shared" ca="1" si="151"/>
        <v>2.536231294709328E-5</v>
      </c>
      <c r="AN317" s="2">
        <f t="shared" ca="1" si="152"/>
        <v>0.28027568330001573</v>
      </c>
      <c r="AO317" s="2">
        <f t="shared" ca="1" si="153"/>
        <v>-3.0034484780436342E-5</v>
      </c>
      <c r="AP317" s="2">
        <f t="shared" ca="1" si="154"/>
        <v>0.20269823747518123</v>
      </c>
      <c r="AQ317" s="2">
        <f t="shared" ca="1" si="155"/>
        <v>2.433992889341265</v>
      </c>
      <c r="AS317" s="2">
        <f t="shared" ca="1" si="156"/>
        <v>8.684281350001541</v>
      </c>
      <c r="AT317" s="2">
        <f t="shared" ca="1" si="157"/>
        <v>0.40007369721983488</v>
      </c>
      <c r="AU317" s="2">
        <f t="shared" ca="1" si="158"/>
        <v>1.8145315731916872E-4</v>
      </c>
      <c r="AV317" s="2">
        <f t="shared" ca="1" si="159"/>
        <v>0.20251678431786208</v>
      </c>
      <c r="AW317" s="2">
        <f t="shared" ca="1" si="160"/>
        <v>0.70949597308065238</v>
      </c>
      <c r="AX317" s="2">
        <f t="shared" ca="1" si="161"/>
        <v>5.2995802464074517E-2</v>
      </c>
      <c r="AY317" s="9">
        <f t="shared" ca="1" si="162"/>
        <v>0.70949597308065238</v>
      </c>
      <c r="AZ317" s="9">
        <f t="shared" ca="1" si="163"/>
        <v>0.70949597308065238</v>
      </c>
      <c r="BB317" s="2">
        <f t="shared" ca="1" si="164"/>
        <v>8.684281350001541</v>
      </c>
      <c r="BC317" s="2">
        <f t="shared" ca="1" si="165"/>
        <v>0.40007369721983488</v>
      </c>
      <c r="BD317" s="2">
        <f t="shared" ca="1" si="166"/>
        <v>1.8145315731916872E-4</v>
      </c>
      <c r="BE317" s="2">
        <f t="shared" ca="1" si="167"/>
        <v>0.20251678431786208</v>
      </c>
      <c r="BF317" s="2">
        <f t="shared" ca="1" si="168"/>
        <v>0.70949597308065238</v>
      </c>
      <c r="BG317" s="2">
        <f t="shared" ca="1" si="169"/>
        <v>5.2995802464074517E-2</v>
      </c>
      <c r="BH317" s="2" t="str">
        <f t="shared" ca="1" si="170"/>
        <v>rejected</v>
      </c>
      <c r="BI317" s="2" t="e">
        <f t="shared" ca="1" si="171"/>
        <v>#N/A</v>
      </c>
    </row>
    <row r="318" spans="1:61" ht="15" x14ac:dyDescent="0.25">
      <c r="A318" s="66">
        <v>252</v>
      </c>
      <c r="B318" s="66">
        <v>1498730252.2490001</v>
      </c>
      <c r="C318" s="67">
        <v>2.0314100121065399E-5</v>
      </c>
      <c r="D318" s="67">
        <v>-2.2633494519009599E-5</v>
      </c>
      <c r="E318" s="67">
        <v>1.48002683170727E-2</v>
      </c>
      <c r="F318" s="67">
        <v>3.7212414130450899E-4</v>
      </c>
      <c r="G318" s="67">
        <v>-1.77631598103864E-5</v>
      </c>
      <c r="H318" s="67">
        <v>0.276962496222115</v>
      </c>
      <c r="I318" s="67">
        <v>-2.2633494519009599E-5</v>
      </c>
      <c r="J318" s="67">
        <v>0.20029630709786</v>
      </c>
      <c r="K318" s="67">
        <v>2.4071639607957298</v>
      </c>
      <c r="L318" s="67"/>
      <c r="M318" s="67"/>
      <c r="O318" s="11">
        <f t="shared" ca="1" si="129"/>
        <v>7.5101694111053707E-6</v>
      </c>
      <c r="P318" s="11">
        <f t="shared" ca="1" si="130"/>
        <v>-2.3398594749314341E-5</v>
      </c>
      <c r="Q318" s="11">
        <f t="shared" ca="1" si="131"/>
        <v>1.3963776704804415E-2</v>
      </c>
      <c r="R318" s="11">
        <f t="shared" ca="1" si="132"/>
        <v>3.6047765365816188E-4</v>
      </c>
      <c r="S318" s="11">
        <f t="shared" ca="1" si="133"/>
        <v>-2.869081185735652E-5</v>
      </c>
      <c r="T318" s="11">
        <f t="shared" ca="1" si="134"/>
        <v>0.27582394118353271</v>
      </c>
      <c r="U318" s="11">
        <f t="shared" ca="1" si="135"/>
        <v>-2.3398594749314341E-5</v>
      </c>
      <c r="V318" s="11">
        <f t="shared" ca="1" si="136"/>
        <v>0.19964611109216623</v>
      </c>
      <c r="W318" s="11">
        <f t="shared" ca="1" si="137"/>
        <v>2.4000411125322247</v>
      </c>
      <c r="X318" s="11"/>
      <c r="Y318" s="2">
        <f t="shared" ca="1" si="138"/>
        <v>7.5101694111053707E-6</v>
      </c>
      <c r="Z318" s="11">
        <f t="shared" ca="1" si="139"/>
        <v>-2.3398594749314341E-5</v>
      </c>
      <c r="AA318" s="2">
        <f t="shared" ca="1" si="140"/>
        <v>1.3963776704804415E-2</v>
      </c>
      <c r="AB318" s="2">
        <f t="shared" ca="1" si="141"/>
        <v>3.6047765365816188E-4</v>
      </c>
      <c r="AC318" s="2">
        <f t="shared" ca="1" si="142"/>
        <v>-2.869081185735652E-5</v>
      </c>
      <c r="AD318" s="2">
        <f t="shared" ca="1" si="143"/>
        <v>0.27582394118353271</v>
      </c>
      <c r="AE318" s="2">
        <f t="shared" ca="1" si="144"/>
        <v>-2.3398594749314341E-5</v>
      </c>
      <c r="AF318" s="2">
        <f t="shared" ca="1" si="145"/>
        <v>0.19964611109216623</v>
      </c>
      <c r="AG318" s="2">
        <f t="shared" ca="1" si="146"/>
        <v>2.4000411125322247</v>
      </c>
      <c r="AI318" s="2">
        <f t="shared" ca="1" si="147"/>
        <v>7.5101694111053707E-6</v>
      </c>
      <c r="AJ318" s="11">
        <f t="shared" ca="1" si="148"/>
        <v>-2.3398594749314341E-5</v>
      </c>
      <c r="AK318" s="2">
        <f t="shared" ca="1" si="149"/>
        <v>1.3963776704804415E-2</v>
      </c>
      <c r="AL318" s="2">
        <f t="shared" ca="1" si="150"/>
        <v>3.6047765365816188E-4</v>
      </c>
      <c r="AM318" s="2">
        <f t="shared" ca="1" si="151"/>
        <v>-2.869081185735652E-5</v>
      </c>
      <c r="AN318" s="2">
        <f t="shared" ca="1" si="152"/>
        <v>0.27582394118353271</v>
      </c>
      <c r="AO318" s="2">
        <f t="shared" ca="1" si="153"/>
        <v>-2.3398594749314341E-5</v>
      </c>
      <c r="AP318" s="2">
        <f t="shared" ca="1" si="154"/>
        <v>0.19964611109216623</v>
      </c>
      <c r="AQ318" s="2">
        <f t="shared" ca="1" si="155"/>
        <v>2.4000411125322247</v>
      </c>
      <c r="AS318" s="2">
        <f t="shared" ca="1" si="156"/>
        <v>8.7013516746729476</v>
      </c>
      <c r="AT318" s="2">
        <f t="shared" ca="1" si="157"/>
        <v>0.40086965282720571</v>
      </c>
      <c r="AU318" s="2">
        <f t="shared" ca="1" si="158"/>
        <v>1.4450455187391305E-4</v>
      </c>
      <c r="AV318" s="2">
        <f t="shared" ca="1" si="159"/>
        <v>0.19950160654029231</v>
      </c>
      <c r="AW318" s="2">
        <f t="shared" ca="1" si="160"/>
        <v>0.7095112516465033</v>
      </c>
      <c r="AX318" s="2">
        <f t="shared" ca="1" si="161"/>
        <v>5.2643863427557037E-2</v>
      </c>
      <c r="AY318" s="9">
        <f t="shared" ca="1" si="162"/>
        <v>0.7095112516465033</v>
      </c>
      <c r="AZ318" s="9">
        <f t="shared" ca="1" si="163"/>
        <v>0.7095112516465033</v>
      </c>
      <c r="BB318" s="2">
        <f t="shared" ca="1" si="164"/>
        <v>8.7013516746729476</v>
      </c>
      <c r="BC318" s="2">
        <f t="shared" ca="1" si="165"/>
        <v>0.40086965282720571</v>
      </c>
      <c r="BD318" s="2">
        <f t="shared" ca="1" si="166"/>
        <v>1.4450455187391305E-4</v>
      </c>
      <c r="BE318" s="2">
        <f t="shared" ca="1" si="167"/>
        <v>0.19950160654029231</v>
      </c>
      <c r="BF318" s="2">
        <f t="shared" ca="1" si="168"/>
        <v>0.7095112516465033</v>
      </c>
      <c r="BG318" s="2">
        <f t="shared" ca="1" si="169"/>
        <v>5.2643863427557037E-2</v>
      </c>
      <c r="BH318" s="2" t="str">
        <f t="shared" ca="1" si="170"/>
        <v>rejected</v>
      </c>
      <c r="BI318" s="2" t="e">
        <f t="shared" ca="1" si="171"/>
        <v>#N/A</v>
      </c>
    </row>
    <row r="319" spans="1:61" ht="15" x14ac:dyDescent="0.25">
      <c r="A319" s="66">
        <v>253</v>
      </c>
      <c r="B319" s="66">
        <v>1498730252.776</v>
      </c>
      <c r="C319" s="67">
        <v>3.4251516408893398E-5</v>
      </c>
      <c r="D319" s="67">
        <v>-3.5031149516490603E-5</v>
      </c>
      <c r="E319" s="67">
        <v>1.4483429671113201E-2</v>
      </c>
      <c r="F319" s="67">
        <v>4.39487173128155E-4</v>
      </c>
      <c r="G319" s="67">
        <v>-1.1478089034384599E-4</v>
      </c>
      <c r="H319" s="67">
        <v>0.26875505522336002</v>
      </c>
      <c r="I319" s="67">
        <v>-3.5031149516490603E-5</v>
      </c>
      <c r="J319" s="67">
        <v>0.19397522058744199</v>
      </c>
      <c r="K319" s="67">
        <v>2.3331315700972701</v>
      </c>
      <c r="L319" s="67"/>
      <c r="M319" s="67"/>
      <c r="O319" s="11">
        <f t="shared" ca="1" si="129"/>
        <v>2.144758569893337E-5</v>
      </c>
      <c r="P319" s="11">
        <f t="shared" ca="1" si="130"/>
        <v>-3.5796249746795341E-5</v>
      </c>
      <c r="Q319" s="11">
        <f t="shared" ca="1" si="131"/>
        <v>1.3646938058844916E-2</v>
      </c>
      <c r="R319" s="11">
        <f t="shared" ca="1" si="132"/>
        <v>4.278406854818079E-4</v>
      </c>
      <c r="S319" s="11">
        <f t="shared" ca="1" si="133"/>
        <v>-1.2570854239081611E-4</v>
      </c>
      <c r="T319" s="11">
        <f t="shared" ca="1" si="134"/>
        <v>0.26761650018477773</v>
      </c>
      <c r="U319" s="11">
        <f t="shared" ca="1" si="135"/>
        <v>-3.5796249746795341E-5</v>
      </c>
      <c r="V319" s="11">
        <f t="shared" ca="1" si="136"/>
        <v>0.19332502458174822</v>
      </c>
      <c r="W319" s="11">
        <f t="shared" ca="1" si="137"/>
        <v>2.3260087218337651</v>
      </c>
      <c r="X319" s="11"/>
      <c r="Y319" s="2">
        <f t="shared" ca="1" si="138"/>
        <v>2.144758569893337E-5</v>
      </c>
      <c r="Z319" s="11">
        <f t="shared" ca="1" si="139"/>
        <v>-3.5796249746795341E-5</v>
      </c>
      <c r="AA319" s="2">
        <f t="shared" ca="1" si="140"/>
        <v>1.3646938058844916E-2</v>
      </c>
      <c r="AB319" s="2">
        <f t="shared" ca="1" si="141"/>
        <v>4.278406854818079E-4</v>
      </c>
      <c r="AC319" s="2">
        <f t="shared" ca="1" si="142"/>
        <v>-1.2570854239081611E-4</v>
      </c>
      <c r="AD319" s="2">
        <f t="shared" ca="1" si="143"/>
        <v>0.26761650018477773</v>
      </c>
      <c r="AE319" s="2">
        <f t="shared" ca="1" si="144"/>
        <v>-3.5796249746795341E-5</v>
      </c>
      <c r="AF319" s="2">
        <f t="shared" ca="1" si="145"/>
        <v>0.19332502458174822</v>
      </c>
      <c r="AG319" s="2">
        <f t="shared" ca="1" si="146"/>
        <v>2.3260087218337651</v>
      </c>
      <c r="AI319" s="2">
        <f t="shared" ca="1" si="147"/>
        <v>2.144758569893337E-5</v>
      </c>
      <c r="AJ319" s="11">
        <f t="shared" ca="1" si="148"/>
        <v>-3.5796249746795341E-5</v>
      </c>
      <c r="AK319" s="2">
        <f t="shared" ca="1" si="149"/>
        <v>1.3646938058844916E-2</v>
      </c>
      <c r="AL319" s="2">
        <f t="shared" ca="1" si="150"/>
        <v>4.278406854818079E-4</v>
      </c>
      <c r="AM319" s="2">
        <f t="shared" ca="1" si="151"/>
        <v>-1.2570854239081611E-4</v>
      </c>
      <c r="AN319" s="2">
        <f t="shared" ca="1" si="152"/>
        <v>0.26761650018477773</v>
      </c>
      <c r="AO319" s="2">
        <f t="shared" ca="1" si="153"/>
        <v>-3.5796249746795341E-5</v>
      </c>
      <c r="AP319" s="2">
        <f t="shared" ca="1" si="154"/>
        <v>0.19332502458174822</v>
      </c>
      <c r="AQ319" s="2">
        <f t="shared" ca="1" si="155"/>
        <v>2.3260087218337651</v>
      </c>
      <c r="AS319" s="2">
        <f t="shared" ca="1" si="156"/>
        <v>8.6915743992906105</v>
      </c>
      <c r="AT319" s="2">
        <f t="shared" ca="1" si="157"/>
        <v>0.40041375541973001</v>
      </c>
      <c r="AU319" s="2">
        <f t="shared" ca="1" si="158"/>
        <v>1.7131329559512225E-4</v>
      </c>
      <c r="AV319" s="2">
        <f t="shared" ca="1" si="159"/>
        <v>0.19315371128615311</v>
      </c>
      <c r="AW319" s="2">
        <f t="shared" ca="1" si="160"/>
        <v>0.70840384377062082</v>
      </c>
      <c r="AX319" s="2">
        <f t="shared" ca="1" si="161"/>
        <v>5.2966287033260159E-2</v>
      </c>
      <c r="AY319" s="9">
        <f t="shared" ca="1" si="162"/>
        <v>0.70840384377062082</v>
      </c>
      <c r="AZ319" s="9">
        <f t="shared" ca="1" si="163"/>
        <v>0.70840384377062082</v>
      </c>
      <c r="BB319" s="2">
        <f t="shared" ca="1" si="164"/>
        <v>8.6915743992906105</v>
      </c>
      <c r="BC319" s="2">
        <f t="shared" ca="1" si="165"/>
        <v>0.40041375541973001</v>
      </c>
      <c r="BD319" s="2">
        <f t="shared" ca="1" si="166"/>
        <v>1.7131329559512225E-4</v>
      </c>
      <c r="BE319" s="2">
        <f t="shared" ca="1" si="167"/>
        <v>0.19315371128615311</v>
      </c>
      <c r="BF319" s="2">
        <f t="shared" ca="1" si="168"/>
        <v>0.70840384377062082</v>
      </c>
      <c r="BG319" s="2">
        <f t="shared" ca="1" si="169"/>
        <v>5.2966287033260159E-2</v>
      </c>
      <c r="BH319" s="2">
        <f t="shared" ca="1" si="170"/>
        <v>0.70840384377062082</v>
      </c>
      <c r="BI319" s="2">
        <f t="shared" ca="1" si="171"/>
        <v>0.70840384377062082</v>
      </c>
    </row>
    <row r="320" spans="1:61" ht="15" x14ac:dyDescent="0.25">
      <c r="A320" s="66">
        <v>254</v>
      </c>
      <c r="B320" s="66">
        <v>1498730253.303</v>
      </c>
      <c r="C320" s="67">
        <v>-3.5906032084649402E-5</v>
      </c>
      <c r="D320" s="67">
        <v>-3.4511659849656098E-5</v>
      </c>
      <c r="E320" s="67">
        <v>1.46330598683737E-2</v>
      </c>
      <c r="F320" s="67">
        <v>3.7617055559858997E-4</v>
      </c>
      <c r="G320" s="67">
        <v>-1.4062053806048001E-4</v>
      </c>
      <c r="H320" s="67">
        <v>0.26860312088534799</v>
      </c>
      <c r="I320" s="67">
        <v>-3.4511659849656098E-5</v>
      </c>
      <c r="J320" s="67">
        <v>0.19391834706873701</v>
      </c>
      <c r="K320" s="67">
        <v>2.3306797205696701</v>
      </c>
      <c r="L320" s="67"/>
      <c r="M320" s="67"/>
      <c r="O320" s="11">
        <f t="shared" ca="1" si="129"/>
        <v>-4.870996279460943E-5</v>
      </c>
      <c r="P320" s="11">
        <f t="shared" ca="1" si="130"/>
        <v>-3.5276760079960837E-5</v>
      </c>
      <c r="Q320" s="11">
        <f t="shared" ca="1" si="131"/>
        <v>1.3796568256105415E-2</v>
      </c>
      <c r="R320" s="11">
        <f t="shared" ca="1" si="132"/>
        <v>3.6452406795224287E-4</v>
      </c>
      <c r="S320" s="11">
        <f t="shared" ca="1" si="133"/>
        <v>-1.5154819010745012E-4</v>
      </c>
      <c r="T320" s="11">
        <f t="shared" ca="1" si="134"/>
        <v>0.2674645658467657</v>
      </c>
      <c r="U320" s="11">
        <f t="shared" ca="1" si="135"/>
        <v>-3.5276760079960837E-5</v>
      </c>
      <c r="V320" s="11">
        <f t="shared" ca="1" si="136"/>
        <v>0.19326815106304324</v>
      </c>
      <c r="W320" s="11">
        <f t="shared" ca="1" si="137"/>
        <v>2.323556872306165</v>
      </c>
      <c r="X320" s="11"/>
      <c r="Y320" s="2">
        <f t="shared" ca="1" si="138"/>
        <v>-4.870996279460943E-5</v>
      </c>
      <c r="Z320" s="11">
        <f t="shared" ca="1" si="139"/>
        <v>-3.5276760079960837E-5</v>
      </c>
      <c r="AA320" s="2">
        <f t="shared" ca="1" si="140"/>
        <v>1.3796568256105415E-2</v>
      </c>
      <c r="AB320" s="2">
        <f t="shared" ca="1" si="141"/>
        <v>3.6452406795224287E-4</v>
      </c>
      <c r="AC320" s="2">
        <f t="shared" ca="1" si="142"/>
        <v>-1.5154819010745012E-4</v>
      </c>
      <c r="AD320" s="2">
        <f t="shared" ca="1" si="143"/>
        <v>0.2674645658467657</v>
      </c>
      <c r="AE320" s="2">
        <f t="shared" ca="1" si="144"/>
        <v>-3.5276760079960837E-5</v>
      </c>
      <c r="AF320" s="2">
        <f t="shared" ca="1" si="145"/>
        <v>0.19326815106304324</v>
      </c>
      <c r="AG320" s="2">
        <f t="shared" ca="1" si="146"/>
        <v>2.323556872306165</v>
      </c>
      <c r="AI320" s="2">
        <f t="shared" ca="1" si="147"/>
        <v>-4.870996279460943E-5</v>
      </c>
      <c r="AJ320" s="11">
        <f t="shared" ca="1" si="148"/>
        <v>-3.5276760079960837E-5</v>
      </c>
      <c r="AK320" s="2">
        <f t="shared" ca="1" si="149"/>
        <v>1.3796568256105415E-2</v>
      </c>
      <c r="AL320" s="2">
        <f t="shared" ca="1" si="150"/>
        <v>3.6452406795224287E-4</v>
      </c>
      <c r="AM320" s="2">
        <f t="shared" ca="1" si="151"/>
        <v>-1.5154819010745012E-4</v>
      </c>
      <c r="AN320" s="2">
        <f t="shared" ca="1" si="152"/>
        <v>0.2674645658467657</v>
      </c>
      <c r="AO320" s="2">
        <f t="shared" ca="1" si="153"/>
        <v>-3.5276760079960837E-5</v>
      </c>
      <c r="AP320" s="2">
        <f t="shared" ca="1" si="154"/>
        <v>0.19326815106304324</v>
      </c>
      <c r="AQ320" s="2">
        <f t="shared" ca="1" si="155"/>
        <v>2.323556872306165</v>
      </c>
      <c r="AS320" s="2">
        <f t="shared" ca="1" si="156"/>
        <v>8.6873446766678022</v>
      </c>
      <c r="AT320" s="2">
        <f t="shared" ca="1" si="157"/>
        <v>0.40021653271084334</v>
      </c>
      <c r="AU320" s="2">
        <f t="shared" ca="1" si="158"/>
        <v>1.4588855856549848E-4</v>
      </c>
      <c r="AV320" s="2">
        <f t="shared" ca="1" si="159"/>
        <v>0.19312226250447773</v>
      </c>
      <c r="AW320" s="2">
        <f t="shared" ca="1" si="160"/>
        <v>0.70886459320917539</v>
      </c>
      <c r="AX320" s="2">
        <f t="shared" ca="1" si="161"/>
        <v>5.3550767740626302E-2</v>
      </c>
      <c r="AY320" s="9">
        <f t="shared" ca="1" si="162"/>
        <v>0.70886459320917539</v>
      </c>
      <c r="AZ320" s="9">
        <f t="shared" ca="1" si="163"/>
        <v>0.70886459320917539</v>
      </c>
      <c r="BB320" s="2">
        <f t="shared" ca="1" si="164"/>
        <v>8.6873446766678022</v>
      </c>
      <c r="BC320" s="2">
        <f t="shared" ca="1" si="165"/>
        <v>0.40021653271084334</v>
      </c>
      <c r="BD320" s="2">
        <f t="shared" ca="1" si="166"/>
        <v>1.4588855856549848E-4</v>
      </c>
      <c r="BE320" s="2">
        <f t="shared" ca="1" si="167"/>
        <v>0.19312226250447773</v>
      </c>
      <c r="BF320" s="2">
        <f t="shared" ca="1" si="168"/>
        <v>0.70886459320917539</v>
      </c>
      <c r="BG320" s="2">
        <f t="shared" ca="1" si="169"/>
        <v>5.3550767740626302E-2</v>
      </c>
      <c r="BH320" s="2">
        <f t="shared" ca="1" si="170"/>
        <v>0.70886459320917539</v>
      </c>
      <c r="BI320" s="2">
        <f t="shared" ca="1" si="171"/>
        <v>0.70886459320917539</v>
      </c>
    </row>
    <row r="321" spans="1:61" ht="15" x14ac:dyDescent="0.25">
      <c r="A321" s="66">
        <v>255</v>
      </c>
      <c r="B321" s="66">
        <v>1498730253.829</v>
      </c>
      <c r="C321" s="67">
        <v>1.0156445488363E-5</v>
      </c>
      <c r="D321" s="67">
        <v>2.6594584407271599E-5</v>
      </c>
      <c r="E321" s="67">
        <v>1.41596086472617E-2</v>
      </c>
      <c r="F321" s="67">
        <v>4.4734252208033099E-4</v>
      </c>
      <c r="G321" s="67">
        <v>-8.07015683617275E-5</v>
      </c>
      <c r="H321" s="67">
        <v>0.26208786739963802</v>
      </c>
      <c r="I321" s="67">
        <v>2.6594584407271599E-5</v>
      </c>
      <c r="J321" s="67">
        <v>0.18927741271326501</v>
      </c>
      <c r="K321" s="67">
        <v>2.27579959219341</v>
      </c>
      <c r="L321" s="67"/>
      <c r="M321" s="67"/>
      <c r="O321" s="11">
        <f t="shared" ca="1" si="129"/>
        <v>-2.6474852215970279E-6</v>
      </c>
      <c r="P321" s="11">
        <f t="shared" ca="1" si="130"/>
        <v>2.5829484176966857E-5</v>
      </c>
      <c r="Q321" s="11">
        <f t="shared" ca="1" si="131"/>
        <v>1.3323117034993415E-2</v>
      </c>
      <c r="R321" s="11">
        <f t="shared" ca="1" si="132"/>
        <v>4.3569603443398389E-4</v>
      </c>
      <c r="S321" s="11">
        <f t="shared" ca="1" si="133"/>
        <v>-9.1629220408697627E-5</v>
      </c>
      <c r="T321" s="11">
        <f t="shared" ca="1" si="134"/>
        <v>0.26094931236105573</v>
      </c>
      <c r="U321" s="11">
        <f t="shared" ca="1" si="135"/>
        <v>2.5829484176966857E-5</v>
      </c>
      <c r="V321" s="11">
        <f t="shared" ca="1" si="136"/>
        <v>0.18862721670757124</v>
      </c>
      <c r="W321" s="11">
        <f t="shared" ca="1" si="137"/>
        <v>2.2686767439299049</v>
      </c>
      <c r="X321" s="11"/>
      <c r="Y321" s="2">
        <f t="shared" ca="1" si="138"/>
        <v>-2.6474852215970279E-6</v>
      </c>
      <c r="Z321" s="11">
        <f t="shared" ca="1" si="139"/>
        <v>2.5829484176966857E-5</v>
      </c>
      <c r="AA321" s="2">
        <f t="shared" ca="1" si="140"/>
        <v>1.3322919420111058E-2</v>
      </c>
      <c r="AB321" s="2">
        <f t="shared" ca="1" si="141"/>
        <v>4.3091285603146786E-4</v>
      </c>
      <c r="AC321" s="2">
        <f t="shared" ca="1" si="142"/>
        <v>-9.1629220408697627E-5</v>
      </c>
      <c r="AD321" s="2">
        <f t="shared" ca="1" si="143"/>
        <v>0.26091452765051348</v>
      </c>
      <c r="AE321" s="2">
        <f t="shared" ca="1" si="144"/>
        <v>2.5829484176966857E-5</v>
      </c>
      <c r="AF321" s="2">
        <f t="shared" ca="1" si="145"/>
        <v>0.18857584806627661</v>
      </c>
      <c r="AG321" s="2">
        <f t="shared" ca="1" si="146"/>
        <v>2.2686558997302599</v>
      </c>
      <c r="AI321" s="2">
        <f t="shared" ca="1" si="147"/>
        <v>-2.6474852215970279E-6</v>
      </c>
      <c r="AJ321" s="11">
        <f t="shared" ca="1" si="148"/>
        <v>2.5829484176966857E-5</v>
      </c>
      <c r="AK321" s="2">
        <f t="shared" ca="1" si="149"/>
        <v>1.3292445407921157E-2</v>
      </c>
      <c r="AL321" s="2">
        <f t="shared" ca="1" si="150"/>
        <v>4.1664974541652945E-4</v>
      </c>
      <c r="AM321" s="2">
        <f t="shared" ca="1" si="151"/>
        <v>-9.1629220408697627E-5</v>
      </c>
      <c r="AN321" s="2">
        <f t="shared" ca="1" si="152"/>
        <v>0.26091452765051348</v>
      </c>
      <c r="AO321" s="2">
        <f t="shared" ca="1" si="153"/>
        <v>2.5829484176966857E-5</v>
      </c>
      <c r="AP321" s="2">
        <f t="shared" ca="1" si="154"/>
        <v>0.18857584806627661</v>
      </c>
      <c r="AQ321" s="2">
        <f t="shared" ca="1" si="155"/>
        <v>2.2686558997302599</v>
      </c>
      <c r="AS321" s="2">
        <f t="shared" ca="1" si="156"/>
        <v>8.6939364714282501</v>
      </c>
      <c r="AT321" s="2">
        <f t="shared" ca="1" si="157"/>
        <v>0.40052389418056128</v>
      </c>
      <c r="AU321" s="2">
        <f t="shared" ca="1" si="158"/>
        <v>1.7450667239052715E-4</v>
      </c>
      <c r="AV321" s="2">
        <f t="shared" ca="1" si="159"/>
        <v>0.18845271003518071</v>
      </c>
      <c r="AW321" s="2">
        <f t="shared" ca="1" si="160"/>
        <v>0.70872465281118424</v>
      </c>
      <c r="AX321" s="2">
        <f t="shared" ca="1" si="161"/>
        <v>5.3045388736370935E-2</v>
      </c>
      <c r="AY321" s="9">
        <f t="shared" ca="1" si="162"/>
        <v>0.70872465281118424</v>
      </c>
      <c r="AZ321" s="9">
        <f t="shared" ca="1" si="163"/>
        <v>0.70872465281118424</v>
      </c>
      <c r="BB321" s="2">
        <f t="shared" ca="1" si="164"/>
        <v>8.6950156442382944</v>
      </c>
      <c r="BC321" s="2">
        <f t="shared" ca="1" si="165"/>
        <v>0.40057421399910204</v>
      </c>
      <c r="BD321" s="2">
        <f t="shared" ca="1" si="166"/>
        <v>1.6689914428315224E-4</v>
      </c>
      <c r="BE321" s="2">
        <f t="shared" ca="1" si="167"/>
        <v>0.18840894892199347</v>
      </c>
      <c r="BF321" s="2">
        <f t="shared" ca="1" si="168"/>
        <v>0.70861024767943337</v>
      </c>
      <c r="BG321" s="2">
        <f t="shared" ca="1" si="169"/>
        <v>5.2937049662856443E-2</v>
      </c>
      <c r="BH321" s="2">
        <f t="shared" ca="1" si="170"/>
        <v>0.70861024767943337</v>
      </c>
      <c r="BI321" s="2">
        <f t="shared" ca="1" si="171"/>
        <v>0.70861024767943337</v>
      </c>
    </row>
    <row r="322" spans="1:61" ht="15" x14ac:dyDescent="0.25">
      <c r="A322" s="66">
        <v>256</v>
      </c>
      <c r="B322" s="66">
        <v>1498730254.3559999</v>
      </c>
      <c r="C322" s="67">
        <v>7.2521361181747195E-5</v>
      </c>
      <c r="D322" s="67">
        <v>5.5708283826028797E-5</v>
      </c>
      <c r="E322" s="67">
        <v>1.4536042272512199E-2</v>
      </c>
      <c r="F322" s="67">
        <v>5.95891658830424E-4</v>
      </c>
      <c r="G322" s="67">
        <v>4.5827663397517597E-5</v>
      </c>
      <c r="H322" s="67">
        <v>0.26782565471516401</v>
      </c>
      <c r="I322" s="67">
        <v>5.5708283826028797E-5</v>
      </c>
      <c r="J322" s="67">
        <v>0.193499713273833</v>
      </c>
      <c r="K322" s="67">
        <v>2.3246579561930201</v>
      </c>
      <c r="L322" s="67"/>
      <c r="M322" s="67"/>
      <c r="O322" s="11">
        <f t="shared" ca="1" si="129"/>
        <v>5.9717430471787167E-5</v>
      </c>
      <c r="P322" s="11">
        <f t="shared" ca="1" si="130"/>
        <v>5.4943183595724058E-5</v>
      </c>
      <c r="Q322" s="11">
        <f t="shared" ca="1" si="131"/>
        <v>1.3699550660243915E-2</v>
      </c>
      <c r="R322" s="11">
        <f t="shared" ca="1" si="132"/>
        <v>5.8424517118407684E-4</v>
      </c>
      <c r="S322" s="11">
        <f t="shared" ca="1" si="133"/>
        <v>3.4900011350547477E-5</v>
      </c>
      <c r="T322" s="11">
        <f t="shared" ca="1" si="134"/>
        <v>0.26668709967658172</v>
      </c>
      <c r="U322" s="11">
        <f t="shared" ca="1" si="135"/>
        <v>5.4943183595724058E-5</v>
      </c>
      <c r="V322" s="11">
        <f t="shared" ca="1" si="136"/>
        <v>0.19284951726813923</v>
      </c>
      <c r="W322" s="11">
        <f t="shared" ca="1" si="137"/>
        <v>2.317535107929515</v>
      </c>
      <c r="X322" s="11"/>
      <c r="Y322" s="2">
        <f t="shared" ca="1" si="138"/>
        <v>5.9717430471787167E-5</v>
      </c>
      <c r="Z322" s="11">
        <f t="shared" ca="1" si="139"/>
        <v>5.4943183595724058E-5</v>
      </c>
      <c r="AA322" s="2">
        <f t="shared" ca="1" si="140"/>
        <v>1.3699130303774997E-2</v>
      </c>
      <c r="AB322" s="2">
        <f t="shared" ca="1" si="141"/>
        <v>5.7407063392502888E-4</v>
      </c>
      <c r="AC322" s="2">
        <f t="shared" ca="1" si="142"/>
        <v>3.4900011350547477E-5</v>
      </c>
      <c r="AD322" s="2">
        <f t="shared" ca="1" si="143"/>
        <v>0.26661310738449595</v>
      </c>
      <c r="AE322" s="2">
        <f t="shared" ca="1" si="144"/>
        <v>5.4943183595724058E-5</v>
      </c>
      <c r="AF322" s="2">
        <f t="shared" ca="1" si="145"/>
        <v>0.19274024847011073</v>
      </c>
      <c r="AG322" s="2">
        <f t="shared" ca="1" si="146"/>
        <v>2.3174907691932032</v>
      </c>
      <c r="AI322" s="2">
        <f t="shared" ca="1" si="147"/>
        <v>5.9717430471787167E-5</v>
      </c>
      <c r="AJ322" s="11">
        <f t="shared" ca="1" si="148"/>
        <v>5.4943183595724058E-5</v>
      </c>
      <c r="AK322" s="2">
        <f t="shared" ca="1" si="149"/>
        <v>1.3634307513076717E-2</v>
      </c>
      <c r="AL322" s="2">
        <f t="shared" ca="1" si="150"/>
        <v>5.4373086020777044E-4</v>
      </c>
      <c r="AM322" s="2">
        <f t="shared" ca="1" si="151"/>
        <v>3.4900011350547477E-5</v>
      </c>
      <c r="AN322" s="2">
        <f t="shared" ca="1" si="152"/>
        <v>0.26661310738449595</v>
      </c>
      <c r="AO322" s="2">
        <f t="shared" ca="1" si="153"/>
        <v>5.4943183595724058E-5</v>
      </c>
      <c r="AP322" s="2">
        <f t="shared" ca="1" si="154"/>
        <v>0.19274024847011073</v>
      </c>
      <c r="AQ322" s="2">
        <f t="shared" ca="1" si="155"/>
        <v>2.3174907691932032</v>
      </c>
      <c r="AS322" s="2">
        <f t="shared" ca="1" si="156"/>
        <v>8.690090787068625</v>
      </c>
      <c r="AT322" s="2">
        <f t="shared" ca="1" si="157"/>
        <v>0.40034457769622089</v>
      </c>
      <c r="AU322" s="2">
        <f t="shared" ca="1" si="158"/>
        <v>2.3389938632874553E-4</v>
      </c>
      <c r="AV322" s="2">
        <f t="shared" ca="1" si="159"/>
        <v>0.19261561788181047</v>
      </c>
      <c r="AW322" s="2">
        <f t="shared" ca="1" si="160"/>
        <v>0.70895319514281574</v>
      </c>
      <c r="AX322" s="2">
        <f t="shared" ca="1" si="161"/>
        <v>5.3346465269495373E-2</v>
      </c>
      <c r="AY322" s="9">
        <f t="shared" ca="1" si="162"/>
        <v>0.70895319514281574</v>
      </c>
      <c r="AZ322" s="9">
        <f t="shared" ca="1" si="163"/>
        <v>0.70895319514281574</v>
      </c>
      <c r="BB322" s="2">
        <f t="shared" ca="1" si="164"/>
        <v>8.6923362168051064</v>
      </c>
      <c r="BC322" s="2">
        <f t="shared" ca="1" si="165"/>
        <v>0.40044927742687608</v>
      </c>
      <c r="BD322" s="2">
        <f t="shared" ca="1" si="166"/>
        <v>2.1773663008489545E-4</v>
      </c>
      <c r="BE322" s="2">
        <f t="shared" ca="1" si="167"/>
        <v>0.19252251184002583</v>
      </c>
      <c r="BF322" s="2">
        <f t="shared" ca="1" si="168"/>
        <v>0.70871494718284134</v>
      </c>
      <c r="BG322" s="2">
        <f t="shared" ca="1" si="169"/>
        <v>5.3121182475462138E-2</v>
      </c>
      <c r="BH322" s="2">
        <f t="shared" ca="1" si="170"/>
        <v>0.70871494718284134</v>
      </c>
      <c r="BI322" s="2">
        <f t="shared" ca="1" si="171"/>
        <v>0.70871494718284134</v>
      </c>
    </row>
    <row r="323" spans="1:61" ht="15" x14ac:dyDescent="0.25">
      <c r="A323" s="66">
        <v>257</v>
      </c>
      <c r="B323" s="66">
        <v>1498730254.8829999</v>
      </c>
      <c r="C323" s="67">
        <v>-4.20475341868896E-5</v>
      </c>
      <c r="D323" s="67">
        <v>-5.2101954780058002E-5</v>
      </c>
      <c r="E323" s="67">
        <v>1.53266492272503E-2</v>
      </c>
      <c r="F323" s="67">
        <v>3.8521554094276899E-4</v>
      </c>
      <c r="G323" s="67">
        <v>-1.53102177045774E-4</v>
      </c>
      <c r="H323" s="67">
        <v>0.28496740952511501</v>
      </c>
      <c r="I323" s="67">
        <v>-5.2101954780058002E-5</v>
      </c>
      <c r="J323" s="67">
        <v>0.20570742367476999</v>
      </c>
      <c r="K323" s="67">
        <v>2.4742979440867598</v>
      </c>
      <c r="L323" s="67"/>
      <c r="M323" s="67"/>
      <c r="O323" s="11">
        <f t="shared" ref="O323:O386" ca="1" si="172">C323-AVERAGE(OFFSET(C$67,$J$2,0,$J$3))</f>
        <v>-5.4851464896849628E-5</v>
      </c>
      <c r="P323" s="11">
        <f t="shared" ref="P323:P386" ca="1" si="173">D323-AVERAGE(OFFSET(D$67,$J$2,0,$J$3))</f>
        <v>-5.2867055010362741E-5</v>
      </c>
      <c r="Q323" s="11">
        <f t="shared" ref="Q323:Q386" ca="1" si="174">E323-AVERAGE(OFFSET(E$67,$J$2,0,$J$3))</f>
        <v>1.4490157614982015E-2</v>
      </c>
      <c r="R323" s="11">
        <f t="shared" ref="R323:R386" ca="1" si="175">F323-AVERAGE(OFFSET(F$67,$J$2,0,$J$3))</f>
        <v>3.7356905329642188E-4</v>
      </c>
      <c r="S323" s="11">
        <f t="shared" ref="S323:S386" ca="1" si="176">G323-AVERAGE(OFFSET(G$67,$J$2,0,$J$3))</f>
        <v>-1.6402982909274411E-4</v>
      </c>
      <c r="T323" s="11">
        <f t="shared" ref="T323:T386" ca="1" si="177">H323-AVERAGE(OFFSET(H$67,$J$2,0,$J$3))</f>
        <v>0.28382885448653272</v>
      </c>
      <c r="U323" s="11">
        <f t="shared" ref="U323:U386" ca="1" si="178">I323-AVERAGE(OFFSET(I$67,$J$2,0,$J$3))</f>
        <v>-5.2867055010362741E-5</v>
      </c>
      <c r="V323" s="11">
        <f t="shared" ref="V323:V386" ca="1" si="179">J323-AVERAGE(OFFSET(J$67,$J$2,0,$J$3))</f>
        <v>0.20505722766907622</v>
      </c>
      <c r="W323" s="11">
        <f t="shared" ref="W323:W386" ca="1" si="180">K323-AVERAGE(OFFSET(K$67,$J$2,0,$J$3))</f>
        <v>2.4671750958232548</v>
      </c>
      <c r="X323" s="11"/>
      <c r="Y323" s="2">
        <f t="shared" ref="Y323:Y386" ca="1" si="181">O323</f>
        <v>-5.4851464896849628E-5</v>
      </c>
      <c r="Z323" s="11">
        <f t="shared" ref="Z323:Z386" ca="1" si="182">P323</f>
        <v>-5.2867055010362741E-5</v>
      </c>
      <c r="AA323" s="2">
        <f t="shared" ref="AA323:AA386" ca="1" si="183">IF($U323&gt;0,Q323-($B$14/$B$18*$U323), Q323)</f>
        <v>1.4490157614982015E-2</v>
      </c>
      <c r="AB323" s="2">
        <f t="shared" ref="AB323:AB386" ca="1" si="184">IF($U323&gt;0,R323-($B$15/$B$18*$U323), R323)</f>
        <v>3.7356905329642188E-4</v>
      </c>
      <c r="AC323" s="2">
        <f t="shared" ref="AC323:AC386" ca="1" si="185">S323</f>
        <v>-1.6402982909274411E-4</v>
      </c>
      <c r="AD323" s="2">
        <f t="shared" ref="AD323:AD386" ca="1" si="186">IF($U323&gt;0,T323-($B$17/$B$18*$U323), T323)</f>
        <v>0.28382885448653272</v>
      </c>
      <c r="AE323" s="2">
        <f t="shared" ref="AE323:AE386" ca="1" si="187">U323</f>
        <v>-5.2867055010362741E-5</v>
      </c>
      <c r="AF323" s="2">
        <f t="shared" ref="AF323:AF386" ca="1" si="188">IF($U323&gt;0,V323-($B$19/$B$18*$U323), V323)</f>
        <v>0.20505722766907622</v>
      </c>
      <c r="AG323" s="2">
        <f t="shared" ref="AG323:AG386" ca="1" si="189">IF($U323&gt;0,W323-($B$20/$B$18*$U323), W323)</f>
        <v>2.4671750958232548</v>
      </c>
      <c r="AI323" s="2">
        <f t="shared" ref="AI323:AI386" ca="1" si="190">Y323</f>
        <v>-5.4851464896849628E-5</v>
      </c>
      <c r="AJ323" s="11">
        <f t="shared" ref="AJ323:AJ386" ca="1" si="191">Z323</f>
        <v>-5.2867055010362741E-5</v>
      </c>
      <c r="AK323" s="2">
        <f t="shared" ref="AK323:AK386" ca="1" si="192">IF($AJ323&gt;0,AA323-($B$25/$B$24*$AJ323),AA323)</f>
        <v>1.4490157614982015E-2</v>
      </c>
      <c r="AL323" s="2">
        <f t="shared" ref="AL323:AL386" ca="1" si="193">IF($AJ323&gt;0,AB323-($B$26/$B$25*$AJ323),AB323)</f>
        <v>3.7356905329642188E-4</v>
      </c>
      <c r="AM323" s="2">
        <f t="shared" ref="AM323:AM386" ca="1" si="194">AC323</f>
        <v>-1.6402982909274411E-4</v>
      </c>
      <c r="AN323" s="2">
        <f t="shared" ref="AN323:AN386" ca="1" si="195">AD323</f>
        <v>0.28382885448653272</v>
      </c>
      <c r="AO323" s="2">
        <f t="shared" ref="AO323:AO386" ca="1" si="196">AE323</f>
        <v>-5.2867055010362741E-5</v>
      </c>
      <c r="AP323" s="2">
        <f t="shared" ref="AP323:AP386" ca="1" si="197">AF323</f>
        <v>0.20505722766907622</v>
      </c>
      <c r="AQ323" s="2">
        <f t="shared" ref="AQ323:AQ386" ca="1" si="198">AG323</f>
        <v>2.4671750958232548</v>
      </c>
      <c r="AS323" s="2">
        <f t="shared" ref="AS323:AS386" ca="1" si="199">IF(AND(T323&gt;0,W323&gt;0),W323/T323, #N/A)</f>
        <v>8.6924745557901648</v>
      </c>
      <c r="AT323" s="2">
        <f t="shared" ref="AT323:AT386" ca="1" si="200">$B$8*((AS323/$B$10)^$B$11)</f>
        <v>0.40045572789750516</v>
      </c>
      <c r="AU323" s="2">
        <f t="shared" ref="AU323:AU386" ca="1" si="201">AT323*R323</f>
        <v>1.4959786715780052E-4</v>
      </c>
      <c r="AV323" s="2">
        <f t="shared" ref="AV323:AV386" ca="1" si="202">V323-AU323</f>
        <v>0.20490762980191843</v>
      </c>
      <c r="AW323" s="2">
        <f t="shared" ref="AW323:AW386" ca="1" si="203">(AV323/T323)/((AS323/$B$10)^$B$12)</f>
        <v>0.70854864912617166</v>
      </c>
      <c r="AX323" s="2">
        <f t="shared" ref="AX323:AX386" ca="1" si="204">(Q323/T323)/((AS323/$B$10)^$B$13)</f>
        <v>5.3032216989843922E-2</v>
      </c>
      <c r="AY323" s="9">
        <f t="shared" ref="AY323:AY386" ca="1" si="205">IF(AND(AW323&lt;$M$3,AW323&gt;$M$4),AW323,"rejected")</f>
        <v>0.70854864912617166</v>
      </c>
      <c r="AZ323" s="9">
        <f t="shared" ref="AZ323:AZ386" ca="1" si="206">IF(AND(AW323&lt;$M$3,AW323&gt;$M$4),AW323,#N/A)</f>
        <v>0.70854864912617166</v>
      </c>
      <c r="BB323" s="2">
        <f t="shared" ref="BB323:BB386" ca="1" si="207">IF(AND(AQ323&gt;0, AN323&gt;0),AQ323/AN323, #N/A)</f>
        <v>8.6924745557901648</v>
      </c>
      <c r="BC323" s="2">
        <f t="shared" ref="BC323:BC386" ca="1" si="208">$B$8*((BB323/$B$10)^$B$11)</f>
        <v>0.40045572789750516</v>
      </c>
      <c r="BD323" s="2">
        <f t="shared" ref="BD323:BD386" ca="1" si="209">BC323*AL323</f>
        <v>1.4959786715780052E-4</v>
      </c>
      <c r="BE323" s="2">
        <f t="shared" ref="BE323:BE386" ca="1" si="210">AP323-BD323</f>
        <v>0.20490762980191843</v>
      </c>
      <c r="BF323" s="2">
        <f t="shared" ref="BF323:BF386" ca="1" si="211">(BE323/AN323)/((BB323/$B$10)^$B$12)</f>
        <v>0.70854864912617166</v>
      </c>
      <c r="BG323" s="2">
        <f t="shared" ref="BG323:BG386" ca="1" si="212">(AK323/AN323)/((BB323/$B$10)^$B$13)</f>
        <v>5.3032216989843922E-2</v>
      </c>
      <c r="BH323" s="2">
        <f t="shared" ref="BH323:BH386" ca="1" si="213">IF(AND(BF323&lt;$P$3,BF323&gt;$P$4),BF323,"rejected")</f>
        <v>0.70854864912617166</v>
      </c>
      <c r="BI323" s="2">
        <f t="shared" ref="BI323:BI386" ca="1" si="214">IF(AND(BF323&lt;$P$3,BF323&gt;$P$4),BF323,#N/A)</f>
        <v>0.70854864912617166</v>
      </c>
    </row>
    <row r="324" spans="1:61" ht="15" x14ac:dyDescent="0.25">
      <c r="A324" s="66">
        <v>258</v>
      </c>
      <c r="B324" s="66">
        <v>1498730255.4100001</v>
      </c>
      <c r="C324" s="67">
        <v>-1.16214980815825E-4</v>
      </c>
      <c r="D324" s="67">
        <v>-4.3460669631029602E-5</v>
      </c>
      <c r="E324" s="67">
        <v>1.49212345826354E-2</v>
      </c>
      <c r="F324" s="67">
        <v>4.0973262364478002E-4</v>
      </c>
      <c r="G324" s="67">
        <v>-1.8083874003303399E-4</v>
      </c>
      <c r="H324" s="67">
        <v>0.27853051134290102</v>
      </c>
      <c r="I324" s="67">
        <v>-4.3460669631029602E-5</v>
      </c>
      <c r="J324" s="67">
        <v>0.20104705145264301</v>
      </c>
      <c r="K324" s="67">
        <v>2.41847384520951</v>
      </c>
      <c r="L324" s="67"/>
      <c r="M324" s="67"/>
      <c r="O324" s="11">
        <f t="shared" ca="1" si="172"/>
        <v>-1.2901891152578503E-4</v>
      </c>
      <c r="P324" s="11">
        <f t="shared" ca="1" si="173"/>
        <v>-4.4225769861334341E-5</v>
      </c>
      <c r="Q324" s="11">
        <f t="shared" ca="1" si="174"/>
        <v>1.4084742970367116E-2</v>
      </c>
      <c r="R324" s="11">
        <f t="shared" ca="1" si="175"/>
        <v>3.9808613599843292E-4</v>
      </c>
      <c r="S324" s="11">
        <f t="shared" ca="1" si="176"/>
        <v>-1.917663920800041E-4</v>
      </c>
      <c r="T324" s="11">
        <f t="shared" ca="1" si="177"/>
        <v>0.27739195630431873</v>
      </c>
      <c r="U324" s="11">
        <f t="shared" ca="1" si="178"/>
        <v>-4.4225769861334341E-5</v>
      </c>
      <c r="V324" s="11">
        <f t="shared" ca="1" si="179"/>
        <v>0.20039685544694924</v>
      </c>
      <c r="W324" s="11">
        <f t="shared" ca="1" si="180"/>
        <v>2.411350996946005</v>
      </c>
      <c r="X324" s="11"/>
      <c r="Y324" s="2">
        <f t="shared" ca="1" si="181"/>
        <v>-1.2901891152578503E-4</v>
      </c>
      <c r="Z324" s="11">
        <f t="shared" ca="1" si="182"/>
        <v>-4.4225769861334341E-5</v>
      </c>
      <c r="AA324" s="2">
        <f t="shared" ca="1" si="183"/>
        <v>1.4084742970367116E-2</v>
      </c>
      <c r="AB324" s="2">
        <f t="shared" ca="1" si="184"/>
        <v>3.9808613599843292E-4</v>
      </c>
      <c r="AC324" s="2">
        <f t="shared" ca="1" si="185"/>
        <v>-1.917663920800041E-4</v>
      </c>
      <c r="AD324" s="2">
        <f t="shared" ca="1" si="186"/>
        <v>0.27739195630431873</v>
      </c>
      <c r="AE324" s="2">
        <f t="shared" ca="1" si="187"/>
        <v>-4.4225769861334341E-5</v>
      </c>
      <c r="AF324" s="2">
        <f t="shared" ca="1" si="188"/>
        <v>0.20039685544694924</v>
      </c>
      <c r="AG324" s="2">
        <f t="shared" ca="1" si="189"/>
        <v>2.411350996946005</v>
      </c>
      <c r="AI324" s="2">
        <f t="shared" ca="1" si="190"/>
        <v>-1.2901891152578503E-4</v>
      </c>
      <c r="AJ324" s="11">
        <f t="shared" ca="1" si="191"/>
        <v>-4.4225769861334341E-5</v>
      </c>
      <c r="AK324" s="2">
        <f t="shared" ca="1" si="192"/>
        <v>1.4084742970367116E-2</v>
      </c>
      <c r="AL324" s="2">
        <f t="shared" ca="1" si="193"/>
        <v>3.9808613599843292E-4</v>
      </c>
      <c r="AM324" s="2">
        <f t="shared" ca="1" si="194"/>
        <v>-1.917663920800041E-4</v>
      </c>
      <c r="AN324" s="2">
        <f t="shared" ca="1" si="195"/>
        <v>0.27739195630431873</v>
      </c>
      <c r="AO324" s="2">
        <f t="shared" ca="1" si="196"/>
        <v>-4.4225769861334341E-5</v>
      </c>
      <c r="AP324" s="2">
        <f t="shared" ca="1" si="197"/>
        <v>0.20039685544694924</v>
      </c>
      <c r="AQ324" s="2">
        <f t="shared" ca="1" si="198"/>
        <v>2.411350996946005</v>
      </c>
      <c r="AS324" s="2">
        <f t="shared" ca="1" si="199"/>
        <v>8.6929377083327584</v>
      </c>
      <c r="AT324" s="2">
        <f t="shared" ca="1" si="200"/>
        <v>0.40047732378477585</v>
      </c>
      <c r="AU324" s="2">
        <f t="shared" ca="1" si="201"/>
        <v>1.5942447038047472E-4</v>
      </c>
      <c r="AV324" s="2">
        <f t="shared" ca="1" si="202"/>
        <v>0.20023743097656876</v>
      </c>
      <c r="AW324" s="2">
        <f t="shared" ca="1" si="203"/>
        <v>0.70844776964449618</v>
      </c>
      <c r="AX324" s="2">
        <f t="shared" ca="1" si="204"/>
        <v>5.2747509378357219E-2</v>
      </c>
      <c r="AY324" s="9">
        <f t="shared" ca="1" si="205"/>
        <v>0.70844776964449618</v>
      </c>
      <c r="AZ324" s="9">
        <f t="shared" ca="1" si="206"/>
        <v>0.70844776964449618</v>
      </c>
      <c r="BB324" s="2">
        <f t="shared" ca="1" si="207"/>
        <v>8.6929377083327584</v>
      </c>
      <c r="BC324" s="2">
        <f t="shared" ca="1" si="208"/>
        <v>0.40047732378477585</v>
      </c>
      <c r="BD324" s="2">
        <f t="shared" ca="1" si="209"/>
        <v>1.5942447038047472E-4</v>
      </c>
      <c r="BE324" s="2">
        <f t="shared" ca="1" si="210"/>
        <v>0.20023743097656876</v>
      </c>
      <c r="BF324" s="2">
        <f t="shared" ca="1" si="211"/>
        <v>0.70844776964449618</v>
      </c>
      <c r="BG324" s="2">
        <f t="shared" ca="1" si="212"/>
        <v>5.2747509378357219E-2</v>
      </c>
      <c r="BH324" s="2">
        <f t="shared" ca="1" si="213"/>
        <v>0.70844776964449618</v>
      </c>
      <c r="BI324" s="2">
        <f t="shared" ca="1" si="214"/>
        <v>0.70844776964449618</v>
      </c>
    </row>
    <row r="325" spans="1:61" ht="15" x14ac:dyDescent="0.25">
      <c r="A325" s="66">
        <v>259</v>
      </c>
      <c r="B325" s="66">
        <v>1498730255.937</v>
      </c>
      <c r="C325" s="67">
        <v>9.7326678636920202E-5</v>
      </c>
      <c r="D325" s="67">
        <v>-2.8560947712859701E-5</v>
      </c>
      <c r="E325" s="67">
        <v>1.49961830857629E-2</v>
      </c>
      <c r="F325" s="67">
        <v>5.0280780450639398E-4</v>
      </c>
      <c r="G325" s="67">
        <v>-1.2978613920660599E-4</v>
      </c>
      <c r="H325" s="67">
        <v>0.27773389696803502</v>
      </c>
      <c r="I325" s="67">
        <v>-2.8560947712859701E-5</v>
      </c>
      <c r="J325" s="67">
        <v>0.20081026305012001</v>
      </c>
      <c r="K325" s="67">
        <v>2.4132209428132398</v>
      </c>
      <c r="L325" s="67"/>
      <c r="M325" s="67"/>
      <c r="O325" s="11">
        <f t="shared" ca="1" si="172"/>
        <v>8.4522747926960181E-5</v>
      </c>
      <c r="P325" s="11">
        <f t="shared" ca="1" si="173"/>
        <v>-2.9326047943164443E-5</v>
      </c>
      <c r="Q325" s="11">
        <f t="shared" ca="1" si="174"/>
        <v>1.4159691473494615E-2</v>
      </c>
      <c r="R325" s="11">
        <f t="shared" ca="1" si="175"/>
        <v>4.9116131686004682E-4</v>
      </c>
      <c r="S325" s="11">
        <f t="shared" ca="1" si="176"/>
        <v>-1.4071379125357611E-4</v>
      </c>
      <c r="T325" s="11">
        <f t="shared" ca="1" si="177"/>
        <v>0.27659534192945273</v>
      </c>
      <c r="U325" s="11">
        <f t="shared" ca="1" si="178"/>
        <v>-2.9326047943164443E-5</v>
      </c>
      <c r="V325" s="11">
        <f t="shared" ca="1" si="179"/>
        <v>0.20016006704442624</v>
      </c>
      <c r="W325" s="11">
        <f t="shared" ca="1" si="180"/>
        <v>2.4060980945497348</v>
      </c>
      <c r="X325" s="11"/>
      <c r="Y325" s="2">
        <f t="shared" ca="1" si="181"/>
        <v>8.4522747926960181E-5</v>
      </c>
      <c r="Z325" s="11">
        <f t="shared" ca="1" si="182"/>
        <v>-2.9326047943164443E-5</v>
      </c>
      <c r="AA325" s="2">
        <f t="shared" ca="1" si="183"/>
        <v>1.4159691473494615E-2</v>
      </c>
      <c r="AB325" s="2">
        <f t="shared" ca="1" si="184"/>
        <v>4.9116131686004682E-4</v>
      </c>
      <c r="AC325" s="2">
        <f t="shared" ca="1" si="185"/>
        <v>-1.4071379125357611E-4</v>
      </c>
      <c r="AD325" s="2">
        <f t="shared" ca="1" si="186"/>
        <v>0.27659534192945273</v>
      </c>
      <c r="AE325" s="2">
        <f t="shared" ca="1" si="187"/>
        <v>-2.9326047943164443E-5</v>
      </c>
      <c r="AF325" s="2">
        <f t="shared" ca="1" si="188"/>
        <v>0.20016006704442624</v>
      </c>
      <c r="AG325" s="2">
        <f t="shared" ca="1" si="189"/>
        <v>2.4060980945497348</v>
      </c>
      <c r="AI325" s="2">
        <f t="shared" ca="1" si="190"/>
        <v>8.4522747926960181E-5</v>
      </c>
      <c r="AJ325" s="11">
        <f t="shared" ca="1" si="191"/>
        <v>-2.9326047943164443E-5</v>
      </c>
      <c r="AK325" s="2">
        <f t="shared" ca="1" si="192"/>
        <v>1.4159691473494615E-2</v>
      </c>
      <c r="AL325" s="2">
        <f t="shared" ca="1" si="193"/>
        <v>4.9116131686004682E-4</v>
      </c>
      <c r="AM325" s="2">
        <f t="shared" ca="1" si="194"/>
        <v>-1.4071379125357611E-4</v>
      </c>
      <c r="AN325" s="2">
        <f t="shared" ca="1" si="195"/>
        <v>0.27659534192945273</v>
      </c>
      <c r="AO325" s="2">
        <f t="shared" ca="1" si="196"/>
        <v>-2.9326047943164443E-5</v>
      </c>
      <c r="AP325" s="2">
        <f t="shared" ca="1" si="197"/>
        <v>0.20016006704442624</v>
      </c>
      <c r="AQ325" s="2">
        <f t="shared" ca="1" si="198"/>
        <v>2.4060980945497348</v>
      </c>
      <c r="AS325" s="2">
        <f t="shared" ca="1" si="199"/>
        <v>8.6989827007405793</v>
      </c>
      <c r="AT325" s="2">
        <f t="shared" ca="1" si="200"/>
        <v>0.40075919110747082</v>
      </c>
      <c r="AU325" s="2">
        <f t="shared" ca="1" si="201"/>
        <v>1.9683741204811254E-4</v>
      </c>
      <c r="AV325" s="2">
        <f t="shared" ca="1" si="202"/>
        <v>0.19996322963237811</v>
      </c>
      <c r="AW325" s="2">
        <f t="shared" ca="1" si="203"/>
        <v>0.70926688250192038</v>
      </c>
      <c r="AX325" s="2">
        <f t="shared" ca="1" si="204"/>
        <v>5.3218758978541926E-2</v>
      </c>
      <c r="AY325" s="9">
        <f t="shared" ca="1" si="205"/>
        <v>0.70926688250192038</v>
      </c>
      <c r="AZ325" s="9">
        <f t="shared" ca="1" si="206"/>
        <v>0.70926688250192038</v>
      </c>
      <c r="BB325" s="2">
        <f t="shared" ca="1" si="207"/>
        <v>8.6989827007405793</v>
      </c>
      <c r="BC325" s="2">
        <f t="shared" ca="1" si="208"/>
        <v>0.40075919110747082</v>
      </c>
      <c r="BD325" s="2">
        <f t="shared" ca="1" si="209"/>
        <v>1.9683741204811254E-4</v>
      </c>
      <c r="BE325" s="2">
        <f t="shared" ca="1" si="210"/>
        <v>0.19996322963237811</v>
      </c>
      <c r="BF325" s="2">
        <f t="shared" ca="1" si="211"/>
        <v>0.70926688250192038</v>
      </c>
      <c r="BG325" s="2">
        <f t="shared" ca="1" si="212"/>
        <v>5.3218758978541926E-2</v>
      </c>
      <c r="BH325" s="2">
        <f t="shared" ca="1" si="213"/>
        <v>0.70926688250192038</v>
      </c>
      <c r="BI325" s="2">
        <f t="shared" ca="1" si="214"/>
        <v>0.70926688250192038</v>
      </c>
    </row>
    <row r="326" spans="1:61" ht="15" x14ac:dyDescent="0.25">
      <c r="A326" s="66">
        <v>260</v>
      </c>
      <c r="B326" s="66">
        <v>1498730256.464</v>
      </c>
      <c r="C326" s="67">
        <v>-2.85834221997351E-5</v>
      </c>
      <c r="D326" s="67">
        <v>-7.0420877343876402E-5</v>
      </c>
      <c r="E326" s="67">
        <v>1.4559583622142399E-2</v>
      </c>
      <c r="F326" s="67">
        <v>4.74955754105173E-4</v>
      </c>
      <c r="G326" s="67">
        <v>-1.3235352807148201E-4</v>
      </c>
      <c r="H326" s="67">
        <v>0.26893594310105601</v>
      </c>
      <c r="I326" s="67">
        <v>-7.0420877343876402E-5</v>
      </c>
      <c r="J326" s="67">
        <v>0.194372176932152</v>
      </c>
      <c r="K326" s="67">
        <v>2.3368930305529201</v>
      </c>
      <c r="L326" s="67"/>
      <c r="M326" s="67"/>
      <c r="O326" s="11">
        <f t="shared" ca="1" si="172"/>
        <v>-4.1387352909695128E-5</v>
      </c>
      <c r="P326" s="11">
        <f t="shared" ca="1" si="173"/>
        <v>-7.1185977574181141E-5</v>
      </c>
      <c r="Q326" s="11">
        <f t="shared" ca="1" si="174"/>
        <v>1.3723092009874115E-2</v>
      </c>
      <c r="R326" s="11">
        <f t="shared" ca="1" si="175"/>
        <v>4.6330926645882589E-4</v>
      </c>
      <c r="S326" s="11">
        <f t="shared" ca="1" si="176"/>
        <v>-1.4328118011845212E-4</v>
      </c>
      <c r="T326" s="11">
        <f t="shared" ca="1" si="177"/>
        <v>0.26779738806247372</v>
      </c>
      <c r="U326" s="11">
        <f t="shared" ca="1" si="178"/>
        <v>-7.1185977574181141E-5</v>
      </c>
      <c r="V326" s="11">
        <f t="shared" ca="1" si="179"/>
        <v>0.19372198092645823</v>
      </c>
      <c r="W326" s="11">
        <f t="shared" ca="1" si="180"/>
        <v>2.329770182289415</v>
      </c>
      <c r="X326" s="11"/>
      <c r="Y326" s="2">
        <f t="shared" ca="1" si="181"/>
        <v>-4.1387352909695128E-5</v>
      </c>
      <c r="Z326" s="11">
        <f t="shared" ca="1" si="182"/>
        <v>-7.1185977574181141E-5</v>
      </c>
      <c r="AA326" s="2">
        <f t="shared" ca="1" si="183"/>
        <v>1.3723092009874115E-2</v>
      </c>
      <c r="AB326" s="2">
        <f t="shared" ca="1" si="184"/>
        <v>4.6330926645882589E-4</v>
      </c>
      <c r="AC326" s="2">
        <f t="shared" ca="1" si="185"/>
        <v>-1.4328118011845212E-4</v>
      </c>
      <c r="AD326" s="2">
        <f t="shared" ca="1" si="186"/>
        <v>0.26779738806247372</v>
      </c>
      <c r="AE326" s="2">
        <f t="shared" ca="1" si="187"/>
        <v>-7.1185977574181141E-5</v>
      </c>
      <c r="AF326" s="2">
        <f t="shared" ca="1" si="188"/>
        <v>0.19372198092645823</v>
      </c>
      <c r="AG326" s="2">
        <f t="shared" ca="1" si="189"/>
        <v>2.329770182289415</v>
      </c>
      <c r="AI326" s="2">
        <f t="shared" ca="1" si="190"/>
        <v>-4.1387352909695128E-5</v>
      </c>
      <c r="AJ326" s="11">
        <f t="shared" ca="1" si="191"/>
        <v>-7.1185977574181141E-5</v>
      </c>
      <c r="AK326" s="2">
        <f t="shared" ca="1" si="192"/>
        <v>1.3723092009874115E-2</v>
      </c>
      <c r="AL326" s="2">
        <f t="shared" ca="1" si="193"/>
        <v>4.6330926645882589E-4</v>
      </c>
      <c r="AM326" s="2">
        <f t="shared" ca="1" si="194"/>
        <v>-1.4328118011845212E-4</v>
      </c>
      <c r="AN326" s="2">
        <f t="shared" ca="1" si="195"/>
        <v>0.26779738806247372</v>
      </c>
      <c r="AO326" s="2">
        <f t="shared" ca="1" si="196"/>
        <v>-7.1185977574181141E-5</v>
      </c>
      <c r="AP326" s="2">
        <f t="shared" ca="1" si="197"/>
        <v>0.19372198092645823</v>
      </c>
      <c r="AQ326" s="2">
        <f t="shared" ca="1" si="198"/>
        <v>2.329770182289415</v>
      </c>
      <c r="AS326" s="2">
        <f t="shared" ca="1" si="199"/>
        <v>8.6997494603864816</v>
      </c>
      <c r="AT326" s="2">
        <f t="shared" ca="1" si="200"/>
        <v>0.40079494392575205</v>
      </c>
      <c r="AU326" s="2">
        <f t="shared" ca="1" si="201"/>
        <v>1.8569201147064642E-4</v>
      </c>
      <c r="AV326" s="2">
        <f t="shared" ca="1" si="202"/>
        <v>0.19353628891498759</v>
      </c>
      <c r="AW326" s="2">
        <f t="shared" ca="1" si="203"/>
        <v>0.70899177497273447</v>
      </c>
      <c r="AX326" s="2">
        <f t="shared" ca="1" si="204"/>
        <v>5.3277105413862103E-2</v>
      </c>
      <c r="AY326" s="9">
        <f t="shared" ca="1" si="205"/>
        <v>0.70899177497273447</v>
      </c>
      <c r="AZ326" s="9">
        <f t="shared" ca="1" si="206"/>
        <v>0.70899177497273447</v>
      </c>
      <c r="BB326" s="2">
        <f t="shared" ca="1" si="207"/>
        <v>8.6997494603864816</v>
      </c>
      <c r="BC326" s="2">
        <f t="shared" ca="1" si="208"/>
        <v>0.40079494392575205</v>
      </c>
      <c r="BD326" s="2">
        <f t="shared" ca="1" si="209"/>
        <v>1.8569201147064642E-4</v>
      </c>
      <c r="BE326" s="2">
        <f t="shared" ca="1" si="210"/>
        <v>0.19353628891498759</v>
      </c>
      <c r="BF326" s="2">
        <f t="shared" ca="1" si="211"/>
        <v>0.70899177497273447</v>
      </c>
      <c r="BG326" s="2">
        <f t="shared" ca="1" si="212"/>
        <v>5.3277105413862103E-2</v>
      </c>
      <c r="BH326" s="2">
        <f t="shared" ca="1" si="213"/>
        <v>0.70899177497273447</v>
      </c>
      <c r="BI326" s="2">
        <f t="shared" ca="1" si="214"/>
        <v>0.70899177497273447</v>
      </c>
    </row>
    <row r="327" spans="1:61" ht="15" x14ac:dyDescent="0.25">
      <c r="A327" s="66">
        <v>261</v>
      </c>
      <c r="B327" s="66">
        <v>1498730256.9909999</v>
      </c>
      <c r="C327" s="67">
        <v>-4.9842462877650903E-5</v>
      </c>
      <c r="D327" s="67">
        <v>4.5734934370463799E-5</v>
      </c>
      <c r="E327" s="67">
        <v>1.53630528943742E-2</v>
      </c>
      <c r="F327" s="67">
        <v>4.7638404549036202E-4</v>
      </c>
      <c r="G327" s="67">
        <v>7.5082341569393399E-5</v>
      </c>
      <c r="H327" s="67">
        <v>0.28481702921560398</v>
      </c>
      <c r="I327" s="67">
        <v>4.5734934370463799E-5</v>
      </c>
      <c r="J327" s="67">
        <v>0.205607978787817</v>
      </c>
      <c r="K327" s="67">
        <v>2.4714601665658402</v>
      </c>
      <c r="L327" s="67"/>
      <c r="M327" s="67"/>
      <c r="O327" s="11">
        <f t="shared" ca="1" si="172"/>
        <v>-6.2646393587610931E-5</v>
      </c>
      <c r="P327" s="11">
        <f t="shared" ca="1" si="173"/>
        <v>4.4969834140159061E-5</v>
      </c>
      <c r="Q327" s="11">
        <f t="shared" ca="1" si="174"/>
        <v>1.4526561282105915E-2</v>
      </c>
      <c r="R327" s="11">
        <f t="shared" ca="1" si="175"/>
        <v>4.6473755784401491E-4</v>
      </c>
      <c r="S327" s="11">
        <f t="shared" ca="1" si="176"/>
        <v>6.4154689522423272E-5</v>
      </c>
      <c r="T327" s="11">
        <f t="shared" ca="1" si="177"/>
        <v>0.28367847417702169</v>
      </c>
      <c r="U327" s="11">
        <f t="shared" ca="1" si="178"/>
        <v>4.4969834140159061E-5</v>
      </c>
      <c r="V327" s="11">
        <f t="shared" ca="1" si="179"/>
        <v>0.20495778278212323</v>
      </c>
      <c r="W327" s="11">
        <f t="shared" ca="1" si="180"/>
        <v>2.4643373183023352</v>
      </c>
      <c r="X327" s="11"/>
      <c r="Y327" s="2">
        <f t="shared" ca="1" si="181"/>
        <v>-6.2646393587610931E-5</v>
      </c>
      <c r="Z327" s="11">
        <f t="shared" ca="1" si="182"/>
        <v>4.4969834140159061E-5</v>
      </c>
      <c r="AA327" s="2">
        <f t="shared" ca="1" si="183"/>
        <v>1.4526217229223468E-2</v>
      </c>
      <c r="AB327" s="2">
        <f t="shared" ca="1" si="184"/>
        <v>4.564099142120237E-4</v>
      </c>
      <c r="AC327" s="2">
        <f t="shared" ca="1" si="185"/>
        <v>6.4154689522423272E-5</v>
      </c>
      <c r="AD327" s="2">
        <f t="shared" ca="1" si="186"/>
        <v>0.28361791305032708</v>
      </c>
      <c r="AE327" s="2">
        <f t="shared" ca="1" si="187"/>
        <v>4.4969834140159061E-5</v>
      </c>
      <c r="AF327" s="2">
        <f t="shared" ca="1" si="188"/>
        <v>0.20486834858114586</v>
      </c>
      <c r="AG327" s="2">
        <f t="shared" ca="1" si="189"/>
        <v>2.4643010279840931</v>
      </c>
      <c r="AI327" s="2">
        <f t="shared" ca="1" si="190"/>
        <v>-6.2646393587610931E-5</v>
      </c>
      <c r="AJ327" s="11">
        <f t="shared" ca="1" si="191"/>
        <v>4.4969834140159061E-5</v>
      </c>
      <c r="AK327" s="2">
        <f t="shared" ca="1" si="192"/>
        <v>1.4473161145548863E-2</v>
      </c>
      <c r="AL327" s="2">
        <f t="shared" ca="1" si="193"/>
        <v>4.315774508812812E-4</v>
      </c>
      <c r="AM327" s="2">
        <f t="shared" ca="1" si="194"/>
        <v>6.4154689522423272E-5</v>
      </c>
      <c r="AN327" s="2">
        <f t="shared" ca="1" si="195"/>
        <v>0.28361791305032708</v>
      </c>
      <c r="AO327" s="2">
        <f t="shared" ca="1" si="196"/>
        <v>4.4969834140159061E-5</v>
      </c>
      <c r="AP327" s="2">
        <f t="shared" ca="1" si="197"/>
        <v>0.20486834858114586</v>
      </c>
      <c r="AQ327" s="2">
        <f t="shared" ca="1" si="198"/>
        <v>2.4643010279840931</v>
      </c>
      <c r="AS327" s="2">
        <f t="shared" ca="1" si="199"/>
        <v>8.687079008908281</v>
      </c>
      <c r="AT327" s="2">
        <f t="shared" ca="1" si="200"/>
        <v>0.40020414524351494</v>
      </c>
      <c r="AU327" s="2">
        <f t="shared" ca="1" si="201"/>
        <v>1.8598989709952258E-4</v>
      </c>
      <c r="AV327" s="2">
        <f t="shared" ca="1" si="202"/>
        <v>0.2047717928850237</v>
      </c>
      <c r="AW327" s="2">
        <f t="shared" ca="1" si="203"/>
        <v>0.70867585566443514</v>
      </c>
      <c r="AX327" s="2">
        <f t="shared" ca="1" si="204"/>
        <v>5.3159847922818262E-2</v>
      </c>
      <c r="AY327" s="9">
        <f t="shared" ca="1" si="205"/>
        <v>0.70867585566443514</v>
      </c>
      <c r="AZ327" s="9">
        <f t="shared" ca="1" si="206"/>
        <v>0.70867585566443514</v>
      </c>
      <c r="BB327" s="2">
        <f t="shared" ca="1" si="207"/>
        <v>8.6888060118643171</v>
      </c>
      <c r="BC327" s="2">
        <f t="shared" ca="1" si="208"/>
        <v>0.40028467144118063</v>
      </c>
      <c r="BD327" s="2">
        <f t="shared" ca="1" si="209"/>
        <v>1.7275383812743591E-4</v>
      </c>
      <c r="BE327" s="2">
        <f t="shared" ca="1" si="210"/>
        <v>0.20469559474301843</v>
      </c>
      <c r="BF327" s="2">
        <f t="shared" ca="1" si="211"/>
        <v>0.70849248901465967</v>
      </c>
      <c r="BG327" s="2">
        <f t="shared" ca="1" si="212"/>
        <v>5.2986516571878743E-2</v>
      </c>
      <c r="BH327" s="2">
        <f t="shared" ca="1" si="213"/>
        <v>0.70849248901465967</v>
      </c>
      <c r="BI327" s="2">
        <f t="shared" ca="1" si="214"/>
        <v>0.70849248901465967</v>
      </c>
    </row>
    <row r="328" spans="1:61" ht="15" x14ac:dyDescent="0.25">
      <c r="A328" s="66">
        <v>262</v>
      </c>
      <c r="B328" s="66">
        <v>1498730257.517</v>
      </c>
      <c r="C328" s="67">
        <v>2.6692215481083099E-5</v>
      </c>
      <c r="D328" s="67">
        <v>-3.50264307022272E-6</v>
      </c>
      <c r="E328" s="67">
        <v>1.46255915474078E-2</v>
      </c>
      <c r="F328" s="67">
        <v>3.8592962222172301E-4</v>
      </c>
      <c r="G328" s="67">
        <v>-1.4491620010449E-5</v>
      </c>
      <c r="H328" s="67">
        <v>0.27039380932216001</v>
      </c>
      <c r="I328" s="67">
        <v>-3.50264307022272E-6</v>
      </c>
      <c r="J328" s="67">
        <v>0.19536970255973701</v>
      </c>
      <c r="K328" s="67">
        <v>2.3528249548266902</v>
      </c>
      <c r="L328" s="67"/>
      <c r="M328" s="67"/>
      <c r="O328" s="11">
        <f t="shared" ca="1" si="172"/>
        <v>1.3888284771123071E-5</v>
      </c>
      <c r="P328" s="11">
        <f t="shared" ca="1" si="173"/>
        <v>-4.2677433005274607E-6</v>
      </c>
      <c r="Q328" s="11">
        <f t="shared" ca="1" si="174"/>
        <v>1.3789099935139515E-2</v>
      </c>
      <c r="R328" s="11">
        <f t="shared" ca="1" si="175"/>
        <v>3.742831345753759E-4</v>
      </c>
      <c r="S328" s="11">
        <f t="shared" ca="1" si="176"/>
        <v>-2.5419272057419123E-5</v>
      </c>
      <c r="T328" s="11">
        <f t="shared" ca="1" si="177"/>
        <v>0.26925525428357772</v>
      </c>
      <c r="U328" s="11">
        <f t="shared" ca="1" si="178"/>
        <v>-4.2677433005274607E-6</v>
      </c>
      <c r="V328" s="11">
        <f t="shared" ca="1" si="179"/>
        <v>0.19471950655404324</v>
      </c>
      <c r="W328" s="11">
        <f t="shared" ca="1" si="180"/>
        <v>2.3457021065631851</v>
      </c>
      <c r="X328" s="11"/>
      <c r="Y328" s="2">
        <f t="shared" ca="1" si="181"/>
        <v>1.3888284771123071E-5</v>
      </c>
      <c r="Z328" s="11">
        <f t="shared" ca="1" si="182"/>
        <v>-4.2677433005274607E-6</v>
      </c>
      <c r="AA328" s="2">
        <f t="shared" ca="1" si="183"/>
        <v>1.3789099935139515E-2</v>
      </c>
      <c r="AB328" s="2">
        <f t="shared" ca="1" si="184"/>
        <v>3.742831345753759E-4</v>
      </c>
      <c r="AC328" s="2">
        <f t="shared" ca="1" si="185"/>
        <v>-2.5419272057419123E-5</v>
      </c>
      <c r="AD328" s="2">
        <f t="shared" ca="1" si="186"/>
        <v>0.26925525428357772</v>
      </c>
      <c r="AE328" s="2">
        <f t="shared" ca="1" si="187"/>
        <v>-4.2677433005274607E-6</v>
      </c>
      <c r="AF328" s="2">
        <f t="shared" ca="1" si="188"/>
        <v>0.19471950655404324</v>
      </c>
      <c r="AG328" s="2">
        <f t="shared" ca="1" si="189"/>
        <v>2.3457021065631851</v>
      </c>
      <c r="AI328" s="2">
        <f t="shared" ca="1" si="190"/>
        <v>1.3888284771123071E-5</v>
      </c>
      <c r="AJ328" s="11">
        <f t="shared" ca="1" si="191"/>
        <v>-4.2677433005274607E-6</v>
      </c>
      <c r="AK328" s="2">
        <f t="shared" ca="1" si="192"/>
        <v>1.3789099935139515E-2</v>
      </c>
      <c r="AL328" s="2">
        <f t="shared" ca="1" si="193"/>
        <v>3.742831345753759E-4</v>
      </c>
      <c r="AM328" s="2">
        <f t="shared" ca="1" si="194"/>
        <v>-2.5419272057419123E-5</v>
      </c>
      <c r="AN328" s="2">
        <f t="shared" ca="1" si="195"/>
        <v>0.26925525428357772</v>
      </c>
      <c r="AO328" s="2">
        <f t="shared" ca="1" si="196"/>
        <v>-4.2677433005274607E-6</v>
      </c>
      <c r="AP328" s="2">
        <f t="shared" ca="1" si="197"/>
        <v>0.19471950655404324</v>
      </c>
      <c r="AQ328" s="2">
        <f t="shared" ca="1" si="198"/>
        <v>2.3457021065631851</v>
      </c>
      <c r="AS328" s="2">
        <f t="shared" ca="1" si="199"/>
        <v>8.7118155328278508</v>
      </c>
      <c r="AT328" s="2">
        <f t="shared" ca="1" si="200"/>
        <v>0.40135757128239824</v>
      </c>
      <c r="AU328" s="2">
        <f t="shared" ca="1" si="201"/>
        <v>1.5022136986513588E-4</v>
      </c>
      <c r="AV328" s="2">
        <f t="shared" ca="1" si="202"/>
        <v>0.1945692851841781</v>
      </c>
      <c r="AW328" s="2">
        <f t="shared" ca="1" si="203"/>
        <v>0.70842209120491972</v>
      </c>
      <c r="AX328" s="2">
        <f t="shared" ca="1" si="204"/>
        <v>5.331907853511518E-2</v>
      </c>
      <c r="AY328" s="9">
        <f t="shared" ca="1" si="205"/>
        <v>0.70842209120491972</v>
      </c>
      <c r="AZ328" s="9">
        <f t="shared" ca="1" si="206"/>
        <v>0.70842209120491972</v>
      </c>
      <c r="BB328" s="2">
        <f t="shared" ca="1" si="207"/>
        <v>8.7118155328278508</v>
      </c>
      <c r="BC328" s="2">
        <f t="shared" ca="1" si="208"/>
        <v>0.40135757128239824</v>
      </c>
      <c r="BD328" s="2">
        <f t="shared" ca="1" si="209"/>
        <v>1.5022136986513588E-4</v>
      </c>
      <c r="BE328" s="2">
        <f t="shared" ca="1" si="210"/>
        <v>0.1945692851841781</v>
      </c>
      <c r="BF328" s="2">
        <f t="shared" ca="1" si="211"/>
        <v>0.70842209120491972</v>
      </c>
      <c r="BG328" s="2">
        <f t="shared" ca="1" si="212"/>
        <v>5.331907853511518E-2</v>
      </c>
      <c r="BH328" s="2">
        <f t="shared" ca="1" si="213"/>
        <v>0.70842209120491972</v>
      </c>
      <c r="BI328" s="2">
        <f t="shared" ca="1" si="214"/>
        <v>0.70842209120491972</v>
      </c>
    </row>
    <row r="329" spans="1:61" ht="15" x14ac:dyDescent="0.25">
      <c r="A329" s="66">
        <v>263</v>
      </c>
      <c r="B329" s="66">
        <v>1498730258.0439999</v>
      </c>
      <c r="C329" s="67">
        <v>7.0755779606853303E-7</v>
      </c>
      <c r="D329" s="67">
        <v>-2.0437176881162201E-5</v>
      </c>
      <c r="E329" s="67">
        <v>1.3150685205713599E-2</v>
      </c>
      <c r="F329" s="67">
        <v>3.6188916655593599E-4</v>
      </c>
      <c r="G329" s="67">
        <v>-5.97098668509671E-6</v>
      </c>
      <c r="H329" s="67">
        <v>0.24504936979983399</v>
      </c>
      <c r="I329" s="67">
        <v>-2.0437176881162201E-5</v>
      </c>
      <c r="J329" s="67">
        <v>0.177044564635296</v>
      </c>
      <c r="K329" s="67">
        <v>2.1286025616200401</v>
      </c>
      <c r="L329" s="67"/>
      <c r="M329" s="67"/>
      <c r="O329" s="11">
        <f t="shared" ca="1" si="172"/>
        <v>-1.2096372913891496E-5</v>
      </c>
      <c r="P329" s="11">
        <f t="shared" ca="1" si="173"/>
        <v>-2.1202277111466943E-5</v>
      </c>
      <c r="Q329" s="11">
        <f t="shared" ca="1" si="174"/>
        <v>1.2314193593445315E-2</v>
      </c>
      <c r="R329" s="11">
        <f t="shared" ca="1" si="175"/>
        <v>3.5024267890958888E-4</v>
      </c>
      <c r="S329" s="11">
        <f t="shared" ca="1" si="176"/>
        <v>-1.6898638732066831E-5</v>
      </c>
      <c r="T329" s="11">
        <f t="shared" ca="1" si="177"/>
        <v>0.2439108147612517</v>
      </c>
      <c r="U329" s="11">
        <f t="shared" ca="1" si="178"/>
        <v>-2.1202277111466943E-5</v>
      </c>
      <c r="V329" s="11">
        <f t="shared" ca="1" si="179"/>
        <v>0.17639436862960223</v>
      </c>
      <c r="W329" s="11">
        <f t="shared" ca="1" si="180"/>
        <v>2.1214797133565351</v>
      </c>
      <c r="X329" s="11"/>
      <c r="Y329" s="2">
        <f t="shared" ca="1" si="181"/>
        <v>-1.2096372913891496E-5</v>
      </c>
      <c r="Z329" s="11">
        <f t="shared" ca="1" si="182"/>
        <v>-2.1202277111466943E-5</v>
      </c>
      <c r="AA329" s="2">
        <f t="shared" ca="1" si="183"/>
        <v>1.2314193593445315E-2</v>
      </c>
      <c r="AB329" s="2">
        <f t="shared" ca="1" si="184"/>
        <v>3.5024267890958888E-4</v>
      </c>
      <c r="AC329" s="2">
        <f t="shared" ca="1" si="185"/>
        <v>-1.6898638732066831E-5</v>
      </c>
      <c r="AD329" s="2">
        <f t="shared" ca="1" si="186"/>
        <v>0.2439108147612517</v>
      </c>
      <c r="AE329" s="2">
        <f t="shared" ca="1" si="187"/>
        <v>-2.1202277111466943E-5</v>
      </c>
      <c r="AF329" s="2">
        <f t="shared" ca="1" si="188"/>
        <v>0.17639436862960223</v>
      </c>
      <c r="AG329" s="2">
        <f t="shared" ca="1" si="189"/>
        <v>2.1214797133565351</v>
      </c>
      <c r="AI329" s="2">
        <f t="shared" ca="1" si="190"/>
        <v>-1.2096372913891496E-5</v>
      </c>
      <c r="AJ329" s="11">
        <f t="shared" ca="1" si="191"/>
        <v>-2.1202277111466943E-5</v>
      </c>
      <c r="AK329" s="2">
        <f t="shared" ca="1" si="192"/>
        <v>1.2314193593445315E-2</v>
      </c>
      <c r="AL329" s="2">
        <f t="shared" ca="1" si="193"/>
        <v>3.5024267890958888E-4</v>
      </c>
      <c r="AM329" s="2">
        <f t="shared" ca="1" si="194"/>
        <v>-1.6898638732066831E-5</v>
      </c>
      <c r="AN329" s="2">
        <f t="shared" ca="1" si="195"/>
        <v>0.2439108147612517</v>
      </c>
      <c r="AO329" s="2">
        <f t="shared" ca="1" si="196"/>
        <v>-2.1202277111466943E-5</v>
      </c>
      <c r="AP329" s="2">
        <f t="shared" ca="1" si="197"/>
        <v>0.17639436862960223</v>
      </c>
      <c r="AQ329" s="2">
        <f t="shared" ca="1" si="198"/>
        <v>2.1214797133565351</v>
      </c>
      <c r="AS329" s="2">
        <f t="shared" ca="1" si="199"/>
        <v>8.6977681388712202</v>
      </c>
      <c r="AT329" s="2">
        <f t="shared" ca="1" si="200"/>
        <v>0.40070255804121874</v>
      </c>
      <c r="AU329" s="2">
        <f t="shared" ca="1" si="201"/>
        <v>1.4034313737428149E-4</v>
      </c>
      <c r="AV329" s="2">
        <f t="shared" ca="1" si="202"/>
        <v>0.17625402549222793</v>
      </c>
      <c r="AW329" s="2">
        <f t="shared" ca="1" si="203"/>
        <v>0.70899460034194728</v>
      </c>
      <c r="AX329" s="2">
        <f t="shared" ca="1" si="204"/>
        <v>5.2476961828546206E-2</v>
      </c>
      <c r="AY329" s="9">
        <f t="shared" ca="1" si="205"/>
        <v>0.70899460034194728</v>
      </c>
      <c r="AZ329" s="9">
        <f t="shared" ca="1" si="206"/>
        <v>0.70899460034194728</v>
      </c>
      <c r="BB329" s="2">
        <f t="shared" ca="1" si="207"/>
        <v>8.6977681388712202</v>
      </c>
      <c r="BC329" s="2">
        <f t="shared" ca="1" si="208"/>
        <v>0.40070255804121874</v>
      </c>
      <c r="BD329" s="2">
        <f t="shared" ca="1" si="209"/>
        <v>1.4034313737428149E-4</v>
      </c>
      <c r="BE329" s="2">
        <f t="shared" ca="1" si="210"/>
        <v>0.17625402549222793</v>
      </c>
      <c r="BF329" s="2">
        <f t="shared" ca="1" si="211"/>
        <v>0.70899460034194728</v>
      </c>
      <c r="BG329" s="2">
        <f t="shared" ca="1" si="212"/>
        <v>5.2476961828546206E-2</v>
      </c>
      <c r="BH329" s="2">
        <f t="shared" ca="1" si="213"/>
        <v>0.70899460034194728</v>
      </c>
      <c r="BI329" s="2">
        <f t="shared" ca="1" si="214"/>
        <v>0.70899460034194728</v>
      </c>
    </row>
    <row r="330" spans="1:61" ht="15" x14ac:dyDescent="0.25">
      <c r="A330" s="66">
        <v>264</v>
      </c>
      <c r="B330" s="66">
        <v>1498730258.5710001</v>
      </c>
      <c r="C330" s="67">
        <v>7.2757599375407997E-5</v>
      </c>
      <c r="D330" s="67">
        <v>-3.7604944539125897E-5</v>
      </c>
      <c r="E330" s="67">
        <v>1.37430405476122E-2</v>
      </c>
      <c r="F330" s="67">
        <v>4.0782836265613098E-4</v>
      </c>
      <c r="G330" s="67">
        <v>-1.4232716555023299E-5</v>
      </c>
      <c r="H330" s="67">
        <v>0.25725256987579598</v>
      </c>
      <c r="I330" s="67">
        <v>-3.7604944539125897E-5</v>
      </c>
      <c r="J330" s="67">
        <v>0.185743001593595</v>
      </c>
      <c r="K330" s="67">
        <v>2.2305811525251298</v>
      </c>
      <c r="L330" s="67"/>
      <c r="M330" s="67"/>
      <c r="O330" s="11">
        <f t="shared" ca="1" si="172"/>
        <v>5.995366866544797E-5</v>
      </c>
      <c r="P330" s="11">
        <f t="shared" ca="1" si="173"/>
        <v>-3.8370044769430635E-5</v>
      </c>
      <c r="Q330" s="11">
        <f t="shared" ca="1" si="174"/>
        <v>1.2906548935343915E-2</v>
      </c>
      <c r="R330" s="11">
        <f t="shared" ca="1" si="175"/>
        <v>3.9618187500978387E-4</v>
      </c>
      <c r="S330" s="11">
        <f t="shared" ca="1" si="176"/>
        <v>-2.516036860199342E-5</v>
      </c>
      <c r="T330" s="11">
        <f t="shared" ca="1" si="177"/>
        <v>0.25611401483721369</v>
      </c>
      <c r="U330" s="11">
        <f t="shared" ca="1" si="178"/>
        <v>-3.8370044769430635E-5</v>
      </c>
      <c r="V330" s="11">
        <f t="shared" ca="1" si="179"/>
        <v>0.18509280558790123</v>
      </c>
      <c r="W330" s="11">
        <f t="shared" ca="1" si="180"/>
        <v>2.2234583042616247</v>
      </c>
      <c r="X330" s="11"/>
      <c r="Y330" s="2">
        <f t="shared" ca="1" si="181"/>
        <v>5.995366866544797E-5</v>
      </c>
      <c r="Z330" s="11">
        <f t="shared" ca="1" si="182"/>
        <v>-3.8370044769430635E-5</v>
      </c>
      <c r="AA330" s="2">
        <f t="shared" ca="1" si="183"/>
        <v>1.2906548935343915E-2</v>
      </c>
      <c r="AB330" s="2">
        <f t="shared" ca="1" si="184"/>
        <v>3.9618187500978387E-4</v>
      </c>
      <c r="AC330" s="2">
        <f t="shared" ca="1" si="185"/>
        <v>-2.516036860199342E-5</v>
      </c>
      <c r="AD330" s="2">
        <f t="shared" ca="1" si="186"/>
        <v>0.25611401483721369</v>
      </c>
      <c r="AE330" s="2">
        <f t="shared" ca="1" si="187"/>
        <v>-3.8370044769430635E-5</v>
      </c>
      <c r="AF330" s="2">
        <f t="shared" ca="1" si="188"/>
        <v>0.18509280558790123</v>
      </c>
      <c r="AG330" s="2">
        <f t="shared" ca="1" si="189"/>
        <v>2.2234583042616247</v>
      </c>
      <c r="AI330" s="2">
        <f t="shared" ca="1" si="190"/>
        <v>5.995366866544797E-5</v>
      </c>
      <c r="AJ330" s="11">
        <f t="shared" ca="1" si="191"/>
        <v>-3.8370044769430635E-5</v>
      </c>
      <c r="AK330" s="2">
        <f t="shared" ca="1" si="192"/>
        <v>1.2906548935343915E-2</v>
      </c>
      <c r="AL330" s="2">
        <f t="shared" ca="1" si="193"/>
        <v>3.9618187500978387E-4</v>
      </c>
      <c r="AM330" s="2">
        <f t="shared" ca="1" si="194"/>
        <v>-2.516036860199342E-5</v>
      </c>
      <c r="AN330" s="2">
        <f t="shared" ca="1" si="195"/>
        <v>0.25611401483721369</v>
      </c>
      <c r="AO330" s="2">
        <f t="shared" ca="1" si="196"/>
        <v>-3.8370044769430635E-5</v>
      </c>
      <c r="AP330" s="2">
        <f t="shared" ca="1" si="197"/>
        <v>0.18509280558790123</v>
      </c>
      <c r="AQ330" s="2">
        <f t="shared" ca="1" si="198"/>
        <v>2.2234583042616247</v>
      </c>
      <c r="AS330" s="2">
        <f t="shared" ca="1" si="199"/>
        <v>8.6815175095937516</v>
      </c>
      <c r="AT330" s="2">
        <f t="shared" ca="1" si="200"/>
        <v>0.3999448265709219</v>
      </c>
      <c r="AU330" s="2">
        <f t="shared" ca="1" si="201"/>
        <v>1.5845089129133067E-4</v>
      </c>
      <c r="AV330" s="2">
        <f t="shared" ca="1" si="202"/>
        <v>0.1849343546966099</v>
      </c>
      <c r="AW330" s="2">
        <f t="shared" ca="1" si="203"/>
        <v>0.70913382401036318</v>
      </c>
      <c r="AX330" s="2">
        <f t="shared" ca="1" si="204"/>
        <v>5.228047049343422E-2</v>
      </c>
      <c r="AY330" s="9">
        <f t="shared" ca="1" si="205"/>
        <v>0.70913382401036318</v>
      </c>
      <c r="AZ330" s="9">
        <f t="shared" ca="1" si="206"/>
        <v>0.70913382401036318</v>
      </c>
      <c r="BB330" s="2">
        <f t="shared" ca="1" si="207"/>
        <v>8.6815175095937516</v>
      </c>
      <c r="BC330" s="2">
        <f t="shared" ca="1" si="208"/>
        <v>0.3999448265709219</v>
      </c>
      <c r="BD330" s="2">
        <f t="shared" ca="1" si="209"/>
        <v>1.5845089129133067E-4</v>
      </c>
      <c r="BE330" s="2">
        <f t="shared" ca="1" si="210"/>
        <v>0.1849343546966099</v>
      </c>
      <c r="BF330" s="2">
        <f t="shared" ca="1" si="211"/>
        <v>0.70913382401036318</v>
      </c>
      <c r="BG330" s="2">
        <f t="shared" ca="1" si="212"/>
        <v>5.228047049343422E-2</v>
      </c>
      <c r="BH330" s="2">
        <f t="shared" ca="1" si="213"/>
        <v>0.70913382401036318</v>
      </c>
      <c r="BI330" s="2">
        <f t="shared" ca="1" si="214"/>
        <v>0.70913382401036318</v>
      </c>
    </row>
    <row r="331" spans="1:61" ht="15" x14ac:dyDescent="0.25">
      <c r="A331" s="66">
        <v>265</v>
      </c>
      <c r="B331" s="66">
        <v>1498730259.098</v>
      </c>
      <c r="C331" s="67">
        <v>6.9922744762781298E-5</v>
      </c>
      <c r="D331" s="67">
        <v>2.34993932535906E-5</v>
      </c>
      <c r="E331" s="67">
        <v>1.4147304526309299E-2</v>
      </c>
      <c r="F331" s="67">
        <v>5.2470910752038002E-4</v>
      </c>
      <c r="G331" s="67">
        <v>3.3888022980063197E-5</v>
      </c>
      <c r="H331" s="67">
        <v>0.26177048963101202</v>
      </c>
      <c r="I331" s="67">
        <v>2.34993932535906E-5</v>
      </c>
      <c r="J331" s="67">
        <v>0.18911634323634</v>
      </c>
      <c r="K331" s="67">
        <v>2.2733780794454099</v>
      </c>
      <c r="L331" s="67"/>
      <c r="M331" s="67"/>
      <c r="O331" s="11">
        <f t="shared" ca="1" si="172"/>
        <v>5.711881405282127E-5</v>
      </c>
      <c r="P331" s="11">
        <f t="shared" ca="1" si="173"/>
        <v>2.2734293023285858E-5</v>
      </c>
      <c r="Q331" s="11">
        <f t="shared" ca="1" si="174"/>
        <v>1.3310812914041015E-2</v>
      </c>
      <c r="R331" s="11">
        <f t="shared" ca="1" si="175"/>
        <v>5.1306261987403286E-4</v>
      </c>
      <c r="S331" s="11">
        <f t="shared" ca="1" si="176"/>
        <v>2.2960370933093076E-5</v>
      </c>
      <c r="T331" s="11">
        <f t="shared" ca="1" si="177"/>
        <v>0.26063193459242973</v>
      </c>
      <c r="U331" s="11">
        <f t="shared" ca="1" si="178"/>
        <v>2.2734293023285858E-5</v>
      </c>
      <c r="V331" s="11">
        <f t="shared" ca="1" si="179"/>
        <v>0.18846614723064622</v>
      </c>
      <c r="W331" s="11">
        <f t="shared" ca="1" si="180"/>
        <v>2.2662552311819049</v>
      </c>
      <c r="X331" s="11"/>
      <c r="Y331" s="2">
        <f t="shared" ca="1" si="181"/>
        <v>5.711881405282127E-5</v>
      </c>
      <c r="Z331" s="11">
        <f t="shared" ca="1" si="182"/>
        <v>2.2734293023285858E-5</v>
      </c>
      <c r="AA331" s="2">
        <f t="shared" ca="1" si="183"/>
        <v>1.3310638979687138E-2</v>
      </c>
      <c r="AB331" s="2">
        <f t="shared" ca="1" si="184"/>
        <v>5.0885261789952881E-4</v>
      </c>
      <c r="AC331" s="2">
        <f t="shared" ca="1" si="185"/>
        <v>2.2960370933093076E-5</v>
      </c>
      <c r="AD331" s="2">
        <f t="shared" ca="1" si="186"/>
        <v>0.26060131819309401</v>
      </c>
      <c r="AE331" s="2">
        <f t="shared" ca="1" si="187"/>
        <v>2.2734293023285858E-5</v>
      </c>
      <c r="AF331" s="2">
        <f t="shared" ca="1" si="188"/>
        <v>0.18842093418127215</v>
      </c>
      <c r="AG331" s="2">
        <f t="shared" ca="1" si="189"/>
        <v>2.2662368847782632</v>
      </c>
      <c r="AI331" s="2">
        <f t="shared" ca="1" si="190"/>
        <v>5.711881405282127E-5</v>
      </c>
      <c r="AJ331" s="11">
        <f t="shared" ca="1" si="191"/>
        <v>2.2734293023285858E-5</v>
      </c>
      <c r="AK331" s="2">
        <f t="shared" ca="1" si="192"/>
        <v>1.3283816720366212E-2</v>
      </c>
      <c r="AL331" s="2">
        <f t="shared" ca="1" si="193"/>
        <v>4.9629868016225469E-4</v>
      </c>
      <c r="AM331" s="2">
        <f t="shared" ca="1" si="194"/>
        <v>2.2960370933093076E-5</v>
      </c>
      <c r="AN331" s="2">
        <f t="shared" ca="1" si="195"/>
        <v>0.26060131819309401</v>
      </c>
      <c r="AO331" s="2">
        <f t="shared" ca="1" si="196"/>
        <v>2.2734293023285858E-5</v>
      </c>
      <c r="AP331" s="2">
        <f t="shared" ca="1" si="197"/>
        <v>0.18842093418127215</v>
      </c>
      <c r="AQ331" s="2">
        <f t="shared" ca="1" si="198"/>
        <v>2.2662368847782632</v>
      </c>
      <c r="AS331" s="2">
        <f t="shared" ca="1" si="199"/>
        <v>8.6952323579450201</v>
      </c>
      <c r="AT331" s="2">
        <f t="shared" ca="1" si="200"/>
        <v>0.40058431896482466</v>
      </c>
      <c r="AU331" s="2">
        <f t="shared" ca="1" si="201"/>
        <v>2.0552484016854816E-4</v>
      </c>
      <c r="AV331" s="2">
        <f t="shared" ca="1" si="202"/>
        <v>0.18826062239047767</v>
      </c>
      <c r="AW331" s="2">
        <f t="shared" ca="1" si="203"/>
        <v>0.70881120533399999</v>
      </c>
      <c r="AX331" s="2">
        <f t="shared" ca="1" si="204"/>
        <v>5.3069028398045059E-2</v>
      </c>
      <c r="AY331" s="9">
        <f t="shared" ca="1" si="205"/>
        <v>0.70881120533399999</v>
      </c>
      <c r="AZ331" s="9">
        <f t="shared" ca="1" si="206"/>
        <v>0.70881120533399999</v>
      </c>
      <c r="BB331" s="2">
        <f t="shared" ca="1" si="207"/>
        <v>8.6961835054843508</v>
      </c>
      <c r="BC331" s="2">
        <f t="shared" ca="1" si="208"/>
        <v>0.40062866927960439</v>
      </c>
      <c r="BD331" s="2">
        <f t="shared" ca="1" si="209"/>
        <v>1.9883147979862808E-4</v>
      </c>
      <c r="BE331" s="2">
        <f t="shared" ca="1" si="210"/>
        <v>0.18822210270147352</v>
      </c>
      <c r="BF331" s="2">
        <f t="shared" ca="1" si="211"/>
        <v>0.70871039392402846</v>
      </c>
      <c r="BG331" s="2">
        <f t="shared" ca="1" si="212"/>
        <v>5.2973547774247384E-2</v>
      </c>
      <c r="BH331" s="2">
        <f t="shared" ca="1" si="213"/>
        <v>0.70871039392402846</v>
      </c>
      <c r="BI331" s="2">
        <f t="shared" ca="1" si="214"/>
        <v>0.70871039392402846</v>
      </c>
    </row>
    <row r="332" spans="1:61" ht="15" x14ac:dyDescent="0.25">
      <c r="A332" s="66">
        <v>266</v>
      </c>
      <c r="B332" s="66">
        <v>1498730259.625</v>
      </c>
      <c r="C332" s="67">
        <v>1.7715620432701799E-5</v>
      </c>
      <c r="D332" s="67">
        <v>-6.4661168557451006E-5</v>
      </c>
      <c r="E332" s="67">
        <v>1.3872069079992701E-2</v>
      </c>
      <c r="F332" s="67">
        <v>4.7019479757100599E-4</v>
      </c>
      <c r="G332" s="67">
        <v>3.0944546139802098E-5</v>
      </c>
      <c r="H332" s="67">
        <v>0.25610780277282602</v>
      </c>
      <c r="I332" s="67">
        <v>-6.4661168557451006E-5</v>
      </c>
      <c r="J332" s="67">
        <v>0.184907158540318</v>
      </c>
      <c r="K332" s="67">
        <v>2.2238554904825198</v>
      </c>
      <c r="L332" s="67"/>
      <c r="M332" s="67"/>
      <c r="O332" s="11">
        <f t="shared" ca="1" si="172"/>
        <v>4.911689722741771E-6</v>
      </c>
      <c r="P332" s="11">
        <f t="shared" ca="1" si="173"/>
        <v>-6.5426268787755745E-5</v>
      </c>
      <c r="Q332" s="11">
        <f t="shared" ca="1" si="174"/>
        <v>1.3035577467724416E-2</v>
      </c>
      <c r="R332" s="11">
        <f t="shared" ca="1" si="175"/>
        <v>4.5854830992465888E-4</v>
      </c>
      <c r="S332" s="11">
        <f t="shared" ca="1" si="176"/>
        <v>2.0016894092831977E-5</v>
      </c>
      <c r="T332" s="11">
        <f t="shared" ca="1" si="177"/>
        <v>0.25496924773424373</v>
      </c>
      <c r="U332" s="11">
        <f t="shared" ca="1" si="178"/>
        <v>-6.5426268787755745E-5</v>
      </c>
      <c r="V332" s="11">
        <f t="shared" ca="1" si="179"/>
        <v>0.18425696253462423</v>
      </c>
      <c r="W332" s="11">
        <f t="shared" ca="1" si="180"/>
        <v>2.2167326422190148</v>
      </c>
      <c r="X332" s="11"/>
      <c r="Y332" s="2">
        <f t="shared" ca="1" si="181"/>
        <v>4.911689722741771E-6</v>
      </c>
      <c r="Z332" s="11">
        <f t="shared" ca="1" si="182"/>
        <v>-6.5426268787755745E-5</v>
      </c>
      <c r="AA332" s="2">
        <f t="shared" ca="1" si="183"/>
        <v>1.3035577467724416E-2</v>
      </c>
      <c r="AB332" s="2">
        <f t="shared" ca="1" si="184"/>
        <v>4.5854830992465888E-4</v>
      </c>
      <c r="AC332" s="2">
        <f t="shared" ca="1" si="185"/>
        <v>2.0016894092831977E-5</v>
      </c>
      <c r="AD332" s="2">
        <f t="shared" ca="1" si="186"/>
        <v>0.25496924773424373</v>
      </c>
      <c r="AE332" s="2">
        <f t="shared" ca="1" si="187"/>
        <v>-6.5426268787755745E-5</v>
      </c>
      <c r="AF332" s="2">
        <f t="shared" ca="1" si="188"/>
        <v>0.18425696253462423</v>
      </c>
      <c r="AG332" s="2">
        <f t="shared" ca="1" si="189"/>
        <v>2.2167326422190148</v>
      </c>
      <c r="AI332" s="2">
        <f t="shared" ca="1" si="190"/>
        <v>4.911689722741771E-6</v>
      </c>
      <c r="AJ332" s="11">
        <f t="shared" ca="1" si="191"/>
        <v>-6.5426268787755745E-5</v>
      </c>
      <c r="AK332" s="2">
        <f t="shared" ca="1" si="192"/>
        <v>1.3035577467724416E-2</v>
      </c>
      <c r="AL332" s="2">
        <f t="shared" ca="1" si="193"/>
        <v>4.5854830992465888E-4</v>
      </c>
      <c r="AM332" s="2">
        <f t="shared" ca="1" si="194"/>
        <v>2.0016894092831977E-5</v>
      </c>
      <c r="AN332" s="2">
        <f t="shared" ca="1" si="195"/>
        <v>0.25496924773424373</v>
      </c>
      <c r="AO332" s="2">
        <f t="shared" ca="1" si="196"/>
        <v>-6.5426268787755745E-5</v>
      </c>
      <c r="AP332" s="2">
        <f t="shared" ca="1" si="197"/>
        <v>0.18425696253462423</v>
      </c>
      <c r="AQ332" s="2">
        <f t="shared" ca="1" si="198"/>
        <v>2.2167326422190148</v>
      </c>
      <c r="AS332" s="2">
        <f t="shared" ca="1" si="199"/>
        <v>8.6941176707299661</v>
      </c>
      <c r="AT332" s="2">
        <f t="shared" ca="1" si="200"/>
        <v>0.40053234316128644</v>
      </c>
      <c r="AU332" s="2">
        <f t="shared" ca="1" si="201"/>
        <v>1.8366342902677139E-4</v>
      </c>
      <c r="AV332" s="2">
        <f t="shared" ca="1" si="202"/>
        <v>0.18407329910559747</v>
      </c>
      <c r="AW332" s="2">
        <f t="shared" ca="1" si="203"/>
        <v>0.70848350712422092</v>
      </c>
      <c r="AX332" s="2">
        <f t="shared" ca="1" si="204"/>
        <v>5.3118974797961849E-2</v>
      </c>
      <c r="AY332" s="9">
        <f t="shared" ca="1" si="205"/>
        <v>0.70848350712422092</v>
      </c>
      <c r="AZ332" s="9">
        <f t="shared" ca="1" si="206"/>
        <v>0.70848350712422092</v>
      </c>
      <c r="BB332" s="2">
        <f t="shared" ca="1" si="207"/>
        <v>8.6941176707299661</v>
      </c>
      <c r="BC332" s="2">
        <f t="shared" ca="1" si="208"/>
        <v>0.40053234316128644</v>
      </c>
      <c r="BD332" s="2">
        <f t="shared" ca="1" si="209"/>
        <v>1.8366342902677139E-4</v>
      </c>
      <c r="BE332" s="2">
        <f t="shared" ca="1" si="210"/>
        <v>0.18407329910559747</v>
      </c>
      <c r="BF332" s="2">
        <f t="shared" ca="1" si="211"/>
        <v>0.70848350712422092</v>
      </c>
      <c r="BG332" s="2">
        <f t="shared" ca="1" si="212"/>
        <v>5.3118974797961849E-2</v>
      </c>
      <c r="BH332" s="2">
        <f t="shared" ca="1" si="213"/>
        <v>0.70848350712422092</v>
      </c>
      <c r="BI332" s="2">
        <f t="shared" ca="1" si="214"/>
        <v>0.70848350712422092</v>
      </c>
    </row>
    <row r="333" spans="1:61" ht="15" x14ac:dyDescent="0.25">
      <c r="A333" s="66">
        <v>267</v>
      </c>
      <c r="B333" s="66">
        <v>1498730260.152</v>
      </c>
      <c r="C333" s="67">
        <v>-4.20475341868896E-5</v>
      </c>
      <c r="D333" s="67">
        <v>-5.4392005206858697E-5</v>
      </c>
      <c r="E333" s="67">
        <v>1.35216803858484E-2</v>
      </c>
      <c r="F333" s="67">
        <v>3.5855687182779702E-4</v>
      </c>
      <c r="G333" s="67">
        <v>-1.8342834418903401E-4</v>
      </c>
      <c r="H333" s="67">
        <v>0.25070713633477898</v>
      </c>
      <c r="I333" s="67">
        <v>-5.4392005206858697E-5</v>
      </c>
      <c r="J333" s="67">
        <v>0.181068543157898</v>
      </c>
      <c r="K333" s="67">
        <v>2.1774595329081601</v>
      </c>
      <c r="L333" s="67"/>
      <c r="M333" s="67"/>
      <c r="O333" s="11">
        <f t="shared" ca="1" si="172"/>
        <v>-5.4851464896849628E-5</v>
      </c>
      <c r="P333" s="11">
        <f t="shared" ca="1" si="173"/>
        <v>-5.5157105437163436E-5</v>
      </c>
      <c r="Q333" s="11">
        <f t="shared" ca="1" si="174"/>
        <v>1.2685188773580115E-2</v>
      </c>
      <c r="R333" s="11">
        <f t="shared" ca="1" si="175"/>
        <v>3.4691038418144992E-4</v>
      </c>
      <c r="S333" s="11">
        <f t="shared" ca="1" si="176"/>
        <v>-1.9435599623600412E-4</v>
      </c>
      <c r="T333" s="11">
        <f t="shared" ca="1" si="177"/>
        <v>0.24956858129619669</v>
      </c>
      <c r="U333" s="11">
        <f t="shared" ca="1" si="178"/>
        <v>-5.5157105437163436E-5</v>
      </c>
      <c r="V333" s="11">
        <f t="shared" ca="1" si="179"/>
        <v>0.18041834715220423</v>
      </c>
      <c r="W333" s="11">
        <f t="shared" ca="1" si="180"/>
        <v>2.170336684644655</v>
      </c>
      <c r="X333" s="11"/>
      <c r="Y333" s="2">
        <f t="shared" ca="1" si="181"/>
        <v>-5.4851464896849628E-5</v>
      </c>
      <c r="Z333" s="11">
        <f t="shared" ca="1" si="182"/>
        <v>-5.5157105437163436E-5</v>
      </c>
      <c r="AA333" s="2">
        <f t="shared" ca="1" si="183"/>
        <v>1.2685188773580115E-2</v>
      </c>
      <c r="AB333" s="2">
        <f t="shared" ca="1" si="184"/>
        <v>3.4691038418144992E-4</v>
      </c>
      <c r="AC333" s="2">
        <f t="shared" ca="1" si="185"/>
        <v>-1.9435599623600412E-4</v>
      </c>
      <c r="AD333" s="2">
        <f t="shared" ca="1" si="186"/>
        <v>0.24956858129619669</v>
      </c>
      <c r="AE333" s="2">
        <f t="shared" ca="1" si="187"/>
        <v>-5.5157105437163436E-5</v>
      </c>
      <c r="AF333" s="2">
        <f t="shared" ca="1" si="188"/>
        <v>0.18041834715220423</v>
      </c>
      <c r="AG333" s="2">
        <f t="shared" ca="1" si="189"/>
        <v>2.170336684644655</v>
      </c>
      <c r="AI333" s="2">
        <f t="shared" ca="1" si="190"/>
        <v>-5.4851464896849628E-5</v>
      </c>
      <c r="AJ333" s="11">
        <f t="shared" ca="1" si="191"/>
        <v>-5.5157105437163436E-5</v>
      </c>
      <c r="AK333" s="2">
        <f t="shared" ca="1" si="192"/>
        <v>1.2685188773580115E-2</v>
      </c>
      <c r="AL333" s="2">
        <f t="shared" ca="1" si="193"/>
        <v>3.4691038418144992E-4</v>
      </c>
      <c r="AM333" s="2">
        <f t="shared" ca="1" si="194"/>
        <v>-1.9435599623600412E-4</v>
      </c>
      <c r="AN333" s="2">
        <f t="shared" ca="1" si="195"/>
        <v>0.24956858129619669</v>
      </c>
      <c r="AO333" s="2">
        <f t="shared" ca="1" si="196"/>
        <v>-5.5157105437163436E-5</v>
      </c>
      <c r="AP333" s="2">
        <f t="shared" ca="1" si="197"/>
        <v>0.18041834715220423</v>
      </c>
      <c r="AQ333" s="2">
        <f t="shared" ca="1" si="198"/>
        <v>2.170336684644655</v>
      </c>
      <c r="AS333" s="2">
        <f t="shared" ca="1" si="199"/>
        <v>8.6963538173453969</v>
      </c>
      <c r="AT333" s="2">
        <f t="shared" ca="1" si="200"/>
        <v>0.40063661062439382</v>
      </c>
      <c r="AU333" s="2">
        <f t="shared" ca="1" si="201"/>
        <v>1.3898500050886243E-4</v>
      </c>
      <c r="AV333" s="2">
        <f t="shared" ca="1" si="202"/>
        <v>0.18027936215169538</v>
      </c>
      <c r="AW333" s="2">
        <f t="shared" ca="1" si="203"/>
        <v>0.70880473299554791</v>
      </c>
      <c r="AX333" s="2">
        <f t="shared" ca="1" si="204"/>
        <v>5.282366383428877E-2</v>
      </c>
      <c r="AY333" s="9">
        <f t="shared" ca="1" si="205"/>
        <v>0.70880473299554791</v>
      </c>
      <c r="AZ333" s="9">
        <f t="shared" ca="1" si="206"/>
        <v>0.70880473299554791</v>
      </c>
      <c r="BB333" s="2">
        <f t="shared" ca="1" si="207"/>
        <v>8.6963538173453969</v>
      </c>
      <c r="BC333" s="2">
        <f t="shared" ca="1" si="208"/>
        <v>0.40063661062439382</v>
      </c>
      <c r="BD333" s="2">
        <f t="shared" ca="1" si="209"/>
        <v>1.3898500050886243E-4</v>
      </c>
      <c r="BE333" s="2">
        <f t="shared" ca="1" si="210"/>
        <v>0.18027936215169538</v>
      </c>
      <c r="BF333" s="2">
        <f t="shared" ca="1" si="211"/>
        <v>0.70880473299554791</v>
      </c>
      <c r="BG333" s="2">
        <f t="shared" ca="1" si="212"/>
        <v>5.282366383428877E-2</v>
      </c>
      <c r="BH333" s="2">
        <f t="shared" ca="1" si="213"/>
        <v>0.70880473299554791</v>
      </c>
      <c r="BI333" s="2">
        <f t="shared" ca="1" si="214"/>
        <v>0.70880473299554791</v>
      </c>
    </row>
    <row r="334" spans="1:61" ht="15" x14ac:dyDescent="0.25">
      <c r="A334" s="66">
        <v>268</v>
      </c>
      <c r="B334" s="66">
        <v>1498730260.6789999</v>
      </c>
      <c r="C334" s="67">
        <v>-1.32293872993001E-5</v>
      </c>
      <c r="D334" s="67">
        <v>-4.4145389095653299E-5</v>
      </c>
      <c r="E334" s="67">
        <v>1.35703851112681E-2</v>
      </c>
      <c r="F334" s="67">
        <v>4.3139384791217501E-4</v>
      </c>
      <c r="G334" s="67">
        <v>1.9760133078722501E-5</v>
      </c>
      <c r="H334" s="67">
        <v>0.251850503991218</v>
      </c>
      <c r="I334" s="67">
        <v>-4.4145389095653299E-5</v>
      </c>
      <c r="J334" s="67">
        <v>0.18178074095796001</v>
      </c>
      <c r="K334" s="67">
        <v>2.1847529877199001</v>
      </c>
      <c r="L334" s="67"/>
      <c r="M334" s="67"/>
      <c r="O334" s="11">
        <f t="shared" ca="1" si="172"/>
        <v>-2.6033318009260126E-5</v>
      </c>
      <c r="P334" s="11">
        <f t="shared" ca="1" si="173"/>
        <v>-4.4910489325958037E-5</v>
      </c>
      <c r="Q334" s="11">
        <f t="shared" ca="1" si="174"/>
        <v>1.2733893498999815E-2</v>
      </c>
      <c r="R334" s="11">
        <f t="shared" ca="1" si="175"/>
        <v>4.197473602658279E-4</v>
      </c>
      <c r="S334" s="11">
        <f t="shared" ca="1" si="176"/>
        <v>8.8324810317523788E-6</v>
      </c>
      <c r="T334" s="11">
        <f t="shared" ca="1" si="177"/>
        <v>0.25071194895263571</v>
      </c>
      <c r="U334" s="11">
        <f t="shared" ca="1" si="178"/>
        <v>-4.4910489325958037E-5</v>
      </c>
      <c r="V334" s="11">
        <f t="shared" ca="1" si="179"/>
        <v>0.18113054495226624</v>
      </c>
      <c r="W334" s="11">
        <f t="shared" ca="1" si="180"/>
        <v>2.1776301394563951</v>
      </c>
      <c r="X334" s="11"/>
      <c r="Y334" s="2">
        <f t="shared" ca="1" si="181"/>
        <v>-2.6033318009260126E-5</v>
      </c>
      <c r="Z334" s="11">
        <f t="shared" ca="1" si="182"/>
        <v>-4.4910489325958037E-5</v>
      </c>
      <c r="AA334" s="2">
        <f t="shared" ca="1" si="183"/>
        <v>1.2733893498999815E-2</v>
      </c>
      <c r="AB334" s="2">
        <f t="shared" ca="1" si="184"/>
        <v>4.197473602658279E-4</v>
      </c>
      <c r="AC334" s="2">
        <f t="shared" ca="1" si="185"/>
        <v>8.8324810317523788E-6</v>
      </c>
      <c r="AD334" s="2">
        <f t="shared" ca="1" si="186"/>
        <v>0.25071194895263571</v>
      </c>
      <c r="AE334" s="2">
        <f t="shared" ca="1" si="187"/>
        <v>-4.4910489325958037E-5</v>
      </c>
      <c r="AF334" s="2">
        <f t="shared" ca="1" si="188"/>
        <v>0.18113054495226624</v>
      </c>
      <c r="AG334" s="2">
        <f t="shared" ca="1" si="189"/>
        <v>2.1776301394563951</v>
      </c>
      <c r="AI334" s="2">
        <f t="shared" ca="1" si="190"/>
        <v>-2.6033318009260126E-5</v>
      </c>
      <c r="AJ334" s="11">
        <f t="shared" ca="1" si="191"/>
        <v>-4.4910489325958037E-5</v>
      </c>
      <c r="AK334" s="2">
        <f t="shared" ca="1" si="192"/>
        <v>1.2733893498999815E-2</v>
      </c>
      <c r="AL334" s="2">
        <f t="shared" ca="1" si="193"/>
        <v>4.197473602658279E-4</v>
      </c>
      <c r="AM334" s="2">
        <f t="shared" ca="1" si="194"/>
        <v>8.8324810317523788E-6</v>
      </c>
      <c r="AN334" s="2">
        <f t="shared" ca="1" si="195"/>
        <v>0.25071194895263571</v>
      </c>
      <c r="AO334" s="2">
        <f t="shared" ca="1" si="196"/>
        <v>-4.4910489325958037E-5</v>
      </c>
      <c r="AP334" s="2">
        <f t="shared" ca="1" si="197"/>
        <v>0.18113054495226624</v>
      </c>
      <c r="AQ334" s="2">
        <f t="shared" ca="1" si="198"/>
        <v>2.1776301394563951</v>
      </c>
      <c r="AS334" s="2">
        <f t="shared" ca="1" si="199"/>
        <v>8.6857852150788037</v>
      </c>
      <c r="AT334" s="2">
        <f t="shared" ca="1" si="200"/>
        <v>0.40014381872375576</v>
      </c>
      <c r="AU334" s="2">
        <f t="shared" ca="1" si="201"/>
        <v>1.6795931163598446E-4</v>
      </c>
      <c r="AV334" s="2">
        <f t="shared" ca="1" si="202"/>
        <v>0.18096258564063025</v>
      </c>
      <c r="AW334" s="2">
        <f t="shared" ca="1" si="203"/>
        <v>0.70868007347755646</v>
      </c>
      <c r="AX334" s="2">
        <f t="shared" ca="1" si="204"/>
        <v>5.2719014392699097E-2</v>
      </c>
      <c r="AY334" s="9">
        <f t="shared" ca="1" si="205"/>
        <v>0.70868007347755646</v>
      </c>
      <c r="AZ334" s="9">
        <f t="shared" ca="1" si="206"/>
        <v>0.70868007347755646</v>
      </c>
      <c r="BB334" s="2">
        <f t="shared" ca="1" si="207"/>
        <v>8.6857852150788037</v>
      </c>
      <c r="BC334" s="2">
        <f t="shared" ca="1" si="208"/>
        <v>0.40014381872375576</v>
      </c>
      <c r="BD334" s="2">
        <f t="shared" ca="1" si="209"/>
        <v>1.6795931163598446E-4</v>
      </c>
      <c r="BE334" s="2">
        <f t="shared" ca="1" si="210"/>
        <v>0.18096258564063025</v>
      </c>
      <c r="BF334" s="2">
        <f t="shared" ca="1" si="211"/>
        <v>0.70868007347755646</v>
      </c>
      <c r="BG334" s="2">
        <f t="shared" ca="1" si="212"/>
        <v>5.2719014392699097E-2</v>
      </c>
      <c r="BH334" s="2">
        <f t="shared" ca="1" si="213"/>
        <v>0.70868007347755646</v>
      </c>
      <c r="BI334" s="2">
        <f t="shared" ca="1" si="214"/>
        <v>0.70868007347755646</v>
      </c>
    </row>
    <row r="335" spans="1:61" ht="15" x14ac:dyDescent="0.25">
      <c r="A335" s="66">
        <v>269</v>
      </c>
      <c r="B335" s="66">
        <v>1498730261.2060001</v>
      </c>
      <c r="C335" s="67">
        <v>-1.8754277235581501E-4</v>
      </c>
      <c r="D335" s="67">
        <v>-3.9278131982223797E-6</v>
      </c>
      <c r="E335" s="67">
        <v>1.421823621909E-2</v>
      </c>
      <c r="F335" s="67">
        <v>4.3496442448255401E-4</v>
      </c>
      <c r="G335" s="67">
        <v>-6.4823693540816003E-5</v>
      </c>
      <c r="H335" s="67">
        <v>0.26300227322200398</v>
      </c>
      <c r="I335" s="67">
        <v>-3.9278131982223797E-6</v>
      </c>
      <c r="J335" s="67">
        <v>0.189771958552751</v>
      </c>
      <c r="K335" s="67">
        <v>2.2818010760116998</v>
      </c>
      <c r="L335" s="67"/>
      <c r="M335" s="67"/>
      <c r="O335" s="11">
        <f t="shared" ca="1" si="172"/>
        <v>-2.0034670306577504E-4</v>
      </c>
      <c r="P335" s="11">
        <f t="shared" ca="1" si="173"/>
        <v>-4.69291342852712E-6</v>
      </c>
      <c r="Q335" s="11">
        <f t="shared" ca="1" si="174"/>
        <v>1.3381744606821715E-2</v>
      </c>
      <c r="R335" s="11">
        <f t="shared" ca="1" si="175"/>
        <v>4.233179368362069E-4</v>
      </c>
      <c r="S335" s="11">
        <f t="shared" ca="1" si="176"/>
        <v>-7.5751345587786131E-5</v>
      </c>
      <c r="T335" s="11">
        <f t="shared" ca="1" si="177"/>
        <v>0.26186371818342169</v>
      </c>
      <c r="U335" s="11">
        <f t="shared" ca="1" si="178"/>
        <v>-4.69291342852712E-6</v>
      </c>
      <c r="V335" s="11">
        <f t="shared" ca="1" si="179"/>
        <v>0.18912176254705723</v>
      </c>
      <c r="W335" s="11">
        <f t="shared" ca="1" si="180"/>
        <v>2.2746782277481947</v>
      </c>
      <c r="X335" s="11"/>
      <c r="Y335" s="2">
        <f t="shared" ca="1" si="181"/>
        <v>-2.0034670306577504E-4</v>
      </c>
      <c r="Z335" s="11">
        <f t="shared" ca="1" si="182"/>
        <v>-4.69291342852712E-6</v>
      </c>
      <c r="AA335" s="2">
        <f t="shared" ca="1" si="183"/>
        <v>1.3381744606821715E-2</v>
      </c>
      <c r="AB335" s="2">
        <f t="shared" ca="1" si="184"/>
        <v>4.233179368362069E-4</v>
      </c>
      <c r="AC335" s="2">
        <f t="shared" ca="1" si="185"/>
        <v>-7.5751345587786131E-5</v>
      </c>
      <c r="AD335" s="2">
        <f t="shared" ca="1" si="186"/>
        <v>0.26186371818342169</v>
      </c>
      <c r="AE335" s="2">
        <f t="shared" ca="1" si="187"/>
        <v>-4.69291342852712E-6</v>
      </c>
      <c r="AF335" s="2">
        <f t="shared" ca="1" si="188"/>
        <v>0.18912176254705723</v>
      </c>
      <c r="AG335" s="2">
        <f t="shared" ca="1" si="189"/>
        <v>2.2746782277481947</v>
      </c>
      <c r="AI335" s="2">
        <f t="shared" ca="1" si="190"/>
        <v>-2.0034670306577504E-4</v>
      </c>
      <c r="AJ335" s="11">
        <f t="shared" ca="1" si="191"/>
        <v>-4.69291342852712E-6</v>
      </c>
      <c r="AK335" s="2">
        <f t="shared" ca="1" si="192"/>
        <v>1.3381744606821715E-2</v>
      </c>
      <c r="AL335" s="2">
        <f t="shared" ca="1" si="193"/>
        <v>4.233179368362069E-4</v>
      </c>
      <c r="AM335" s="2">
        <f t="shared" ca="1" si="194"/>
        <v>-7.5751345587786131E-5</v>
      </c>
      <c r="AN335" s="2">
        <f t="shared" ca="1" si="195"/>
        <v>0.26186371818342169</v>
      </c>
      <c r="AO335" s="2">
        <f t="shared" ca="1" si="196"/>
        <v>-4.69291342852712E-6</v>
      </c>
      <c r="AP335" s="2">
        <f t="shared" ca="1" si="197"/>
        <v>0.18912176254705723</v>
      </c>
      <c r="AQ335" s="2">
        <f t="shared" ca="1" si="198"/>
        <v>2.2746782277481947</v>
      </c>
      <c r="AS335" s="2">
        <f t="shared" ca="1" si="199"/>
        <v>8.6864963330082361</v>
      </c>
      <c r="AT335" s="2">
        <f t="shared" ca="1" si="200"/>
        <v>0.40017697644285483</v>
      </c>
      <c r="AU335" s="2">
        <f t="shared" ca="1" si="201"/>
        <v>1.6940209203714069E-4</v>
      </c>
      <c r="AV335" s="2">
        <f t="shared" ca="1" si="202"/>
        <v>0.18895236045502009</v>
      </c>
      <c r="AW335" s="2">
        <f t="shared" ca="1" si="203"/>
        <v>0.70842772257548925</v>
      </c>
      <c r="AX335" s="2">
        <f t="shared" ca="1" si="204"/>
        <v>5.304627476214014E-2</v>
      </c>
      <c r="AY335" s="9">
        <f t="shared" ca="1" si="205"/>
        <v>0.70842772257548925</v>
      </c>
      <c r="AZ335" s="9">
        <f t="shared" ca="1" si="206"/>
        <v>0.70842772257548925</v>
      </c>
      <c r="BB335" s="2">
        <f t="shared" ca="1" si="207"/>
        <v>8.6864963330082361</v>
      </c>
      <c r="BC335" s="2">
        <f t="shared" ca="1" si="208"/>
        <v>0.40017697644285483</v>
      </c>
      <c r="BD335" s="2">
        <f t="shared" ca="1" si="209"/>
        <v>1.6940209203714069E-4</v>
      </c>
      <c r="BE335" s="2">
        <f t="shared" ca="1" si="210"/>
        <v>0.18895236045502009</v>
      </c>
      <c r="BF335" s="2">
        <f t="shared" ca="1" si="211"/>
        <v>0.70842772257548925</v>
      </c>
      <c r="BG335" s="2">
        <f t="shared" ca="1" si="212"/>
        <v>5.304627476214014E-2</v>
      </c>
      <c r="BH335" s="2">
        <f t="shared" ca="1" si="213"/>
        <v>0.70842772257548925</v>
      </c>
      <c r="BI335" s="2">
        <f t="shared" ca="1" si="214"/>
        <v>0.70842772257548925</v>
      </c>
    </row>
    <row r="336" spans="1:61" ht="15" x14ac:dyDescent="0.25">
      <c r="A336" s="66">
        <v>270</v>
      </c>
      <c r="B336" s="66">
        <v>1498730261.733</v>
      </c>
      <c r="C336" s="67">
        <v>-2.81109938995702E-5</v>
      </c>
      <c r="D336" s="67">
        <v>-4.6931440225201102E-5</v>
      </c>
      <c r="E336" s="67">
        <v>1.4153335939458099E-2</v>
      </c>
      <c r="F336" s="67">
        <v>4.6614800235873099E-4</v>
      </c>
      <c r="G336" s="67">
        <v>-6.34357284492631E-5</v>
      </c>
      <c r="H336" s="67">
        <v>0.26339789186533002</v>
      </c>
      <c r="I336" s="67">
        <v>-4.6931440225201102E-5</v>
      </c>
      <c r="J336" s="67">
        <v>0.190318561995314</v>
      </c>
      <c r="K336" s="67">
        <v>2.2869263614551101</v>
      </c>
      <c r="L336" s="67"/>
      <c r="M336" s="67"/>
      <c r="O336" s="11">
        <f t="shared" ca="1" si="172"/>
        <v>-4.0914924609530224E-5</v>
      </c>
      <c r="P336" s="11">
        <f t="shared" ca="1" si="173"/>
        <v>-4.7696540455505841E-5</v>
      </c>
      <c r="Q336" s="11">
        <f t="shared" ca="1" si="174"/>
        <v>1.3316844327189815E-2</v>
      </c>
      <c r="R336" s="11">
        <f t="shared" ca="1" si="175"/>
        <v>4.5450151471238388E-4</v>
      </c>
      <c r="S336" s="11">
        <f t="shared" ca="1" si="176"/>
        <v>-7.4363380496233228E-5</v>
      </c>
      <c r="T336" s="11">
        <f t="shared" ca="1" si="177"/>
        <v>0.26225933682674774</v>
      </c>
      <c r="U336" s="11">
        <f t="shared" ca="1" si="178"/>
        <v>-4.7696540455505841E-5</v>
      </c>
      <c r="V336" s="11">
        <f t="shared" ca="1" si="179"/>
        <v>0.18966836598962022</v>
      </c>
      <c r="W336" s="11">
        <f t="shared" ca="1" si="180"/>
        <v>2.279803513191605</v>
      </c>
      <c r="X336" s="11"/>
      <c r="Y336" s="2">
        <f t="shared" ca="1" si="181"/>
        <v>-4.0914924609530224E-5</v>
      </c>
      <c r="Z336" s="11">
        <f t="shared" ca="1" si="182"/>
        <v>-4.7696540455505841E-5</v>
      </c>
      <c r="AA336" s="2">
        <f t="shared" ca="1" si="183"/>
        <v>1.3316844327189815E-2</v>
      </c>
      <c r="AB336" s="2">
        <f t="shared" ca="1" si="184"/>
        <v>4.5450151471238388E-4</v>
      </c>
      <c r="AC336" s="2">
        <f t="shared" ca="1" si="185"/>
        <v>-7.4363380496233228E-5</v>
      </c>
      <c r="AD336" s="2">
        <f t="shared" ca="1" si="186"/>
        <v>0.26225933682674774</v>
      </c>
      <c r="AE336" s="2">
        <f t="shared" ca="1" si="187"/>
        <v>-4.7696540455505841E-5</v>
      </c>
      <c r="AF336" s="2">
        <f t="shared" ca="1" si="188"/>
        <v>0.18966836598962022</v>
      </c>
      <c r="AG336" s="2">
        <f t="shared" ca="1" si="189"/>
        <v>2.279803513191605</v>
      </c>
      <c r="AI336" s="2">
        <f t="shared" ca="1" si="190"/>
        <v>-4.0914924609530224E-5</v>
      </c>
      <c r="AJ336" s="11">
        <f t="shared" ca="1" si="191"/>
        <v>-4.7696540455505841E-5</v>
      </c>
      <c r="AK336" s="2">
        <f t="shared" ca="1" si="192"/>
        <v>1.3316844327189815E-2</v>
      </c>
      <c r="AL336" s="2">
        <f t="shared" ca="1" si="193"/>
        <v>4.5450151471238388E-4</v>
      </c>
      <c r="AM336" s="2">
        <f t="shared" ca="1" si="194"/>
        <v>-7.4363380496233228E-5</v>
      </c>
      <c r="AN336" s="2">
        <f t="shared" ca="1" si="195"/>
        <v>0.26225933682674774</v>
      </c>
      <c r="AO336" s="2">
        <f t="shared" ca="1" si="196"/>
        <v>-4.7696540455505841E-5</v>
      </c>
      <c r="AP336" s="2">
        <f t="shared" ca="1" si="197"/>
        <v>0.18966836598962022</v>
      </c>
      <c r="AQ336" s="2">
        <f t="shared" ca="1" si="198"/>
        <v>2.279803513191605</v>
      </c>
      <c r="AS336" s="2">
        <f t="shared" ca="1" si="199"/>
        <v>8.6929355529396304</v>
      </c>
      <c r="AT336" s="2">
        <f t="shared" ca="1" si="200"/>
        <v>0.40047722328302382</v>
      </c>
      <c r="AU336" s="2">
        <f t="shared" ca="1" si="201"/>
        <v>1.8201750458994389E-4</v>
      </c>
      <c r="AV336" s="2">
        <f t="shared" ca="1" si="202"/>
        <v>0.18948634848503029</v>
      </c>
      <c r="AW336" s="2">
        <f t="shared" ca="1" si="203"/>
        <v>0.70909342497082162</v>
      </c>
      <c r="AX336" s="2">
        <f t="shared" ca="1" si="204"/>
        <v>5.2749354495732509E-2</v>
      </c>
      <c r="AY336" s="9">
        <f t="shared" ca="1" si="205"/>
        <v>0.70909342497082162</v>
      </c>
      <c r="AZ336" s="9">
        <f t="shared" ca="1" si="206"/>
        <v>0.70909342497082162</v>
      </c>
      <c r="BB336" s="2">
        <f t="shared" ca="1" si="207"/>
        <v>8.6929355529396304</v>
      </c>
      <c r="BC336" s="2">
        <f t="shared" ca="1" si="208"/>
        <v>0.40047722328302382</v>
      </c>
      <c r="BD336" s="2">
        <f t="shared" ca="1" si="209"/>
        <v>1.8201750458994389E-4</v>
      </c>
      <c r="BE336" s="2">
        <f t="shared" ca="1" si="210"/>
        <v>0.18948634848503029</v>
      </c>
      <c r="BF336" s="2">
        <f t="shared" ca="1" si="211"/>
        <v>0.70909342497082162</v>
      </c>
      <c r="BG336" s="2">
        <f t="shared" ca="1" si="212"/>
        <v>5.2749354495732509E-2</v>
      </c>
      <c r="BH336" s="2">
        <f t="shared" ca="1" si="213"/>
        <v>0.70909342497082162</v>
      </c>
      <c r="BI336" s="2">
        <f t="shared" ca="1" si="214"/>
        <v>0.70909342497082162</v>
      </c>
    </row>
    <row r="337" spans="1:61" ht="15" x14ac:dyDescent="0.25">
      <c r="A337" s="66">
        <v>271</v>
      </c>
      <c r="B337" s="66">
        <v>1498730262.26</v>
      </c>
      <c r="C337" s="67">
        <v>-9.14143816104181E-5</v>
      </c>
      <c r="D337" s="67">
        <v>-6.4991652700430204E-5</v>
      </c>
      <c r="E337" s="67">
        <v>1.38899173124232E-2</v>
      </c>
      <c r="F337" s="67">
        <v>3.5831885120115399E-4</v>
      </c>
      <c r="G337" s="67">
        <v>-1.06959354978615E-4</v>
      </c>
      <c r="H337" s="67">
        <v>0.25780161161305198</v>
      </c>
      <c r="I337" s="67">
        <v>-6.4991652700430204E-5</v>
      </c>
      <c r="J337" s="67">
        <v>0.186192096747991</v>
      </c>
      <c r="K337" s="67">
        <v>2.24020623306488</v>
      </c>
      <c r="L337" s="67"/>
      <c r="M337" s="67"/>
      <c r="O337" s="11">
        <f t="shared" ca="1" si="172"/>
        <v>-1.0421831232037813E-4</v>
      </c>
      <c r="P337" s="11">
        <f t="shared" ca="1" si="173"/>
        <v>-6.5756752930734943E-5</v>
      </c>
      <c r="Q337" s="11">
        <f t="shared" ca="1" si="174"/>
        <v>1.3053425700154915E-2</v>
      </c>
      <c r="R337" s="11">
        <f t="shared" ca="1" si="175"/>
        <v>3.4667236355480688E-4</v>
      </c>
      <c r="S337" s="11">
        <f t="shared" ca="1" si="176"/>
        <v>-1.1788700702558513E-4</v>
      </c>
      <c r="T337" s="11">
        <f t="shared" ca="1" si="177"/>
        <v>0.25666305657446969</v>
      </c>
      <c r="U337" s="11">
        <f t="shared" ca="1" si="178"/>
        <v>-6.5756752930734943E-5</v>
      </c>
      <c r="V337" s="11">
        <f t="shared" ca="1" si="179"/>
        <v>0.18554190074229723</v>
      </c>
      <c r="W337" s="11">
        <f t="shared" ca="1" si="180"/>
        <v>2.2330833848013749</v>
      </c>
      <c r="X337" s="11"/>
      <c r="Y337" s="2">
        <f t="shared" ca="1" si="181"/>
        <v>-1.0421831232037813E-4</v>
      </c>
      <c r="Z337" s="11">
        <f t="shared" ca="1" si="182"/>
        <v>-6.5756752930734943E-5</v>
      </c>
      <c r="AA337" s="2">
        <f t="shared" ca="1" si="183"/>
        <v>1.3053425700154915E-2</v>
      </c>
      <c r="AB337" s="2">
        <f t="shared" ca="1" si="184"/>
        <v>3.4667236355480688E-4</v>
      </c>
      <c r="AC337" s="2">
        <f t="shared" ca="1" si="185"/>
        <v>-1.1788700702558513E-4</v>
      </c>
      <c r="AD337" s="2">
        <f t="shared" ca="1" si="186"/>
        <v>0.25666305657446969</v>
      </c>
      <c r="AE337" s="2">
        <f t="shared" ca="1" si="187"/>
        <v>-6.5756752930734943E-5</v>
      </c>
      <c r="AF337" s="2">
        <f t="shared" ca="1" si="188"/>
        <v>0.18554190074229723</v>
      </c>
      <c r="AG337" s="2">
        <f t="shared" ca="1" si="189"/>
        <v>2.2330833848013749</v>
      </c>
      <c r="AI337" s="2">
        <f t="shared" ca="1" si="190"/>
        <v>-1.0421831232037813E-4</v>
      </c>
      <c r="AJ337" s="11">
        <f t="shared" ca="1" si="191"/>
        <v>-6.5756752930734943E-5</v>
      </c>
      <c r="AK337" s="2">
        <f t="shared" ca="1" si="192"/>
        <v>1.3053425700154915E-2</v>
      </c>
      <c r="AL337" s="2">
        <f t="shared" ca="1" si="193"/>
        <v>3.4667236355480688E-4</v>
      </c>
      <c r="AM337" s="2">
        <f t="shared" ca="1" si="194"/>
        <v>-1.1788700702558513E-4</v>
      </c>
      <c r="AN337" s="2">
        <f t="shared" ca="1" si="195"/>
        <v>0.25666305657446969</v>
      </c>
      <c r="AO337" s="2">
        <f t="shared" ca="1" si="196"/>
        <v>-6.5756752930734943E-5</v>
      </c>
      <c r="AP337" s="2">
        <f t="shared" ca="1" si="197"/>
        <v>0.18554190074229723</v>
      </c>
      <c r="AQ337" s="2">
        <f t="shared" ca="1" si="198"/>
        <v>2.2330833848013749</v>
      </c>
      <c r="AS337" s="2">
        <f t="shared" ca="1" si="199"/>
        <v>8.7004472502004013</v>
      </c>
      <c r="AT337" s="2">
        <f t="shared" ca="1" si="200"/>
        <v>0.40082748082048614</v>
      </c>
      <c r="AU337" s="2">
        <f t="shared" ca="1" si="201"/>
        <v>1.3895581015375695E-4</v>
      </c>
      <c r="AV337" s="2">
        <f t="shared" ca="1" si="202"/>
        <v>0.18540294493214349</v>
      </c>
      <c r="AW337" s="2">
        <f t="shared" ca="1" si="203"/>
        <v>0.70863214591704238</v>
      </c>
      <c r="AX337" s="2">
        <f t="shared" ca="1" si="204"/>
        <v>5.2880038768650599E-2</v>
      </c>
      <c r="AY337" s="9">
        <f t="shared" ca="1" si="205"/>
        <v>0.70863214591704238</v>
      </c>
      <c r="AZ337" s="9">
        <f t="shared" ca="1" si="206"/>
        <v>0.70863214591704238</v>
      </c>
      <c r="BB337" s="2">
        <f t="shared" ca="1" si="207"/>
        <v>8.7004472502004013</v>
      </c>
      <c r="BC337" s="2">
        <f t="shared" ca="1" si="208"/>
        <v>0.40082748082048614</v>
      </c>
      <c r="BD337" s="2">
        <f t="shared" ca="1" si="209"/>
        <v>1.3895581015375695E-4</v>
      </c>
      <c r="BE337" s="2">
        <f t="shared" ca="1" si="210"/>
        <v>0.18540294493214349</v>
      </c>
      <c r="BF337" s="2">
        <f t="shared" ca="1" si="211"/>
        <v>0.70863214591704238</v>
      </c>
      <c r="BG337" s="2">
        <f t="shared" ca="1" si="212"/>
        <v>5.2880038768650599E-2</v>
      </c>
      <c r="BH337" s="2">
        <f t="shared" ca="1" si="213"/>
        <v>0.70863214591704238</v>
      </c>
      <c r="BI337" s="2">
        <f t="shared" ca="1" si="214"/>
        <v>0.70863214591704238</v>
      </c>
    </row>
    <row r="338" spans="1:61" ht="15" x14ac:dyDescent="0.25">
      <c r="A338" s="66">
        <v>272</v>
      </c>
      <c r="B338" s="66">
        <v>1498730262.7869999</v>
      </c>
      <c r="C338" s="67">
        <v>-6.4723520319397401E-5</v>
      </c>
      <c r="D338" s="67">
        <v>-3.2480901402093498E-5</v>
      </c>
      <c r="E338" s="67">
        <v>1.3479246496681301E-2</v>
      </c>
      <c r="F338" s="67">
        <v>3.54748548608701E-4</v>
      </c>
      <c r="G338" s="67">
        <v>-1.02035239588806E-4</v>
      </c>
      <c r="H338" s="67">
        <v>0.249958886793376</v>
      </c>
      <c r="I338" s="67">
        <v>-3.2480901402093498E-5</v>
      </c>
      <c r="J338" s="67">
        <v>0.18035551621995899</v>
      </c>
      <c r="K338" s="67">
        <v>2.1696457515485901</v>
      </c>
      <c r="L338" s="67"/>
      <c r="M338" s="67"/>
      <c r="O338" s="11">
        <f t="shared" ca="1" si="172"/>
        <v>-7.7527451029357422E-5</v>
      </c>
      <c r="P338" s="11">
        <f t="shared" ca="1" si="173"/>
        <v>-3.3246001632398237E-5</v>
      </c>
      <c r="Q338" s="11">
        <f t="shared" ca="1" si="174"/>
        <v>1.2642754884413016E-2</v>
      </c>
      <c r="R338" s="11">
        <f t="shared" ca="1" si="175"/>
        <v>3.4310206096235389E-4</v>
      </c>
      <c r="S338" s="11">
        <f t="shared" ca="1" si="176"/>
        <v>-1.1296289163577612E-4</v>
      </c>
      <c r="T338" s="11">
        <f t="shared" ca="1" si="177"/>
        <v>0.24882033175479371</v>
      </c>
      <c r="U338" s="11">
        <f t="shared" ca="1" si="178"/>
        <v>-3.3246001632398237E-5</v>
      </c>
      <c r="V338" s="11">
        <f t="shared" ca="1" si="179"/>
        <v>0.17970532021426522</v>
      </c>
      <c r="W338" s="11">
        <f t="shared" ca="1" si="180"/>
        <v>2.162522903285085</v>
      </c>
      <c r="X338" s="11"/>
      <c r="Y338" s="2">
        <f t="shared" ca="1" si="181"/>
        <v>-7.7527451029357422E-5</v>
      </c>
      <c r="Z338" s="11">
        <f t="shared" ca="1" si="182"/>
        <v>-3.3246001632398237E-5</v>
      </c>
      <c r="AA338" s="2">
        <f t="shared" ca="1" si="183"/>
        <v>1.2642754884413016E-2</v>
      </c>
      <c r="AB338" s="2">
        <f t="shared" ca="1" si="184"/>
        <v>3.4310206096235389E-4</v>
      </c>
      <c r="AC338" s="2">
        <f t="shared" ca="1" si="185"/>
        <v>-1.1296289163577612E-4</v>
      </c>
      <c r="AD338" s="2">
        <f t="shared" ca="1" si="186"/>
        <v>0.24882033175479371</v>
      </c>
      <c r="AE338" s="2">
        <f t="shared" ca="1" si="187"/>
        <v>-3.3246001632398237E-5</v>
      </c>
      <c r="AF338" s="2">
        <f t="shared" ca="1" si="188"/>
        <v>0.17970532021426522</v>
      </c>
      <c r="AG338" s="2">
        <f t="shared" ca="1" si="189"/>
        <v>2.162522903285085</v>
      </c>
      <c r="AI338" s="2">
        <f t="shared" ca="1" si="190"/>
        <v>-7.7527451029357422E-5</v>
      </c>
      <c r="AJ338" s="11">
        <f t="shared" ca="1" si="191"/>
        <v>-3.3246001632398237E-5</v>
      </c>
      <c r="AK338" s="2">
        <f t="shared" ca="1" si="192"/>
        <v>1.2642754884413016E-2</v>
      </c>
      <c r="AL338" s="2">
        <f t="shared" ca="1" si="193"/>
        <v>3.4310206096235389E-4</v>
      </c>
      <c r="AM338" s="2">
        <f t="shared" ca="1" si="194"/>
        <v>-1.1296289163577612E-4</v>
      </c>
      <c r="AN338" s="2">
        <f t="shared" ca="1" si="195"/>
        <v>0.24882033175479371</v>
      </c>
      <c r="AO338" s="2">
        <f t="shared" ca="1" si="196"/>
        <v>-3.3246001632398237E-5</v>
      </c>
      <c r="AP338" s="2">
        <f t="shared" ca="1" si="197"/>
        <v>0.17970532021426522</v>
      </c>
      <c r="AQ338" s="2">
        <f t="shared" ca="1" si="198"/>
        <v>2.162522903285085</v>
      </c>
      <c r="AS338" s="2">
        <f t="shared" ca="1" si="199"/>
        <v>8.6911020817068838</v>
      </c>
      <c r="AT338" s="2">
        <f t="shared" ca="1" si="200"/>
        <v>0.4003917322267499</v>
      </c>
      <c r="AU338" s="2">
        <f t="shared" ca="1" si="201"/>
        <v>1.3737522851928481E-4</v>
      </c>
      <c r="AV338" s="2">
        <f t="shared" ca="1" si="202"/>
        <v>0.17956794498574594</v>
      </c>
      <c r="AW338" s="2">
        <f t="shared" ca="1" si="203"/>
        <v>0.70834620534884241</v>
      </c>
      <c r="AX338" s="2">
        <f t="shared" ca="1" si="204"/>
        <v>5.2772649581038035E-2</v>
      </c>
      <c r="AY338" s="9">
        <f t="shared" ca="1" si="205"/>
        <v>0.70834620534884241</v>
      </c>
      <c r="AZ338" s="9">
        <f t="shared" ca="1" si="206"/>
        <v>0.70834620534884241</v>
      </c>
      <c r="BB338" s="2">
        <f t="shared" ca="1" si="207"/>
        <v>8.6911020817068838</v>
      </c>
      <c r="BC338" s="2">
        <f t="shared" ca="1" si="208"/>
        <v>0.4003917322267499</v>
      </c>
      <c r="BD338" s="2">
        <f t="shared" ca="1" si="209"/>
        <v>1.3737522851928481E-4</v>
      </c>
      <c r="BE338" s="2">
        <f t="shared" ca="1" si="210"/>
        <v>0.17956794498574594</v>
      </c>
      <c r="BF338" s="2">
        <f t="shared" ca="1" si="211"/>
        <v>0.70834620534884241</v>
      </c>
      <c r="BG338" s="2">
        <f t="shared" ca="1" si="212"/>
        <v>5.2772649581038035E-2</v>
      </c>
      <c r="BH338" s="2">
        <f t="shared" ca="1" si="213"/>
        <v>0.70834620534884241</v>
      </c>
      <c r="BI338" s="2">
        <f t="shared" ca="1" si="214"/>
        <v>0.70834620534884241</v>
      </c>
    </row>
    <row r="339" spans="1:61" ht="15" x14ac:dyDescent="0.25">
      <c r="A339" s="66">
        <v>273</v>
      </c>
      <c r="B339" s="66">
        <v>1498730263.313</v>
      </c>
      <c r="C339" s="67">
        <v>4.37007235592758E-5</v>
      </c>
      <c r="D339" s="67">
        <v>-2.9198541094154899E-5</v>
      </c>
      <c r="E339" s="67">
        <v>1.34259655538849E-2</v>
      </c>
      <c r="F339" s="67">
        <v>4.1068475550040798E-4</v>
      </c>
      <c r="G339" s="67">
        <v>7.9511340002861997E-5</v>
      </c>
      <c r="H339" s="67">
        <v>0.248501850994092</v>
      </c>
      <c r="I339" s="67">
        <v>-2.9198541094154899E-5</v>
      </c>
      <c r="J339" s="67">
        <v>0.17945945469285399</v>
      </c>
      <c r="K339" s="67">
        <v>2.15681272668989</v>
      </c>
      <c r="L339" s="67"/>
      <c r="M339" s="67"/>
      <c r="O339" s="11">
        <f t="shared" ca="1" si="172"/>
        <v>3.0896792849315772E-5</v>
      </c>
      <c r="P339" s="11">
        <f t="shared" ca="1" si="173"/>
        <v>-2.9963641324459641E-5</v>
      </c>
      <c r="Q339" s="11">
        <f t="shared" ca="1" si="174"/>
        <v>1.2589473941616615E-2</v>
      </c>
      <c r="R339" s="11">
        <f t="shared" ca="1" si="175"/>
        <v>3.9903826785406087E-4</v>
      </c>
      <c r="S339" s="11">
        <f t="shared" ca="1" si="176"/>
        <v>6.858368795589187E-5</v>
      </c>
      <c r="T339" s="11">
        <f t="shared" ca="1" si="177"/>
        <v>0.24736329595550971</v>
      </c>
      <c r="U339" s="11">
        <f t="shared" ca="1" si="178"/>
        <v>-2.9963641324459641E-5</v>
      </c>
      <c r="V339" s="11">
        <f t="shared" ca="1" si="179"/>
        <v>0.17880925868716022</v>
      </c>
      <c r="W339" s="11">
        <f t="shared" ca="1" si="180"/>
        <v>2.1496898784263849</v>
      </c>
      <c r="X339" s="11"/>
      <c r="Y339" s="2">
        <f t="shared" ca="1" si="181"/>
        <v>3.0896792849315772E-5</v>
      </c>
      <c r="Z339" s="11">
        <f t="shared" ca="1" si="182"/>
        <v>-2.9963641324459641E-5</v>
      </c>
      <c r="AA339" s="2">
        <f t="shared" ca="1" si="183"/>
        <v>1.2589473941616615E-2</v>
      </c>
      <c r="AB339" s="2">
        <f t="shared" ca="1" si="184"/>
        <v>3.9903826785406087E-4</v>
      </c>
      <c r="AC339" s="2">
        <f t="shared" ca="1" si="185"/>
        <v>6.858368795589187E-5</v>
      </c>
      <c r="AD339" s="2">
        <f t="shared" ca="1" si="186"/>
        <v>0.24736329595550971</v>
      </c>
      <c r="AE339" s="2">
        <f t="shared" ca="1" si="187"/>
        <v>-2.9963641324459641E-5</v>
      </c>
      <c r="AF339" s="2">
        <f t="shared" ca="1" si="188"/>
        <v>0.17880925868716022</v>
      </c>
      <c r="AG339" s="2">
        <f t="shared" ca="1" si="189"/>
        <v>2.1496898784263849</v>
      </c>
      <c r="AI339" s="2">
        <f t="shared" ca="1" si="190"/>
        <v>3.0896792849315772E-5</v>
      </c>
      <c r="AJ339" s="11">
        <f t="shared" ca="1" si="191"/>
        <v>-2.9963641324459641E-5</v>
      </c>
      <c r="AK339" s="2">
        <f t="shared" ca="1" si="192"/>
        <v>1.2589473941616615E-2</v>
      </c>
      <c r="AL339" s="2">
        <f t="shared" ca="1" si="193"/>
        <v>3.9903826785406087E-4</v>
      </c>
      <c r="AM339" s="2">
        <f t="shared" ca="1" si="194"/>
        <v>6.858368795589187E-5</v>
      </c>
      <c r="AN339" s="2">
        <f t="shared" ca="1" si="195"/>
        <v>0.24736329595550971</v>
      </c>
      <c r="AO339" s="2">
        <f t="shared" ca="1" si="196"/>
        <v>-2.9963641324459641E-5</v>
      </c>
      <c r="AP339" s="2">
        <f t="shared" ca="1" si="197"/>
        <v>0.17880925868716022</v>
      </c>
      <c r="AQ339" s="2">
        <f t="shared" ca="1" si="198"/>
        <v>2.1496898784263849</v>
      </c>
      <c r="AS339" s="2">
        <f t="shared" ca="1" si="199"/>
        <v>8.6904157309297165</v>
      </c>
      <c r="AT339" s="2">
        <f t="shared" ca="1" si="200"/>
        <v>0.4003597291340904</v>
      </c>
      <c r="AU339" s="2">
        <f t="shared" ca="1" si="201"/>
        <v>1.5975885283218841E-4</v>
      </c>
      <c r="AV339" s="2">
        <f t="shared" ca="1" si="202"/>
        <v>0.17864949983432804</v>
      </c>
      <c r="AW339" s="2">
        <f t="shared" ca="1" si="203"/>
        <v>0.7089023924817287</v>
      </c>
      <c r="AX339" s="2">
        <f t="shared" ca="1" si="204"/>
        <v>5.2855510876176376E-2</v>
      </c>
      <c r="AY339" s="9">
        <f t="shared" ca="1" si="205"/>
        <v>0.7089023924817287</v>
      </c>
      <c r="AZ339" s="9">
        <f t="shared" ca="1" si="206"/>
        <v>0.7089023924817287</v>
      </c>
      <c r="BB339" s="2">
        <f t="shared" ca="1" si="207"/>
        <v>8.6904157309297165</v>
      </c>
      <c r="BC339" s="2">
        <f t="shared" ca="1" si="208"/>
        <v>0.4003597291340904</v>
      </c>
      <c r="BD339" s="2">
        <f t="shared" ca="1" si="209"/>
        <v>1.5975885283218841E-4</v>
      </c>
      <c r="BE339" s="2">
        <f t="shared" ca="1" si="210"/>
        <v>0.17864949983432804</v>
      </c>
      <c r="BF339" s="2">
        <f t="shared" ca="1" si="211"/>
        <v>0.7089023924817287</v>
      </c>
      <c r="BG339" s="2">
        <f t="shared" ca="1" si="212"/>
        <v>5.2855510876176376E-2</v>
      </c>
      <c r="BH339" s="2">
        <f t="shared" ca="1" si="213"/>
        <v>0.7089023924817287</v>
      </c>
      <c r="BI339" s="2">
        <f t="shared" ca="1" si="214"/>
        <v>0.7089023924817287</v>
      </c>
    </row>
    <row r="340" spans="1:61" ht="15" x14ac:dyDescent="0.25">
      <c r="A340" s="66">
        <v>274</v>
      </c>
      <c r="B340" s="66">
        <v>1498730263.8399999</v>
      </c>
      <c r="C340" s="67">
        <v>-4.6299321064777302E-5</v>
      </c>
      <c r="D340" s="67">
        <v>-7.7542623299443804E-6</v>
      </c>
      <c r="E340" s="67">
        <v>1.3326402806084599E-2</v>
      </c>
      <c r="F340" s="67">
        <v>3.2571056153301301E-4</v>
      </c>
      <c r="G340" s="67">
        <v>-8.0113544405634597E-5</v>
      </c>
      <c r="H340" s="67">
        <v>0.247568914657671</v>
      </c>
      <c r="I340" s="67">
        <v>-7.7542623299443804E-6</v>
      </c>
      <c r="J340" s="67">
        <v>0.17871610506886301</v>
      </c>
      <c r="K340" s="67">
        <v>2.14871621873215</v>
      </c>
      <c r="L340" s="67"/>
      <c r="M340" s="67"/>
      <c r="O340" s="11">
        <f t="shared" ca="1" si="172"/>
        <v>-5.910325177473733E-5</v>
      </c>
      <c r="P340" s="11">
        <f t="shared" ca="1" si="173"/>
        <v>-8.5193625602491207E-6</v>
      </c>
      <c r="Q340" s="11">
        <f t="shared" ca="1" si="174"/>
        <v>1.2489911193816315E-2</v>
      </c>
      <c r="R340" s="11">
        <f t="shared" ca="1" si="175"/>
        <v>3.140640738866659E-4</v>
      </c>
      <c r="S340" s="11">
        <f t="shared" ca="1" si="176"/>
        <v>-9.1041196452604724E-5</v>
      </c>
      <c r="T340" s="11">
        <f t="shared" ca="1" si="177"/>
        <v>0.24643035961908871</v>
      </c>
      <c r="U340" s="11">
        <f t="shared" ca="1" si="178"/>
        <v>-8.5193625602491207E-6</v>
      </c>
      <c r="V340" s="11">
        <f t="shared" ca="1" si="179"/>
        <v>0.17806590906316924</v>
      </c>
      <c r="W340" s="11">
        <f t="shared" ca="1" si="180"/>
        <v>2.141593370468645</v>
      </c>
      <c r="X340" s="11"/>
      <c r="Y340" s="2">
        <f t="shared" ca="1" si="181"/>
        <v>-5.910325177473733E-5</v>
      </c>
      <c r="Z340" s="11">
        <f t="shared" ca="1" si="182"/>
        <v>-8.5193625602491207E-6</v>
      </c>
      <c r="AA340" s="2">
        <f t="shared" ca="1" si="183"/>
        <v>1.2489911193816315E-2</v>
      </c>
      <c r="AB340" s="2">
        <f t="shared" ca="1" si="184"/>
        <v>3.140640738866659E-4</v>
      </c>
      <c r="AC340" s="2">
        <f t="shared" ca="1" si="185"/>
        <v>-9.1041196452604724E-5</v>
      </c>
      <c r="AD340" s="2">
        <f t="shared" ca="1" si="186"/>
        <v>0.24643035961908871</v>
      </c>
      <c r="AE340" s="2">
        <f t="shared" ca="1" si="187"/>
        <v>-8.5193625602491207E-6</v>
      </c>
      <c r="AF340" s="2">
        <f t="shared" ca="1" si="188"/>
        <v>0.17806590906316924</v>
      </c>
      <c r="AG340" s="2">
        <f t="shared" ca="1" si="189"/>
        <v>2.141593370468645</v>
      </c>
      <c r="AI340" s="2">
        <f t="shared" ca="1" si="190"/>
        <v>-5.910325177473733E-5</v>
      </c>
      <c r="AJ340" s="11">
        <f t="shared" ca="1" si="191"/>
        <v>-8.5193625602491207E-6</v>
      </c>
      <c r="AK340" s="2">
        <f t="shared" ca="1" si="192"/>
        <v>1.2489911193816315E-2</v>
      </c>
      <c r="AL340" s="2">
        <f t="shared" ca="1" si="193"/>
        <v>3.140640738866659E-4</v>
      </c>
      <c r="AM340" s="2">
        <f t="shared" ca="1" si="194"/>
        <v>-9.1041196452604724E-5</v>
      </c>
      <c r="AN340" s="2">
        <f t="shared" ca="1" si="195"/>
        <v>0.24643035961908871</v>
      </c>
      <c r="AO340" s="2">
        <f t="shared" ca="1" si="196"/>
        <v>-8.5193625602491207E-6</v>
      </c>
      <c r="AP340" s="2">
        <f t="shared" ca="1" si="197"/>
        <v>0.17806590906316924</v>
      </c>
      <c r="AQ340" s="2">
        <f t="shared" ca="1" si="198"/>
        <v>2.141593370468645</v>
      </c>
      <c r="AS340" s="2">
        <f t="shared" ca="1" si="199"/>
        <v>8.69046076051238</v>
      </c>
      <c r="AT340" s="2">
        <f t="shared" ca="1" si="200"/>
        <v>0.40036182876784837</v>
      </c>
      <c r="AU340" s="2">
        <f t="shared" ca="1" si="201"/>
        <v>1.2573926697154623E-4</v>
      </c>
      <c r="AV340" s="2">
        <f t="shared" ca="1" si="202"/>
        <v>0.1779401697961977</v>
      </c>
      <c r="AW340" s="2">
        <f t="shared" ca="1" si="203"/>
        <v>0.70875894495717306</v>
      </c>
      <c r="AX340" s="2">
        <f t="shared" ca="1" si="204"/>
        <v>5.2636304767934489E-2</v>
      </c>
      <c r="AY340" s="9">
        <f t="shared" ca="1" si="205"/>
        <v>0.70875894495717306</v>
      </c>
      <c r="AZ340" s="9">
        <f t="shared" ca="1" si="206"/>
        <v>0.70875894495717306</v>
      </c>
      <c r="BB340" s="2">
        <f t="shared" ca="1" si="207"/>
        <v>8.69046076051238</v>
      </c>
      <c r="BC340" s="2">
        <f t="shared" ca="1" si="208"/>
        <v>0.40036182876784837</v>
      </c>
      <c r="BD340" s="2">
        <f t="shared" ca="1" si="209"/>
        <v>1.2573926697154623E-4</v>
      </c>
      <c r="BE340" s="2">
        <f t="shared" ca="1" si="210"/>
        <v>0.1779401697961977</v>
      </c>
      <c r="BF340" s="2">
        <f t="shared" ca="1" si="211"/>
        <v>0.70875894495717306</v>
      </c>
      <c r="BG340" s="2">
        <f t="shared" ca="1" si="212"/>
        <v>5.2636304767934489E-2</v>
      </c>
      <c r="BH340" s="2">
        <f t="shared" ca="1" si="213"/>
        <v>0.70875894495717306</v>
      </c>
      <c r="BI340" s="2">
        <f t="shared" ca="1" si="214"/>
        <v>0.70875894495717306</v>
      </c>
    </row>
    <row r="341" spans="1:61" ht="15" x14ac:dyDescent="0.25">
      <c r="A341" s="66">
        <v>275</v>
      </c>
      <c r="B341" s="66">
        <v>1498730264.3670001</v>
      </c>
      <c r="C341" s="67">
        <v>-7.7963641897405203E-6</v>
      </c>
      <c r="D341" s="67">
        <v>5.7334467781098103E-6</v>
      </c>
      <c r="E341" s="67">
        <v>1.27063450697766E-2</v>
      </c>
      <c r="F341" s="67">
        <v>4.3139384791217501E-4</v>
      </c>
      <c r="G341" s="67">
        <v>1.12263812623827E-4</v>
      </c>
      <c r="H341" s="67">
        <v>0.23416090205492501</v>
      </c>
      <c r="I341" s="67">
        <v>5.7334467781098103E-6</v>
      </c>
      <c r="J341" s="67">
        <v>0.169306229356704</v>
      </c>
      <c r="K341" s="67">
        <v>2.0350447647901602</v>
      </c>
      <c r="L341" s="67"/>
      <c r="M341" s="67"/>
      <c r="O341" s="11">
        <f t="shared" ca="1" si="172"/>
        <v>-2.0600294899700548E-5</v>
      </c>
      <c r="P341" s="11">
        <f t="shared" ca="1" si="173"/>
        <v>4.96834654780507E-6</v>
      </c>
      <c r="Q341" s="11">
        <f t="shared" ca="1" si="174"/>
        <v>1.1869853457508316E-2</v>
      </c>
      <c r="R341" s="11">
        <f t="shared" ca="1" si="175"/>
        <v>4.197473602658279E-4</v>
      </c>
      <c r="S341" s="11">
        <f t="shared" ca="1" si="176"/>
        <v>1.0133616057685687E-4</v>
      </c>
      <c r="T341" s="11">
        <f t="shared" ca="1" si="177"/>
        <v>0.23302234701634272</v>
      </c>
      <c r="U341" s="11">
        <f t="shared" ca="1" si="178"/>
        <v>4.96834654780507E-6</v>
      </c>
      <c r="V341" s="11">
        <f t="shared" ca="1" si="179"/>
        <v>0.16865603335101023</v>
      </c>
      <c r="W341" s="11">
        <f t="shared" ca="1" si="180"/>
        <v>2.0279219165266551</v>
      </c>
      <c r="X341" s="11"/>
      <c r="Y341" s="2">
        <f t="shared" ca="1" si="181"/>
        <v>-2.0600294899700548E-5</v>
      </c>
      <c r="Z341" s="11">
        <f t="shared" ca="1" si="182"/>
        <v>4.96834654780507E-6</v>
      </c>
      <c r="AA341" s="2">
        <f t="shared" ca="1" si="183"/>
        <v>1.1869815445939373E-2</v>
      </c>
      <c r="AB341" s="2">
        <f t="shared" ca="1" si="184"/>
        <v>4.1882730751754781E-4</v>
      </c>
      <c r="AC341" s="2">
        <f t="shared" ca="1" si="185"/>
        <v>1.0133616057685687E-4</v>
      </c>
      <c r="AD341" s="2">
        <f t="shared" ca="1" si="186"/>
        <v>0.23301565611630945</v>
      </c>
      <c r="AE341" s="2">
        <f t="shared" ca="1" si="187"/>
        <v>4.96834654780507E-6</v>
      </c>
      <c r="AF341" s="2">
        <f t="shared" ca="1" si="188"/>
        <v>0.16864615250283327</v>
      </c>
      <c r="AG341" s="2">
        <f t="shared" ca="1" si="189"/>
        <v>2.027917907108324</v>
      </c>
      <c r="AI341" s="2">
        <f t="shared" ca="1" si="190"/>
        <v>-2.0600294899700548E-5</v>
      </c>
      <c r="AJ341" s="11">
        <f t="shared" ca="1" si="191"/>
        <v>4.96834654780507E-6</v>
      </c>
      <c r="AK341" s="2">
        <f t="shared" ca="1" si="192"/>
        <v>1.1863953716288709E-2</v>
      </c>
      <c r="AL341" s="2">
        <f t="shared" ca="1" si="193"/>
        <v>4.1608377319455567E-4</v>
      </c>
      <c r="AM341" s="2">
        <f t="shared" ca="1" si="194"/>
        <v>1.0133616057685687E-4</v>
      </c>
      <c r="AN341" s="2">
        <f t="shared" ca="1" si="195"/>
        <v>0.23301565611630945</v>
      </c>
      <c r="AO341" s="2">
        <f t="shared" ca="1" si="196"/>
        <v>4.96834654780507E-6</v>
      </c>
      <c r="AP341" s="2">
        <f t="shared" ca="1" si="197"/>
        <v>0.16864615250283327</v>
      </c>
      <c r="AQ341" s="2">
        <f t="shared" ca="1" si="198"/>
        <v>2.027917907108324</v>
      </c>
      <c r="AS341" s="2">
        <f t="shared" ca="1" si="199"/>
        <v>8.7026928639785321</v>
      </c>
      <c r="AT341" s="2">
        <f t="shared" ca="1" si="200"/>
        <v>0.40093219064506069</v>
      </c>
      <c r="AU341" s="2">
        <f t="shared" ca="1" si="201"/>
        <v>1.6829022866885989E-4</v>
      </c>
      <c r="AV341" s="2">
        <f t="shared" ca="1" si="202"/>
        <v>0.16848774312234138</v>
      </c>
      <c r="AW341" s="2">
        <f t="shared" ca="1" si="203"/>
        <v>0.7092214826984562</v>
      </c>
      <c r="AX341" s="2">
        <f t="shared" ca="1" si="204"/>
        <v>5.297769938133607E-2</v>
      </c>
      <c r="AY341" s="9">
        <f t="shared" ca="1" si="205"/>
        <v>0.7092214826984562</v>
      </c>
      <c r="AZ341" s="9">
        <f t="shared" ca="1" si="206"/>
        <v>0.7092214826984562</v>
      </c>
      <c r="BB341" s="2">
        <f t="shared" ca="1" si="207"/>
        <v>8.7029255497583033</v>
      </c>
      <c r="BC341" s="2">
        <f t="shared" ca="1" si="208"/>
        <v>0.4009430404757387</v>
      </c>
      <c r="BD341" s="2">
        <f t="shared" ca="1" si="209"/>
        <v>1.6682589311724282E-4</v>
      </c>
      <c r="BE341" s="2">
        <f t="shared" ca="1" si="210"/>
        <v>0.16847932660971601</v>
      </c>
      <c r="BF341" s="2">
        <f t="shared" ca="1" si="211"/>
        <v>0.70919686956108563</v>
      </c>
      <c r="BG341" s="2">
        <f t="shared" ca="1" si="212"/>
        <v>5.2954336769359393E-2</v>
      </c>
      <c r="BH341" s="2">
        <f t="shared" ca="1" si="213"/>
        <v>0.70919686956108563</v>
      </c>
      <c r="BI341" s="2">
        <f t="shared" ca="1" si="214"/>
        <v>0.70919686956108563</v>
      </c>
    </row>
    <row r="342" spans="1:61" ht="15" x14ac:dyDescent="0.25">
      <c r="A342" s="66">
        <v>276</v>
      </c>
      <c r="B342" s="66">
        <v>1498730264.8940001</v>
      </c>
      <c r="C342" s="67">
        <v>1.6891121452513599E-4</v>
      </c>
      <c r="D342" s="67">
        <v>-3.16071902047031E-5</v>
      </c>
      <c r="E342" s="67">
        <v>1.27205590039222E-2</v>
      </c>
      <c r="F342" s="67">
        <v>3.5974697581148699E-4</v>
      </c>
      <c r="G342" s="67">
        <v>6.8816118727843895E-5</v>
      </c>
      <c r="H342" s="67">
        <v>0.233948750016433</v>
      </c>
      <c r="I342" s="67">
        <v>-3.16071902047031E-5</v>
      </c>
      <c r="J342" s="67">
        <v>0.168888519446527</v>
      </c>
      <c r="K342" s="67">
        <v>2.02991688069676</v>
      </c>
      <c r="L342" s="67"/>
      <c r="M342" s="67"/>
      <c r="O342" s="11">
        <f t="shared" ca="1" si="172"/>
        <v>1.5610728381517595E-4</v>
      </c>
      <c r="P342" s="11">
        <f t="shared" ca="1" si="173"/>
        <v>-3.2372290435007839E-5</v>
      </c>
      <c r="Q342" s="11">
        <f t="shared" ca="1" si="174"/>
        <v>1.1884067391653916E-2</v>
      </c>
      <c r="R342" s="11">
        <f t="shared" ca="1" si="175"/>
        <v>3.4810048816513988E-4</v>
      </c>
      <c r="S342" s="11">
        <f t="shared" ca="1" si="176"/>
        <v>5.7888466680873774E-5</v>
      </c>
      <c r="T342" s="11">
        <f t="shared" ca="1" si="177"/>
        <v>0.23281019497785072</v>
      </c>
      <c r="U342" s="11">
        <f t="shared" ca="1" si="178"/>
        <v>-3.2372290435007839E-5</v>
      </c>
      <c r="V342" s="11">
        <f t="shared" ca="1" si="179"/>
        <v>0.16823832344083323</v>
      </c>
      <c r="W342" s="11">
        <f t="shared" ca="1" si="180"/>
        <v>2.022794032433255</v>
      </c>
      <c r="X342" s="11"/>
      <c r="Y342" s="2">
        <f t="shared" ca="1" si="181"/>
        <v>1.5610728381517595E-4</v>
      </c>
      <c r="Z342" s="11">
        <f t="shared" ca="1" si="182"/>
        <v>-3.2372290435007839E-5</v>
      </c>
      <c r="AA342" s="2">
        <f t="shared" ca="1" si="183"/>
        <v>1.1884067391653916E-2</v>
      </c>
      <c r="AB342" s="2">
        <f t="shared" ca="1" si="184"/>
        <v>3.4810048816513988E-4</v>
      </c>
      <c r="AC342" s="2">
        <f t="shared" ca="1" si="185"/>
        <v>5.7888466680873774E-5</v>
      </c>
      <c r="AD342" s="2">
        <f t="shared" ca="1" si="186"/>
        <v>0.23281019497785072</v>
      </c>
      <c r="AE342" s="2">
        <f t="shared" ca="1" si="187"/>
        <v>-3.2372290435007839E-5</v>
      </c>
      <c r="AF342" s="2">
        <f t="shared" ca="1" si="188"/>
        <v>0.16823832344083323</v>
      </c>
      <c r="AG342" s="2">
        <f t="shared" ca="1" si="189"/>
        <v>2.022794032433255</v>
      </c>
      <c r="AI342" s="2">
        <f t="shared" ca="1" si="190"/>
        <v>1.5610728381517595E-4</v>
      </c>
      <c r="AJ342" s="11">
        <f t="shared" ca="1" si="191"/>
        <v>-3.2372290435007839E-5</v>
      </c>
      <c r="AK342" s="2">
        <f t="shared" ca="1" si="192"/>
        <v>1.1884067391653916E-2</v>
      </c>
      <c r="AL342" s="2">
        <f t="shared" ca="1" si="193"/>
        <v>3.4810048816513988E-4</v>
      </c>
      <c r="AM342" s="2">
        <f t="shared" ca="1" si="194"/>
        <v>5.7888466680873774E-5</v>
      </c>
      <c r="AN342" s="2">
        <f t="shared" ca="1" si="195"/>
        <v>0.23281019497785072</v>
      </c>
      <c r="AO342" s="2">
        <f t="shared" ca="1" si="196"/>
        <v>-3.2372290435007839E-5</v>
      </c>
      <c r="AP342" s="2">
        <f t="shared" ca="1" si="197"/>
        <v>0.16823832344083323</v>
      </c>
      <c r="AQ342" s="2">
        <f t="shared" ca="1" si="198"/>
        <v>2.022794032433255</v>
      </c>
      <c r="AS342" s="2">
        <f t="shared" ca="1" si="199"/>
        <v>8.6885973040214211</v>
      </c>
      <c r="AT342" s="2">
        <f t="shared" ca="1" si="200"/>
        <v>0.40027493986153051</v>
      </c>
      <c r="AU342" s="2">
        <f t="shared" ca="1" si="201"/>
        <v>1.3933590196607077E-4</v>
      </c>
      <c r="AV342" s="2">
        <f t="shared" ca="1" si="202"/>
        <v>0.16809898753886715</v>
      </c>
      <c r="AW342" s="2">
        <f t="shared" ca="1" si="203"/>
        <v>0.70880825663185354</v>
      </c>
      <c r="AX342" s="2">
        <f t="shared" ca="1" si="204"/>
        <v>5.3001488355551102E-2</v>
      </c>
      <c r="AY342" s="9">
        <f t="shared" ca="1" si="205"/>
        <v>0.70880825663185354</v>
      </c>
      <c r="AZ342" s="9">
        <f t="shared" ca="1" si="206"/>
        <v>0.70880825663185354</v>
      </c>
      <c r="BB342" s="2">
        <f t="shared" ca="1" si="207"/>
        <v>8.6885973040214211</v>
      </c>
      <c r="BC342" s="2">
        <f t="shared" ca="1" si="208"/>
        <v>0.40027493986153051</v>
      </c>
      <c r="BD342" s="2">
        <f t="shared" ca="1" si="209"/>
        <v>1.3933590196607077E-4</v>
      </c>
      <c r="BE342" s="2">
        <f t="shared" ca="1" si="210"/>
        <v>0.16809898753886715</v>
      </c>
      <c r="BF342" s="2">
        <f t="shared" ca="1" si="211"/>
        <v>0.70880825663185354</v>
      </c>
      <c r="BG342" s="2">
        <f t="shared" ca="1" si="212"/>
        <v>5.3001488355551102E-2</v>
      </c>
      <c r="BH342" s="2">
        <f t="shared" ca="1" si="213"/>
        <v>0.70880825663185354</v>
      </c>
      <c r="BI342" s="2">
        <f t="shared" ca="1" si="214"/>
        <v>0.70880825663185354</v>
      </c>
    </row>
    <row r="343" spans="1:61" ht="15" x14ac:dyDescent="0.25">
      <c r="A343" s="66">
        <v>277</v>
      </c>
      <c r="B343" s="66">
        <v>1498730265.421</v>
      </c>
      <c r="C343" s="67">
        <v>1.05359009585302E-4</v>
      </c>
      <c r="D343" s="67">
        <v>5.8804480138165698E-5</v>
      </c>
      <c r="E343" s="67">
        <v>1.30318701619972E-2</v>
      </c>
      <c r="F343" s="67">
        <v>4.7281332085645099E-4</v>
      </c>
      <c r="G343" s="67">
        <v>1.5731027902056999E-4</v>
      </c>
      <c r="H343" s="67">
        <v>0.23961075217528099</v>
      </c>
      <c r="I343" s="67">
        <v>5.8804480138165698E-5</v>
      </c>
      <c r="J343" s="67">
        <v>0.173034825592882</v>
      </c>
      <c r="K343" s="67">
        <v>2.0795270416893898</v>
      </c>
      <c r="L343" s="67"/>
      <c r="M343" s="67"/>
      <c r="O343" s="11">
        <f t="shared" ca="1" si="172"/>
        <v>9.2555078875341965E-5</v>
      </c>
      <c r="P343" s="11">
        <f t="shared" ca="1" si="173"/>
        <v>5.8039379907860959E-5</v>
      </c>
      <c r="Q343" s="11">
        <f t="shared" ca="1" si="174"/>
        <v>1.2195378549728915E-2</v>
      </c>
      <c r="R343" s="11">
        <f t="shared" ca="1" si="175"/>
        <v>4.6116683321010388E-4</v>
      </c>
      <c r="S343" s="11">
        <f t="shared" ca="1" si="176"/>
        <v>1.4638262697359988E-4</v>
      </c>
      <c r="T343" s="11">
        <f t="shared" ca="1" si="177"/>
        <v>0.2384721971366987</v>
      </c>
      <c r="U343" s="11">
        <f t="shared" ca="1" si="178"/>
        <v>5.8039379907860959E-5</v>
      </c>
      <c r="V343" s="11">
        <f t="shared" ca="1" si="179"/>
        <v>0.17238462958718823</v>
      </c>
      <c r="W343" s="11">
        <f t="shared" ca="1" si="180"/>
        <v>2.0724041934258848</v>
      </c>
      <c r="X343" s="11"/>
      <c r="Y343" s="2">
        <f t="shared" ca="1" si="181"/>
        <v>9.2555078875341965E-5</v>
      </c>
      <c r="Z343" s="11">
        <f t="shared" ca="1" si="182"/>
        <v>5.8039379907860959E-5</v>
      </c>
      <c r="AA343" s="2">
        <f t="shared" ca="1" si="183"/>
        <v>1.2194934505041301E-2</v>
      </c>
      <c r="AB343" s="2">
        <f t="shared" ca="1" si="184"/>
        <v>4.5041893338490106E-4</v>
      </c>
      <c r="AC343" s="2">
        <f t="shared" ca="1" si="185"/>
        <v>1.4638262697359988E-4</v>
      </c>
      <c r="AD343" s="2">
        <f t="shared" ca="1" si="186"/>
        <v>0.23839403517975391</v>
      </c>
      <c r="AE343" s="2">
        <f t="shared" ca="1" si="187"/>
        <v>5.8039379907860959E-5</v>
      </c>
      <c r="AF343" s="2">
        <f t="shared" ca="1" si="188"/>
        <v>0.17226920319822037</v>
      </c>
      <c r="AG343" s="2">
        <f t="shared" ca="1" si="189"/>
        <v>2.0723573560824144</v>
      </c>
      <c r="AI343" s="2">
        <f t="shared" ca="1" si="190"/>
        <v>9.2555078875341965E-5</v>
      </c>
      <c r="AJ343" s="11">
        <f t="shared" ca="1" si="191"/>
        <v>5.8039379907860959E-5</v>
      </c>
      <c r="AK343" s="2">
        <f t="shared" ca="1" si="192"/>
        <v>1.2126458775573052E-2</v>
      </c>
      <c r="AL343" s="2">
        <f t="shared" ca="1" si="193"/>
        <v>4.1836943173877622E-4</v>
      </c>
      <c r="AM343" s="2">
        <f t="shared" ca="1" si="194"/>
        <v>1.4638262697359988E-4</v>
      </c>
      <c r="AN343" s="2">
        <f t="shared" ca="1" si="195"/>
        <v>0.23839403517975391</v>
      </c>
      <c r="AO343" s="2">
        <f t="shared" ca="1" si="196"/>
        <v>5.8039379907860959E-5</v>
      </c>
      <c r="AP343" s="2">
        <f t="shared" ca="1" si="197"/>
        <v>0.17226920319822037</v>
      </c>
      <c r="AQ343" s="2">
        <f t="shared" ca="1" si="198"/>
        <v>2.0723573560824144</v>
      </c>
      <c r="AS343" s="2">
        <f t="shared" ca="1" si="199"/>
        <v>8.6903388248564948</v>
      </c>
      <c r="AT343" s="2">
        <f t="shared" ca="1" si="200"/>
        <v>0.4003561431676162</v>
      </c>
      <c r="AU343" s="2">
        <f t="shared" ca="1" si="201"/>
        <v>1.8463097470082052E-4</v>
      </c>
      <c r="AV343" s="2">
        <f t="shared" ca="1" si="202"/>
        <v>0.17219999861248741</v>
      </c>
      <c r="AW343" s="2">
        <f t="shared" ca="1" si="203"/>
        <v>0.70878941371951132</v>
      </c>
      <c r="AX343" s="2">
        <f t="shared" ca="1" si="204"/>
        <v>5.310941900143739E-2</v>
      </c>
      <c r="AY343" s="9">
        <f t="shared" ca="1" si="205"/>
        <v>0.70878941371951132</v>
      </c>
      <c r="AZ343" s="9">
        <f t="shared" ca="1" si="206"/>
        <v>0.70878941371951132</v>
      </c>
      <c r="BB343" s="2">
        <f t="shared" ca="1" si="207"/>
        <v>8.6929916451970595</v>
      </c>
      <c r="BC343" s="2">
        <f t="shared" ca="1" si="208"/>
        <v>0.4004798387550163</v>
      </c>
      <c r="BD343" s="2">
        <f t="shared" ca="1" si="209"/>
        <v>1.675485225627729E-4</v>
      </c>
      <c r="BE343" s="2">
        <f t="shared" ca="1" si="210"/>
        <v>0.17210165467565761</v>
      </c>
      <c r="BF343" s="2">
        <f t="shared" ca="1" si="211"/>
        <v>0.70850797035983704</v>
      </c>
      <c r="BG343" s="2">
        <f t="shared" ca="1" si="212"/>
        <v>5.2843097004490032E-2</v>
      </c>
      <c r="BH343" s="2">
        <f t="shared" ca="1" si="213"/>
        <v>0.70850797035983704</v>
      </c>
      <c r="BI343" s="2">
        <f t="shared" ca="1" si="214"/>
        <v>0.70850797035983704</v>
      </c>
    </row>
    <row r="344" spans="1:61" ht="15" x14ac:dyDescent="0.25">
      <c r="A344" s="66">
        <v>278</v>
      </c>
      <c r="B344" s="66">
        <v>1498730265.947</v>
      </c>
      <c r="C344" s="67">
        <v>-4.0168523055249501E-6</v>
      </c>
      <c r="D344" s="67">
        <v>5.4479286126852E-5</v>
      </c>
      <c r="E344" s="67">
        <v>1.30340390742521E-2</v>
      </c>
      <c r="F344" s="67">
        <v>3.7974093476547601E-4</v>
      </c>
      <c r="G344" s="67">
        <v>7.47525304705818E-5</v>
      </c>
      <c r="H344" s="67">
        <v>0.23828187488313399</v>
      </c>
      <c r="I344" s="67">
        <v>5.4479286126852E-5</v>
      </c>
      <c r="J344" s="67">
        <v>0.172042094886837</v>
      </c>
      <c r="K344" s="67">
        <v>2.0684768124493602</v>
      </c>
      <c r="L344" s="67"/>
      <c r="M344" s="67"/>
      <c r="O344" s="11">
        <f t="shared" ca="1" si="172"/>
        <v>-1.6820783015484979E-5</v>
      </c>
      <c r="P344" s="11">
        <f t="shared" ca="1" si="173"/>
        <v>5.3714185896547262E-5</v>
      </c>
      <c r="Q344" s="11">
        <f t="shared" ca="1" si="174"/>
        <v>1.2197547461983815E-2</v>
      </c>
      <c r="R344" s="11">
        <f t="shared" ca="1" si="175"/>
        <v>3.680944471191289E-4</v>
      </c>
      <c r="S344" s="11">
        <f t="shared" ca="1" si="176"/>
        <v>6.3824878423611673E-5</v>
      </c>
      <c r="T344" s="11">
        <f t="shared" ca="1" si="177"/>
        <v>0.2371433198445517</v>
      </c>
      <c r="U344" s="11">
        <f t="shared" ca="1" si="178"/>
        <v>5.3714185896547262E-5</v>
      </c>
      <c r="V344" s="11">
        <f t="shared" ca="1" si="179"/>
        <v>0.17139189888114323</v>
      </c>
      <c r="W344" s="11">
        <f t="shared" ca="1" si="180"/>
        <v>2.0613539641858551</v>
      </c>
      <c r="X344" s="11"/>
      <c r="Y344" s="2">
        <f t="shared" ca="1" si="181"/>
        <v>-1.6820783015484979E-5</v>
      </c>
      <c r="Z344" s="11">
        <f t="shared" ca="1" si="182"/>
        <v>5.3714185896547262E-5</v>
      </c>
      <c r="AA344" s="2">
        <f t="shared" ca="1" si="183"/>
        <v>1.2197136508266964E-2</v>
      </c>
      <c r="AB344" s="2">
        <f t="shared" ca="1" si="184"/>
        <v>3.5814749919988999E-4</v>
      </c>
      <c r="AC344" s="2">
        <f t="shared" ca="1" si="185"/>
        <v>6.3824878423611673E-5</v>
      </c>
      <c r="AD344" s="2">
        <f t="shared" ca="1" si="186"/>
        <v>0.2370709826505287</v>
      </c>
      <c r="AE344" s="2">
        <f t="shared" ca="1" si="187"/>
        <v>5.3714185896547262E-5</v>
      </c>
      <c r="AF344" s="2">
        <f t="shared" ca="1" si="188"/>
        <v>0.17128507426440492</v>
      </c>
      <c r="AG344" s="2">
        <f t="shared" ca="1" si="189"/>
        <v>2.0613106172414519</v>
      </c>
      <c r="AI344" s="2">
        <f t="shared" ca="1" si="190"/>
        <v>-1.6820783015484979E-5</v>
      </c>
      <c r="AJ344" s="11">
        <f t="shared" ca="1" si="191"/>
        <v>5.3714185896547262E-5</v>
      </c>
      <c r="AK344" s="2">
        <f t="shared" ca="1" si="192"/>
        <v>1.2133763707456576E-2</v>
      </c>
      <c r="AL344" s="2">
        <f t="shared" ca="1" si="193"/>
        <v>3.2848638131674588E-4</v>
      </c>
      <c r="AM344" s="2">
        <f t="shared" ca="1" si="194"/>
        <v>6.3824878423611673E-5</v>
      </c>
      <c r="AN344" s="2">
        <f t="shared" ca="1" si="195"/>
        <v>0.2370709826505287</v>
      </c>
      <c r="AO344" s="2">
        <f t="shared" ca="1" si="196"/>
        <v>5.3714185896547262E-5</v>
      </c>
      <c r="AP344" s="2">
        <f t="shared" ca="1" si="197"/>
        <v>0.17128507426440492</v>
      </c>
      <c r="AQ344" s="2">
        <f t="shared" ca="1" si="198"/>
        <v>2.0613106172414519</v>
      </c>
      <c r="AS344" s="2">
        <f t="shared" ca="1" si="199"/>
        <v>8.6924395152141756</v>
      </c>
      <c r="AT344" s="2">
        <f t="shared" ca="1" si="200"/>
        <v>0.4004540940253003</v>
      </c>
      <c r="AU344" s="2">
        <f t="shared" ca="1" si="201"/>
        <v>1.4740492833683458E-4</v>
      </c>
      <c r="AV344" s="2">
        <f t="shared" ca="1" si="202"/>
        <v>0.17124449395280639</v>
      </c>
      <c r="AW344" s="2">
        <f t="shared" ca="1" si="203"/>
        <v>0.70872000494104415</v>
      </c>
      <c r="AX344" s="2">
        <f t="shared" ca="1" si="204"/>
        <v>5.3429738398415486E-2</v>
      </c>
      <c r="AY344" s="9">
        <f t="shared" ca="1" si="205"/>
        <v>0.70872000494104415</v>
      </c>
      <c r="AZ344" s="9">
        <f t="shared" ca="1" si="206"/>
        <v>0.70872000494104415</v>
      </c>
      <c r="BB344" s="2">
        <f t="shared" ca="1" si="207"/>
        <v>8.6949089854664887</v>
      </c>
      <c r="BC344" s="2">
        <f t="shared" ca="1" si="208"/>
        <v>0.4005692406958149</v>
      </c>
      <c r="BD344" s="2">
        <f t="shared" ca="1" si="209"/>
        <v>1.3158154034296482E-4</v>
      </c>
      <c r="BE344" s="2">
        <f t="shared" ca="1" si="210"/>
        <v>0.17115349272406197</v>
      </c>
      <c r="BF344" s="2">
        <f t="shared" ca="1" si="211"/>
        <v>0.70845816879986234</v>
      </c>
      <c r="BG344" s="2">
        <f t="shared" ca="1" si="212"/>
        <v>5.3182015362089587E-2</v>
      </c>
      <c r="BH344" s="2">
        <f t="shared" ca="1" si="213"/>
        <v>0.70845816879986234</v>
      </c>
      <c r="BI344" s="2">
        <f t="shared" ca="1" si="214"/>
        <v>0.70845816879986234</v>
      </c>
    </row>
    <row r="345" spans="1:61" ht="15" x14ac:dyDescent="0.25">
      <c r="A345" s="66">
        <v>279</v>
      </c>
      <c r="B345" s="66">
        <v>1498730266.474</v>
      </c>
      <c r="C345" s="67">
        <v>1.60620459923281E-5</v>
      </c>
      <c r="D345" s="67">
        <v>-5.5103748780188604E-6</v>
      </c>
      <c r="E345" s="67">
        <v>1.31277887263751E-2</v>
      </c>
      <c r="F345" s="67">
        <v>5.3518381349542505E-4</v>
      </c>
      <c r="G345" s="67">
        <v>2.19262785226184E-5</v>
      </c>
      <c r="H345" s="67">
        <v>0.24230294005632799</v>
      </c>
      <c r="I345" s="67">
        <v>-5.5103748780188604E-6</v>
      </c>
      <c r="J345" s="67">
        <v>0.17499198133911201</v>
      </c>
      <c r="K345" s="67">
        <v>2.1031711357203702</v>
      </c>
      <c r="L345" s="67"/>
      <c r="M345" s="67"/>
      <c r="O345" s="11">
        <f t="shared" ca="1" si="172"/>
        <v>3.2581152823680718E-6</v>
      </c>
      <c r="P345" s="11">
        <f t="shared" ca="1" si="173"/>
        <v>-6.2754751083236007E-6</v>
      </c>
      <c r="Q345" s="11">
        <f t="shared" ca="1" si="174"/>
        <v>1.2291297114106816E-2</v>
      </c>
      <c r="R345" s="11">
        <f t="shared" ca="1" si="175"/>
        <v>5.2353732584907789E-4</v>
      </c>
      <c r="S345" s="11">
        <f t="shared" ca="1" si="176"/>
        <v>1.0998626475648278E-5</v>
      </c>
      <c r="T345" s="11">
        <f t="shared" ca="1" si="177"/>
        <v>0.2411643850177457</v>
      </c>
      <c r="U345" s="11">
        <f t="shared" ca="1" si="178"/>
        <v>-6.2754751083236007E-6</v>
      </c>
      <c r="V345" s="11">
        <f t="shared" ca="1" si="179"/>
        <v>0.17434178533341824</v>
      </c>
      <c r="W345" s="11">
        <f t="shared" ca="1" si="180"/>
        <v>2.0960482874568651</v>
      </c>
      <c r="X345" s="11"/>
      <c r="Y345" s="2">
        <f t="shared" ca="1" si="181"/>
        <v>3.2581152823680718E-6</v>
      </c>
      <c r="Z345" s="11">
        <f t="shared" ca="1" si="182"/>
        <v>-6.2754751083236007E-6</v>
      </c>
      <c r="AA345" s="2">
        <f t="shared" ca="1" si="183"/>
        <v>1.2291297114106816E-2</v>
      </c>
      <c r="AB345" s="2">
        <f t="shared" ca="1" si="184"/>
        <v>5.2353732584907789E-4</v>
      </c>
      <c r="AC345" s="2">
        <f t="shared" ca="1" si="185"/>
        <v>1.0998626475648278E-5</v>
      </c>
      <c r="AD345" s="2">
        <f t="shared" ca="1" si="186"/>
        <v>0.2411643850177457</v>
      </c>
      <c r="AE345" s="2">
        <f t="shared" ca="1" si="187"/>
        <v>-6.2754751083236007E-6</v>
      </c>
      <c r="AF345" s="2">
        <f t="shared" ca="1" si="188"/>
        <v>0.17434178533341824</v>
      </c>
      <c r="AG345" s="2">
        <f t="shared" ca="1" si="189"/>
        <v>2.0960482874568651</v>
      </c>
      <c r="AI345" s="2">
        <f t="shared" ca="1" si="190"/>
        <v>3.2581152823680718E-6</v>
      </c>
      <c r="AJ345" s="11">
        <f t="shared" ca="1" si="191"/>
        <v>-6.2754751083236007E-6</v>
      </c>
      <c r="AK345" s="2">
        <f t="shared" ca="1" si="192"/>
        <v>1.2291297114106816E-2</v>
      </c>
      <c r="AL345" s="2">
        <f t="shared" ca="1" si="193"/>
        <v>5.2353732584907789E-4</v>
      </c>
      <c r="AM345" s="2">
        <f t="shared" ca="1" si="194"/>
        <v>1.0998626475648278E-5</v>
      </c>
      <c r="AN345" s="2">
        <f t="shared" ca="1" si="195"/>
        <v>0.2411643850177457</v>
      </c>
      <c r="AO345" s="2">
        <f t="shared" ca="1" si="196"/>
        <v>-6.2754751083236007E-6</v>
      </c>
      <c r="AP345" s="2">
        <f t="shared" ca="1" si="197"/>
        <v>0.17434178533341824</v>
      </c>
      <c r="AQ345" s="2">
        <f t="shared" ca="1" si="198"/>
        <v>2.0960482874568651</v>
      </c>
      <c r="AS345" s="2">
        <f t="shared" ca="1" si="199"/>
        <v>8.6913674558647234</v>
      </c>
      <c r="AT345" s="2">
        <f t="shared" ca="1" si="200"/>
        <v>0.40040410607360105</v>
      </c>
      <c r="AU345" s="2">
        <f t="shared" ca="1" si="201"/>
        <v>2.0962649495276362E-4</v>
      </c>
      <c r="AV345" s="2">
        <f t="shared" ca="1" si="202"/>
        <v>0.17413215883846547</v>
      </c>
      <c r="AW345" s="2">
        <f t="shared" ca="1" si="203"/>
        <v>0.70869889964876231</v>
      </c>
      <c r="AX345" s="2">
        <f t="shared" ca="1" si="204"/>
        <v>5.2936004699233589E-2</v>
      </c>
      <c r="AY345" s="9">
        <f t="shared" ca="1" si="205"/>
        <v>0.70869889964876231</v>
      </c>
      <c r="AZ345" s="9">
        <f t="shared" ca="1" si="206"/>
        <v>0.70869889964876231</v>
      </c>
      <c r="BB345" s="2">
        <f t="shared" ca="1" si="207"/>
        <v>8.6913674558647234</v>
      </c>
      <c r="BC345" s="2">
        <f t="shared" ca="1" si="208"/>
        <v>0.40040410607360105</v>
      </c>
      <c r="BD345" s="2">
        <f t="shared" ca="1" si="209"/>
        <v>2.0962649495276362E-4</v>
      </c>
      <c r="BE345" s="2">
        <f t="shared" ca="1" si="210"/>
        <v>0.17413215883846547</v>
      </c>
      <c r="BF345" s="2">
        <f t="shared" ca="1" si="211"/>
        <v>0.70869889964876231</v>
      </c>
      <c r="BG345" s="2">
        <f t="shared" ca="1" si="212"/>
        <v>5.2936004699233589E-2</v>
      </c>
      <c r="BH345" s="2">
        <f t="shared" ca="1" si="213"/>
        <v>0.70869889964876231</v>
      </c>
      <c r="BI345" s="2">
        <f t="shared" ca="1" si="214"/>
        <v>0.70869889964876231</v>
      </c>
    </row>
    <row r="346" spans="1:61" ht="15" x14ac:dyDescent="0.25">
      <c r="A346" s="66">
        <v>280</v>
      </c>
      <c r="B346" s="66">
        <v>1498730267.0009999</v>
      </c>
      <c r="C346" s="67">
        <v>4.5118112393689303E-5</v>
      </c>
      <c r="D346" s="67">
        <v>3.0493245058031099E-5</v>
      </c>
      <c r="E346" s="67">
        <v>1.3130439871137701E-2</v>
      </c>
      <c r="F346" s="67">
        <v>5.4922961435516996E-4</v>
      </c>
      <c r="G346" s="67">
        <v>1.41113819301287E-4</v>
      </c>
      <c r="H346" s="67">
        <v>0.24311367793581601</v>
      </c>
      <c r="I346" s="67">
        <v>3.0493245058031099E-5</v>
      </c>
      <c r="J346" s="67">
        <v>0.17570132822796899</v>
      </c>
      <c r="K346" s="67">
        <v>2.1106045776592199</v>
      </c>
      <c r="L346" s="67"/>
      <c r="M346" s="67"/>
      <c r="O346" s="11">
        <f t="shared" ca="1" si="172"/>
        <v>3.2314181683729275E-5</v>
      </c>
      <c r="P346" s="11">
        <f t="shared" ca="1" si="173"/>
        <v>2.9728144827726357E-5</v>
      </c>
      <c r="Q346" s="11">
        <f t="shared" ca="1" si="174"/>
        <v>1.2293948258869416E-2</v>
      </c>
      <c r="R346" s="11">
        <f t="shared" ca="1" si="175"/>
        <v>5.375831267088228E-4</v>
      </c>
      <c r="S346" s="11">
        <f t="shared" ca="1" si="176"/>
        <v>1.3018616725431689E-4</v>
      </c>
      <c r="T346" s="11">
        <f t="shared" ca="1" si="177"/>
        <v>0.24197512289723372</v>
      </c>
      <c r="U346" s="11">
        <f t="shared" ca="1" si="178"/>
        <v>2.9728144827726357E-5</v>
      </c>
      <c r="V346" s="11">
        <f t="shared" ca="1" si="179"/>
        <v>0.17505113222227522</v>
      </c>
      <c r="W346" s="11">
        <f t="shared" ca="1" si="180"/>
        <v>2.1034817293957149</v>
      </c>
      <c r="X346" s="11"/>
      <c r="Y346" s="2">
        <f t="shared" ca="1" si="181"/>
        <v>3.2314181683729275E-5</v>
      </c>
      <c r="Z346" s="11">
        <f t="shared" ca="1" si="182"/>
        <v>2.9728144827726357E-5</v>
      </c>
      <c r="AA346" s="2">
        <f t="shared" ca="1" si="183"/>
        <v>1.2293720816315683E-2</v>
      </c>
      <c r="AB346" s="2">
        <f t="shared" ca="1" si="184"/>
        <v>5.320779830786744E-4</v>
      </c>
      <c r="AC346" s="2">
        <f t="shared" ca="1" si="185"/>
        <v>1.3018616725431689E-4</v>
      </c>
      <c r="AD346" s="2">
        <f t="shared" ca="1" si="186"/>
        <v>0.2419350878386276</v>
      </c>
      <c r="AE346" s="2">
        <f t="shared" ca="1" si="187"/>
        <v>2.9728144827726357E-5</v>
      </c>
      <c r="AF346" s="2">
        <f t="shared" ca="1" si="188"/>
        <v>0.17499201008117679</v>
      </c>
      <c r="AG346" s="2">
        <f t="shared" ca="1" si="189"/>
        <v>2.1034577390062199</v>
      </c>
      <c r="AI346" s="2">
        <f t="shared" ca="1" si="190"/>
        <v>3.2314181683729275E-5</v>
      </c>
      <c r="AJ346" s="11">
        <f t="shared" ca="1" si="191"/>
        <v>2.9728144827726357E-5</v>
      </c>
      <c r="AK346" s="2">
        <f t="shared" ca="1" si="192"/>
        <v>1.2258647105913401E-2</v>
      </c>
      <c r="AL346" s="2">
        <f t="shared" ca="1" si="193"/>
        <v>5.1566202156935086E-4</v>
      </c>
      <c r="AM346" s="2">
        <f t="shared" ca="1" si="194"/>
        <v>1.3018616725431689E-4</v>
      </c>
      <c r="AN346" s="2">
        <f t="shared" ca="1" si="195"/>
        <v>0.2419350878386276</v>
      </c>
      <c r="AO346" s="2">
        <f t="shared" ca="1" si="196"/>
        <v>2.9728144827726357E-5</v>
      </c>
      <c r="AP346" s="2">
        <f t="shared" ca="1" si="197"/>
        <v>0.17499201008117679</v>
      </c>
      <c r="AQ346" s="2">
        <f t="shared" ca="1" si="198"/>
        <v>2.1034577390062199</v>
      </c>
      <c r="AS346" s="2">
        <f t="shared" ca="1" si="199"/>
        <v>8.6929668810998351</v>
      </c>
      <c r="AT346" s="2">
        <f t="shared" ca="1" si="200"/>
        <v>0.40047868405368864</v>
      </c>
      <c r="AU346" s="2">
        <f t="shared" ca="1" si="201"/>
        <v>2.1529058315381672E-4</v>
      </c>
      <c r="AV346" s="2">
        <f t="shared" ca="1" si="202"/>
        <v>0.17483584163912141</v>
      </c>
      <c r="AW346" s="2">
        <f t="shared" ca="1" si="203"/>
        <v>0.70911300702785052</v>
      </c>
      <c r="AX346" s="2">
        <f t="shared" ca="1" si="204"/>
        <v>5.2779959013716758E-2</v>
      </c>
      <c r="AY346" s="9">
        <f t="shared" ca="1" si="205"/>
        <v>0.70911300702785052</v>
      </c>
      <c r="AZ346" s="9">
        <f t="shared" ca="1" si="206"/>
        <v>0.70911300702785052</v>
      </c>
      <c r="BB346" s="2">
        <f t="shared" ca="1" si="207"/>
        <v>8.6943062198949868</v>
      </c>
      <c r="BC346" s="2">
        <f t="shared" ca="1" si="208"/>
        <v>0.4005411348545036</v>
      </c>
      <c r="BD346" s="2">
        <f t="shared" ca="1" si="209"/>
        <v>2.065438513207553E-4</v>
      </c>
      <c r="BE346" s="2">
        <f t="shared" ca="1" si="210"/>
        <v>0.17478546622985602</v>
      </c>
      <c r="BF346" s="2">
        <f t="shared" ca="1" si="211"/>
        <v>0.70897099309617517</v>
      </c>
      <c r="BG346" s="2">
        <f t="shared" ca="1" si="212"/>
        <v>5.264541263374551E-2</v>
      </c>
      <c r="BH346" s="2">
        <f t="shared" ca="1" si="213"/>
        <v>0.70897099309617517</v>
      </c>
      <c r="BI346" s="2">
        <f t="shared" ca="1" si="214"/>
        <v>0.70897099309617517</v>
      </c>
    </row>
    <row r="347" spans="1:61" ht="15" x14ac:dyDescent="0.25">
      <c r="A347" s="66">
        <v>281</v>
      </c>
      <c r="B347" s="66">
        <v>1498730267.5280001</v>
      </c>
      <c r="C347" s="67">
        <v>-5.24407588318906E-5</v>
      </c>
      <c r="D347" s="67">
        <v>5.8043152426973898E-6</v>
      </c>
      <c r="E347" s="67">
        <v>1.3154300486667599E-2</v>
      </c>
      <c r="F347" s="67">
        <v>3.9783105202761699E-4</v>
      </c>
      <c r="G347" s="67">
        <v>-2.3505744868107501E-5</v>
      </c>
      <c r="H347" s="67">
        <v>0.242946025345777</v>
      </c>
      <c r="I347" s="67">
        <v>5.8043152426973898E-6</v>
      </c>
      <c r="J347" s="67">
        <v>0.175594633406916</v>
      </c>
      <c r="K347" s="67">
        <v>2.11122874827208</v>
      </c>
      <c r="L347" s="67"/>
      <c r="M347" s="67"/>
      <c r="O347" s="11">
        <f t="shared" ca="1" si="172"/>
        <v>-6.5244689541850621E-5</v>
      </c>
      <c r="P347" s="11">
        <f t="shared" ca="1" si="173"/>
        <v>5.0392150123926495E-6</v>
      </c>
      <c r="Q347" s="11">
        <f t="shared" ca="1" si="174"/>
        <v>1.2317808874399315E-2</v>
      </c>
      <c r="R347" s="11">
        <f t="shared" ca="1" si="175"/>
        <v>3.8618456438126988E-4</v>
      </c>
      <c r="S347" s="11">
        <f t="shared" ca="1" si="176"/>
        <v>-3.4433396915077622E-5</v>
      </c>
      <c r="T347" s="11">
        <f t="shared" ca="1" si="177"/>
        <v>0.24180747030719471</v>
      </c>
      <c r="U347" s="11">
        <f t="shared" ca="1" si="178"/>
        <v>5.0392150123926495E-6</v>
      </c>
      <c r="V347" s="11">
        <f t="shared" ca="1" si="179"/>
        <v>0.17494443740122223</v>
      </c>
      <c r="W347" s="11">
        <f t="shared" ca="1" si="180"/>
        <v>2.1041059000085749</v>
      </c>
      <c r="X347" s="11"/>
      <c r="Y347" s="2">
        <f t="shared" ca="1" si="181"/>
        <v>-6.5244689541850621E-5</v>
      </c>
      <c r="Z347" s="11">
        <f t="shared" ca="1" si="182"/>
        <v>5.0392150123926495E-6</v>
      </c>
      <c r="AA347" s="2">
        <f t="shared" ca="1" si="183"/>
        <v>1.2317770320633586E-2</v>
      </c>
      <c r="AB347" s="2">
        <f t="shared" ca="1" si="184"/>
        <v>3.8525138800624939E-4</v>
      </c>
      <c r="AC347" s="2">
        <f t="shared" ca="1" si="185"/>
        <v>-3.4433396915077622E-5</v>
      </c>
      <c r="AD347" s="2">
        <f t="shared" ca="1" si="186"/>
        <v>0.24180068396820453</v>
      </c>
      <c r="AE347" s="2">
        <f t="shared" ca="1" si="187"/>
        <v>5.0392150123926495E-6</v>
      </c>
      <c r="AF347" s="2">
        <f t="shared" ca="1" si="188"/>
        <v>0.17493441561268769</v>
      </c>
      <c r="AG347" s="2">
        <f t="shared" ca="1" si="189"/>
        <v>2.1041018333999251</v>
      </c>
      <c r="AI347" s="2">
        <f t="shared" ca="1" si="190"/>
        <v>-6.5244689541850621E-5</v>
      </c>
      <c r="AJ347" s="11">
        <f t="shared" ca="1" si="191"/>
        <v>5.0392150123926495E-6</v>
      </c>
      <c r="AK347" s="2">
        <f t="shared" ca="1" si="192"/>
        <v>1.2311824979307252E-2</v>
      </c>
      <c r="AL347" s="2">
        <f t="shared" ca="1" si="193"/>
        <v>3.8246871992655507E-4</v>
      </c>
      <c r="AM347" s="2">
        <f t="shared" ca="1" si="194"/>
        <v>-3.4433396915077622E-5</v>
      </c>
      <c r="AN347" s="2">
        <f t="shared" ca="1" si="195"/>
        <v>0.24180068396820453</v>
      </c>
      <c r="AO347" s="2">
        <f t="shared" ca="1" si="196"/>
        <v>5.0392150123926495E-6</v>
      </c>
      <c r="AP347" s="2">
        <f t="shared" ca="1" si="197"/>
        <v>0.17493441561268769</v>
      </c>
      <c r="AQ347" s="2">
        <f t="shared" ca="1" si="198"/>
        <v>2.1041018333999251</v>
      </c>
      <c r="AS347" s="2">
        <f t="shared" ca="1" si="199"/>
        <v>8.701575254625082</v>
      </c>
      <c r="AT347" s="2">
        <f t="shared" ca="1" si="200"/>
        <v>0.40088007804560999</v>
      </c>
      <c r="AU347" s="2">
        <f t="shared" ca="1" si="201"/>
        <v>1.5481369830917335E-4</v>
      </c>
      <c r="AV347" s="2">
        <f t="shared" ca="1" si="202"/>
        <v>0.17478962370291307</v>
      </c>
      <c r="AW347" s="2">
        <f t="shared" ca="1" si="203"/>
        <v>0.70906355470905591</v>
      </c>
      <c r="AX347" s="2">
        <f t="shared" ca="1" si="204"/>
        <v>5.2972684723505178E-2</v>
      </c>
      <c r="AY347" s="9">
        <f t="shared" ca="1" si="205"/>
        <v>0.70906355470905591</v>
      </c>
      <c r="AZ347" s="9">
        <f t="shared" ca="1" si="206"/>
        <v>0.70906355470905591</v>
      </c>
      <c r="BB347" s="2">
        <f t="shared" ca="1" si="207"/>
        <v>8.7018026536128534</v>
      </c>
      <c r="BC347" s="2">
        <f t="shared" ca="1" si="208"/>
        <v>0.40089068134360223</v>
      </c>
      <c r="BD347" s="2">
        <f t="shared" ca="1" si="209"/>
        <v>1.5332814572397203E-4</v>
      </c>
      <c r="BE347" s="2">
        <f t="shared" ca="1" si="210"/>
        <v>0.17478108746696372</v>
      </c>
      <c r="BF347" s="2">
        <f t="shared" ca="1" si="211"/>
        <v>0.70903949430636748</v>
      </c>
      <c r="BG347" s="2">
        <f t="shared" ca="1" si="212"/>
        <v>5.294985288680977E-2</v>
      </c>
      <c r="BH347" s="2">
        <f t="shared" ca="1" si="213"/>
        <v>0.70903949430636748</v>
      </c>
      <c r="BI347" s="2">
        <f t="shared" ca="1" si="214"/>
        <v>0.70903949430636748</v>
      </c>
    </row>
    <row r="348" spans="1:61" ht="15" x14ac:dyDescent="0.25">
      <c r="A348" s="66">
        <v>282</v>
      </c>
      <c r="B348" s="66">
        <v>1498730268.0550001</v>
      </c>
      <c r="C348" s="67">
        <v>4.7244199441543701E-5</v>
      </c>
      <c r="D348" s="67">
        <v>3.0115186407025699E-5</v>
      </c>
      <c r="E348" s="67">
        <v>1.2999578018494501E-2</v>
      </c>
      <c r="F348" s="67">
        <v>4.1615953128405899E-4</v>
      </c>
      <c r="G348" s="67">
        <v>1.1472710297729799E-5</v>
      </c>
      <c r="H348" s="67">
        <v>0.238758481252</v>
      </c>
      <c r="I348" s="67">
        <v>3.0115186407025699E-5</v>
      </c>
      <c r="J348" s="67">
        <v>0.17207124193880999</v>
      </c>
      <c r="K348" s="67">
        <v>2.0702957098518402</v>
      </c>
      <c r="L348" s="67"/>
      <c r="M348" s="67"/>
      <c r="O348" s="11">
        <f t="shared" ca="1" si="172"/>
        <v>3.4440268731583673E-5</v>
      </c>
      <c r="P348" s="11">
        <f t="shared" ca="1" si="173"/>
        <v>2.9350086176720957E-5</v>
      </c>
      <c r="Q348" s="11">
        <f t="shared" ca="1" si="174"/>
        <v>1.2163086406226216E-2</v>
      </c>
      <c r="R348" s="11">
        <f t="shared" ca="1" si="175"/>
        <v>4.0451304363771189E-4</v>
      </c>
      <c r="S348" s="11">
        <f t="shared" ca="1" si="176"/>
        <v>5.4505825075967679E-7</v>
      </c>
      <c r="T348" s="11">
        <f t="shared" ca="1" si="177"/>
        <v>0.23761992621341771</v>
      </c>
      <c r="U348" s="11">
        <f t="shared" ca="1" si="178"/>
        <v>2.9350086176720957E-5</v>
      </c>
      <c r="V348" s="11">
        <f t="shared" ca="1" si="179"/>
        <v>0.17142104593311622</v>
      </c>
      <c r="W348" s="11">
        <f t="shared" ca="1" si="180"/>
        <v>2.0631728615883351</v>
      </c>
      <c r="X348" s="11"/>
      <c r="Y348" s="2">
        <f t="shared" ca="1" si="181"/>
        <v>3.4440268731583673E-5</v>
      </c>
      <c r="Z348" s="11">
        <f t="shared" ca="1" si="182"/>
        <v>2.9350086176720957E-5</v>
      </c>
      <c r="AA348" s="2">
        <f t="shared" ca="1" si="183"/>
        <v>1.2162861856104067E-2</v>
      </c>
      <c r="AB348" s="2">
        <f t="shared" ca="1" si="184"/>
        <v>3.9907790999932266E-4</v>
      </c>
      <c r="AC348" s="2">
        <f t="shared" ca="1" si="185"/>
        <v>5.4505825075967679E-7</v>
      </c>
      <c r="AD348" s="2">
        <f t="shared" ca="1" si="186"/>
        <v>0.23758040028850755</v>
      </c>
      <c r="AE348" s="2">
        <f t="shared" ca="1" si="187"/>
        <v>2.9350086176720957E-5</v>
      </c>
      <c r="AF348" s="2">
        <f t="shared" ca="1" si="188"/>
        <v>0.17136267565988703</v>
      </c>
      <c r="AG348" s="2">
        <f t="shared" ca="1" si="189"/>
        <v>2.0631491762893308</v>
      </c>
      <c r="AI348" s="2">
        <f t="shared" ca="1" si="190"/>
        <v>3.4440268731583673E-5</v>
      </c>
      <c r="AJ348" s="11">
        <f t="shared" ca="1" si="191"/>
        <v>2.9350086176720957E-5</v>
      </c>
      <c r="AK348" s="2">
        <f t="shared" ca="1" si="192"/>
        <v>1.2128234184959103E-2</v>
      </c>
      <c r="AL348" s="2">
        <f t="shared" ca="1" si="193"/>
        <v>3.8287071349363911E-4</v>
      </c>
      <c r="AM348" s="2">
        <f t="shared" ca="1" si="194"/>
        <v>5.4505825075967679E-7</v>
      </c>
      <c r="AN348" s="2">
        <f t="shared" ca="1" si="195"/>
        <v>0.23758040028850755</v>
      </c>
      <c r="AO348" s="2">
        <f t="shared" ca="1" si="196"/>
        <v>2.9350086176720957E-5</v>
      </c>
      <c r="AP348" s="2">
        <f t="shared" ca="1" si="197"/>
        <v>0.17136267565988703</v>
      </c>
      <c r="AQ348" s="2">
        <f t="shared" ca="1" si="198"/>
        <v>2.0631491762893308</v>
      </c>
      <c r="AS348" s="2">
        <f t="shared" ca="1" si="199"/>
        <v>8.6826592974164214</v>
      </c>
      <c r="AT348" s="2">
        <f t="shared" ca="1" si="200"/>
        <v>0.39999806509023561</v>
      </c>
      <c r="AU348" s="2">
        <f t="shared" ca="1" si="201"/>
        <v>1.618044347588468E-4</v>
      </c>
      <c r="AV348" s="2">
        <f t="shared" ca="1" si="202"/>
        <v>0.17125924149835736</v>
      </c>
      <c r="AW348" s="2">
        <f t="shared" ca="1" si="203"/>
        <v>0.70776054022069312</v>
      </c>
      <c r="AX348" s="2">
        <f t="shared" ca="1" si="204"/>
        <v>5.3110706269796561E-2</v>
      </c>
      <c r="AY348" s="9" t="str">
        <f t="shared" ca="1" si="205"/>
        <v>rejected</v>
      </c>
      <c r="AZ348" s="9" t="e">
        <f t="shared" ca="1" si="206"/>
        <v>#N/A</v>
      </c>
      <c r="BB348" s="2">
        <f t="shared" ca="1" si="207"/>
        <v>8.6840041256935763</v>
      </c>
      <c r="BC348" s="2">
        <f t="shared" ca="1" si="208"/>
        <v>0.40006077095303411</v>
      </c>
      <c r="BD348" s="2">
        <f t="shared" ca="1" si="209"/>
        <v>1.531715528156035E-4</v>
      </c>
      <c r="BE348" s="2">
        <f t="shared" ca="1" si="210"/>
        <v>0.17120950410707142</v>
      </c>
      <c r="BF348" s="2">
        <f t="shared" ca="1" si="211"/>
        <v>0.70761751422071451</v>
      </c>
      <c r="BG348" s="2">
        <f t="shared" ca="1" si="212"/>
        <v>5.2975727687989055E-2</v>
      </c>
      <c r="BH348" s="2" t="str">
        <f t="shared" ca="1" si="213"/>
        <v>rejected</v>
      </c>
      <c r="BI348" s="2" t="e">
        <f t="shared" ca="1" si="214"/>
        <v>#N/A</v>
      </c>
    </row>
    <row r="349" spans="1:61" ht="15" x14ac:dyDescent="0.25">
      <c r="A349" s="66">
        <v>283</v>
      </c>
      <c r="B349" s="66">
        <v>1498730268.582</v>
      </c>
      <c r="C349" s="67">
        <v>3.04718587458871E-5</v>
      </c>
      <c r="D349" s="67">
        <v>-6.1686761697508702E-5</v>
      </c>
      <c r="E349" s="67">
        <v>1.2385018920495299E-2</v>
      </c>
      <c r="F349" s="67">
        <v>3.44037717404187E-4</v>
      </c>
      <c r="G349" s="67">
        <v>-8.8581022721881395E-5</v>
      </c>
      <c r="H349" s="67">
        <v>0.22981576450895799</v>
      </c>
      <c r="I349" s="67">
        <v>-6.1686761697508702E-5</v>
      </c>
      <c r="J349" s="67">
        <v>0.16594151800446599</v>
      </c>
      <c r="K349" s="67">
        <v>1.99602487422555</v>
      </c>
      <c r="L349" s="67"/>
      <c r="M349" s="67"/>
      <c r="O349" s="11">
        <f t="shared" ca="1" si="172"/>
        <v>1.7667928035927072E-5</v>
      </c>
      <c r="P349" s="11">
        <f t="shared" ca="1" si="173"/>
        <v>-6.245186192781344E-5</v>
      </c>
      <c r="Q349" s="11">
        <f t="shared" ca="1" si="174"/>
        <v>1.1548527308227014E-2</v>
      </c>
      <c r="R349" s="11">
        <f t="shared" ca="1" si="175"/>
        <v>3.3239122975783989E-4</v>
      </c>
      <c r="S349" s="11">
        <f t="shared" ca="1" si="176"/>
        <v>-9.9508674768851522E-5</v>
      </c>
      <c r="T349" s="11">
        <f t="shared" ca="1" si="177"/>
        <v>0.2286772094703757</v>
      </c>
      <c r="U349" s="11">
        <f t="shared" ca="1" si="178"/>
        <v>-6.245186192781344E-5</v>
      </c>
      <c r="V349" s="11">
        <f t="shared" ca="1" si="179"/>
        <v>0.16529132199877222</v>
      </c>
      <c r="W349" s="11">
        <f t="shared" ca="1" si="180"/>
        <v>1.9889020259620449</v>
      </c>
      <c r="X349" s="11"/>
      <c r="Y349" s="2">
        <f t="shared" ca="1" si="181"/>
        <v>1.7667928035927072E-5</v>
      </c>
      <c r="Z349" s="11">
        <f t="shared" ca="1" si="182"/>
        <v>-6.245186192781344E-5</v>
      </c>
      <c r="AA349" s="2">
        <f t="shared" ca="1" si="183"/>
        <v>1.1548527308227014E-2</v>
      </c>
      <c r="AB349" s="2">
        <f t="shared" ca="1" si="184"/>
        <v>3.3239122975783989E-4</v>
      </c>
      <c r="AC349" s="2">
        <f t="shared" ca="1" si="185"/>
        <v>-9.9508674768851522E-5</v>
      </c>
      <c r="AD349" s="2">
        <f t="shared" ca="1" si="186"/>
        <v>0.2286772094703757</v>
      </c>
      <c r="AE349" s="2">
        <f t="shared" ca="1" si="187"/>
        <v>-6.245186192781344E-5</v>
      </c>
      <c r="AF349" s="2">
        <f t="shared" ca="1" si="188"/>
        <v>0.16529132199877222</v>
      </c>
      <c r="AG349" s="2">
        <f t="shared" ca="1" si="189"/>
        <v>1.9889020259620449</v>
      </c>
      <c r="AI349" s="2">
        <f t="shared" ca="1" si="190"/>
        <v>1.7667928035927072E-5</v>
      </c>
      <c r="AJ349" s="11">
        <f t="shared" ca="1" si="191"/>
        <v>-6.245186192781344E-5</v>
      </c>
      <c r="AK349" s="2">
        <f t="shared" ca="1" si="192"/>
        <v>1.1548527308227014E-2</v>
      </c>
      <c r="AL349" s="2">
        <f t="shared" ca="1" si="193"/>
        <v>3.3239122975783989E-4</v>
      </c>
      <c r="AM349" s="2">
        <f t="shared" ca="1" si="194"/>
        <v>-9.9508674768851522E-5</v>
      </c>
      <c r="AN349" s="2">
        <f t="shared" ca="1" si="195"/>
        <v>0.2286772094703757</v>
      </c>
      <c r="AO349" s="2">
        <f t="shared" ca="1" si="196"/>
        <v>-6.245186192781344E-5</v>
      </c>
      <c r="AP349" s="2">
        <f t="shared" ca="1" si="197"/>
        <v>0.16529132199877222</v>
      </c>
      <c r="AQ349" s="2">
        <f t="shared" ca="1" si="198"/>
        <v>1.9889020259620449</v>
      </c>
      <c r="AS349" s="2">
        <f t="shared" ca="1" si="199"/>
        <v>8.6974212715312138</v>
      </c>
      <c r="AT349" s="2">
        <f t="shared" ca="1" si="200"/>
        <v>0.40068638419272468</v>
      </c>
      <c r="AU349" s="2">
        <f t="shared" ca="1" si="201"/>
        <v>1.3318463998904204E-4</v>
      </c>
      <c r="AV349" s="2">
        <f t="shared" ca="1" si="202"/>
        <v>0.16515813735878318</v>
      </c>
      <c r="AW349" s="2">
        <f t="shared" ca="1" si="203"/>
        <v>0.70863199090762596</v>
      </c>
      <c r="AX349" s="2">
        <f t="shared" ca="1" si="204"/>
        <v>5.2490385517389063E-2</v>
      </c>
      <c r="AY349" s="9">
        <f t="shared" ca="1" si="205"/>
        <v>0.70863199090762596</v>
      </c>
      <c r="AZ349" s="9">
        <f t="shared" ca="1" si="206"/>
        <v>0.70863199090762596</v>
      </c>
      <c r="BB349" s="2">
        <f t="shared" ca="1" si="207"/>
        <v>8.6974212715312138</v>
      </c>
      <c r="BC349" s="2">
        <f t="shared" ca="1" si="208"/>
        <v>0.40068638419272468</v>
      </c>
      <c r="BD349" s="2">
        <f t="shared" ca="1" si="209"/>
        <v>1.3318463998904204E-4</v>
      </c>
      <c r="BE349" s="2">
        <f t="shared" ca="1" si="210"/>
        <v>0.16515813735878318</v>
      </c>
      <c r="BF349" s="2">
        <f t="shared" ca="1" si="211"/>
        <v>0.70863199090762596</v>
      </c>
      <c r="BG349" s="2">
        <f t="shared" ca="1" si="212"/>
        <v>5.2490385517389063E-2</v>
      </c>
      <c r="BH349" s="2">
        <f t="shared" ca="1" si="213"/>
        <v>0.70863199090762596</v>
      </c>
      <c r="BI349" s="2">
        <f t="shared" ca="1" si="214"/>
        <v>0.70863199090762596</v>
      </c>
    </row>
    <row r="350" spans="1:61" ht="15" x14ac:dyDescent="0.25">
      <c r="A350" s="66">
        <v>284</v>
      </c>
      <c r="B350" s="66">
        <v>1498730269.108</v>
      </c>
      <c r="C350" s="67">
        <v>6.3308115497967606E-5</v>
      </c>
      <c r="D350" s="67">
        <v>3.0587759945912002E-5</v>
      </c>
      <c r="E350" s="67">
        <v>1.25167647452782E-2</v>
      </c>
      <c r="F350" s="67">
        <v>4.55197932809704E-4</v>
      </c>
      <c r="G350" s="67">
        <v>-1.09682806315534E-7</v>
      </c>
      <c r="H350" s="67">
        <v>0.22962319729135</v>
      </c>
      <c r="I350" s="67">
        <v>3.0587759945912002E-5</v>
      </c>
      <c r="J350" s="67">
        <v>0.16601436122324101</v>
      </c>
      <c r="K350" s="67">
        <v>1.99405978855726</v>
      </c>
      <c r="L350" s="67"/>
      <c r="M350" s="67"/>
      <c r="O350" s="11">
        <f t="shared" ca="1" si="172"/>
        <v>5.0504184788007578E-5</v>
      </c>
      <c r="P350" s="11">
        <f t="shared" ca="1" si="173"/>
        <v>2.982265971560726E-5</v>
      </c>
      <c r="Q350" s="11">
        <f t="shared" ca="1" si="174"/>
        <v>1.1680273133009915E-2</v>
      </c>
      <c r="R350" s="11">
        <f t="shared" ca="1" si="175"/>
        <v>4.435514451633569E-4</v>
      </c>
      <c r="S350" s="11">
        <f t="shared" ca="1" si="176"/>
        <v>-1.1037334853285656E-5</v>
      </c>
      <c r="T350" s="11">
        <f t="shared" ca="1" si="177"/>
        <v>0.22848464225276771</v>
      </c>
      <c r="U350" s="11">
        <f t="shared" ca="1" si="178"/>
        <v>2.982265971560726E-5</v>
      </c>
      <c r="V350" s="11">
        <f t="shared" ca="1" si="179"/>
        <v>0.16536416521754724</v>
      </c>
      <c r="W350" s="11">
        <f t="shared" ca="1" si="180"/>
        <v>1.9869369402937549</v>
      </c>
      <c r="X350" s="11"/>
      <c r="Y350" s="2">
        <f t="shared" ca="1" si="181"/>
        <v>5.0504184788007578E-5</v>
      </c>
      <c r="Z350" s="11">
        <f t="shared" ca="1" si="182"/>
        <v>2.982265971560726E-5</v>
      </c>
      <c r="AA350" s="2">
        <f t="shared" ca="1" si="183"/>
        <v>1.1680044967346563E-2</v>
      </c>
      <c r="AB350" s="2">
        <f t="shared" ca="1" si="184"/>
        <v>4.3802879899357852E-4</v>
      </c>
      <c r="AC350" s="2">
        <f t="shared" ca="1" si="185"/>
        <v>-1.1037334853285656E-5</v>
      </c>
      <c r="AD350" s="2">
        <f t="shared" ca="1" si="186"/>
        <v>0.22844447991043443</v>
      </c>
      <c r="AE350" s="2">
        <f t="shared" ca="1" si="187"/>
        <v>2.982265971560726E-5</v>
      </c>
      <c r="AF350" s="2">
        <f t="shared" ca="1" si="188"/>
        <v>0.16530485510903378</v>
      </c>
      <c r="AG350" s="2">
        <f t="shared" ca="1" si="189"/>
        <v>1.9869128736314556</v>
      </c>
      <c r="AI350" s="2">
        <f t="shared" ca="1" si="190"/>
        <v>5.0504184788007578E-5</v>
      </c>
      <c r="AJ350" s="11">
        <f t="shared" ca="1" si="191"/>
        <v>2.982265971560726E-5</v>
      </c>
      <c r="AK350" s="2">
        <f t="shared" ca="1" si="192"/>
        <v>1.164485974686434E-2</v>
      </c>
      <c r="AL350" s="2">
        <f t="shared" ca="1" si="193"/>
        <v>4.2156064610902779E-4</v>
      </c>
      <c r="AM350" s="2">
        <f t="shared" ca="1" si="194"/>
        <v>-1.1037334853285656E-5</v>
      </c>
      <c r="AN350" s="2">
        <f t="shared" ca="1" si="195"/>
        <v>0.22844447991043443</v>
      </c>
      <c r="AO350" s="2">
        <f t="shared" ca="1" si="196"/>
        <v>2.982265971560726E-5</v>
      </c>
      <c r="AP350" s="2">
        <f t="shared" ca="1" si="197"/>
        <v>0.16530485510903378</v>
      </c>
      <c r="AQ350" s="2">
        <f t="shared" ca="1" si="198"/>
        <v>1.9869128736314556</v>
      </c>
      <c r="AS350" s="2">
        <f t="shared" ca="1" si="199"/>
        <v>8.6961509565953623</v>
      </c>
      <c r="AT350" s="2">
        <f t="shared" ca="1" si="200"/>
        <v>0.40062715158194179</v>
      </c>
      <c r="AU350" s="2">
        <f t="shared" ca="1" si="201"/>
        <v>1.7769875205584951E-4</v>
      </c>
      <c r="AV350" s="2">
        <f t="shared" ca="1" si="202"/>
        <v>0.1651864664654914</v>
      </c>
      <c r="AW350" s="2">
        <f t="shared" ca="1" si="203"/>
        <v>0.70940305981502294</v>
      </c>
      <c r="AX350" s="2">
        <f t="shared" ca="1" si="204"/>
        <v>5.312599953754793E-2</v>
      </c>
      <c r="AY350" s="9">
        <f t="shared" ca="1" si="205"/>
        <v>0.70940305981502294</v>
      </c>
      <c r="AZ350" s="9">
        <f t="shared" ca="1" si="206"/>
        <v>0.70940305981502294</v>
      </c>
      <c r="BB350" s="2">
        <f t="shared" ca="1" si="207"/>
        <v>8.6975744583999521</v>
      </c>
      <c r="BC350" s="2">
        <f t="shared" ca="1" si="208"/>
        <v>0.40069352704126043</v>
      </c>
      <c r="BD350" s="2">
        <f t="shared" ca="1" si="209"/>
        <v>1.6891662215121894E-4</v>
      </c>
      <c r="BE350" s="2">
        <f t="shared" ca="1" si="210"/>
        <v>0.16513593848688257</v>
      </c>
      <c r="BF350" s="2">
        <f t="shared" ca="1" si="211"/>
        <v>0.70925228019101061</v>
      </c>
      <c r="BG350" s="2">
        <f t="shared" ca="1" si="212"/>
        <v>5.2983111789058367E-2</v>
      </c>
      <c r="BH350" s="2">
        <f t="shared" ca="1" si="213"/>
        <v>0.70925228019101061</v>
      </c>
      <c r="BI350" s="2">
        <f t="shared" ca="1" si="214"/>
        <v>0.70925228019101061</v>
      </c>
    </row>
    <row r="351" spans="1:61" ht="15" x14ac:dyDescent="0.25">
      <c r="A351" s="66">
        <v>285</v>
      </c>
      <c r="B351" s="66">
        <v>1498730269.6359999</v>
      </c>
      <c r="C351" s="67">
        <v>-8.3383578513957995E-5</v>
      </c>
      <c r="D351" s="67">
        <v>-8.1160424228515004E-5</v>
      </c>
      <c r="E351" s="67">
        <v>1.3122727469303701E-2</v>
      </c>
      <c r="F351" s="67">
        <v>3.7974093476547601E-4</v>
      </c>
      <c r="G351" s="67">
        <v>-5.2943022818017303E-5</v>
      </c>
      <c r="H351" s="67">
        <v>0.242426141393738</v>
      </c>
      <c r="I351" s="67">
        <v>-8.1160424228515004E-5</v>
      </c>
      <c r="J351" s="67">
        <v>0.17524878696711399</v>
      </c>
      <c r="K351" s="67">
        <v>2.1043847118388799</v>
      </c>
      <c r="L351" s="67"/>
      <c r="M351" s="67"/>
      <c r="O351" s="11">
        <f t="shared" ca="1" si="172"/>
        <v>-9.6187509223918016E-5</v>
      </c>
      <c r="P351" s="11">
        <f t="shared" ca="1" si="173"/>
        <v>-8.1925524458819742E-5</v>
      </c>
      <c r="Q351" s="11">
        <f t="shared" ca="1" si="174"/>
        <v>1.2286235857035416E-2</v>
      </c>
      <c r="R351" s="11">
        <f t="shared" ca="1" si="175"/>
        <v>3.680944471191289E-4</v>
      </c>
      <c r="S351" s="11">
        <f t="shared" ca="1" si="176"/>
        <v>-6.3870674864987431E-5</v>
      </c>
      <c r="T351" s="11">
        <f t="shared" ca="1" si="177"/>
        <v>0.24128758635515571</v>
      </c>
      <c r="U351" s="11">
        <f t="shared" ca="1" si="178"/>
        <v>-8.1925524458819742E-5</v>
      </c>
      <c r="V351" s="11">
        <f t="shared" ca="1" si="179"/>
        <v>0.17459859096142022</v>
      </c>
      <c r="W351" s="11">
        <f t="shared" ca="1" si="180"/>
        <v>2.0972618635753748</v>
      </c>
      <c r="X351" s="11"/>
      <c r="Y351" s="2">
        <f t="shared" ca="1" si="181"/>
        <v>-9.6187509223918016E-5</v>
      </c>
      <c r="Z351" s="11">
        <f t="shared" ca="1" si="182"/>
        <v>-8.1925524458819742E-5</v>
      </c>
      <c r="AA351" s="2">
        <f t="shared" ca="1" si="183"/>
        <v>1.2286235857035416E-2</v>
      </c>
      <c r="AB351" s="2">
        <f t="shared" ca="1" si="184"/>
        <v>3.680944471191289E-4</v>
      </c>
      <c r="AC351" s="2">
        <f t="shared" ca="1" si="185"/>
        <v>-6.3870674864987431E-5</v>
      </c>
      <c r="AD351" s="2">
        <f t="shared" ca="1" si="186"/>
        <v>0.24128758635515571</v>
      </c>
      <c r="AE351" s="2">
        <f t="shared" ca="1" si="187"/>
        <v>-8.1925524458819742E-5</v>
      </c>
      <c r="AF351" s="2">
        <f t="shared" ca="1" si="188"/>
        <v>0.17459859096142022</v>
      </c>
      <c r="AG351" s="2">
        <f t="shared" ca="1" si="189"/>
        <v>2.0972618635753748</v>
      </c>
      <c r="AI351" s="2">
        <f t="shared" ca="1" si="190"/>
        <v>-9.6187509223918016E-5</v>
      </c>
      <c r="AJ351" s="11">
        <f t="shared" ca="1" si="191"/>
        <v>-8.1925524458819742E-5</v>
      </c>
      <c r="AK351" s="2">
        <f t="shared" ca="1" si="192"/>
        <v>1.2286235857035416E-2</v>
      </c>
      <c r="AL351" s="2">
        <f t="shared" ca="1" si="193"/>
        <v>3.680944471191289E-4</v>
      </c>
      <c r="AM351" s="2">
        <f t="shared" ca="1" si="194"/>
        <v>-6.3870674864987431E-5</v>
      </c>
      <c r="AN351" s="2">
        <f t="shared" ca="1" si="195"/>
        <v>0.24128758635515571</v>
      </c>
      <c r="AO351" s="2">
        <f t="shared" ca="1" si="196"/>
        <v>-8.1925524458819742E-5</v>
      </c>
      <c r="AP351" s="2">
        <f t="shared" ca="1" si="197"/>
        <v>0.17459859096142022</v>
      </c>
      <c r="AQ351" s="2">
        <f t="shared" ca="1" si="198"/>
        <v>2.0972618635753748</v>
      </c>
      <c r="AS351" s="2">
        <f t="shared" ca="1" si="199"/>
        <v>8.6919592311242067</v>
      </c>
      <c r="AT351" s="2">
        <f t="shared" ca="1" si="200"/>
        <v>0.40043169934368472</v>
      </c>
      <c r="AU351" s="2">
        <f t="shared" ca="1" si="201"/>
        <v>1.4739668497888687E-4</v>
      </c>
      <c r="AV351" s="2">
        <f t="shared" ca="1" si="202"/>
        <v>0.17445119427644135</v>
      </c>
      <c r="AW351" s="2">
        <f t="shared" ca="1" si="203"/>
        <v>0.70961048368396673</v>
      </c>
      <c r="AX351" s="2">
        <f t="shared" ca="1" si="204"/>
        <v>5.2890873663745425E-2</v>
      </c>
      <c r="AY351" s="9" t="str">
        <f t="shared" ca="1" si="205"/>
        <v>rejected</v>
      </c>
      <c r="AZ351" s="9" t="e">
        <f t="shared" ca="1" si="206"/>
        <v>#N/A</v>
      </c>
      <c r="BB351" s="2">
        <f t="shared" ca="1" si="207"/>
        <v>8.6919592311242067</v>
      </c>
      <c r="BC351" s="2">
        <f t="shared" ca="1" si="208"/>
        <v>0.40043169934368472</v>
      </c>
      <c r="BD351" s="2">
        <f t="shared" ca="1" si="209"/>
        <v>1.4739668497888687E-4</v>
      </c>
      <c r="BE351" s="2">
        <f t="shared" ca="1" si="210"/>
        <v>0.17445119427644135</v>
      </c>
      <c r="BF351" s="2">
        <f t="shared" ca="1" si="211"/>
        <v>0.70961048368396673</v>
      </c>
      <c r="BG351" s="2">
        <f t="shared" ca="1" si="212"/>
        <v>5.2890873663745425E-2</v>
      </c>
      <c r="BH351" s="2" t="str">
        <f t="shared" ca="1" si="213"/>
        <v>rejected</v>
      </c>
      <c r="BI351" s="2" t="e">
        <f t="shared" ca="1" si="214"/>
        <v>#N/A</v>
      </c>
    </row>
    <row r="352" spans="1:61" ht="15" x14ac:dyDescent="0.25">
      <c r="A352" s="66">
        <v>286</v>
      </c>
      <c r="B352" s="66">
        <v>1498730270.1619999</v>
      </c>
      <c r="C352" s="67">
        <v>2.8335496812268602E-6</v>
      </c>
      <c r="D352" s="67">
        <v>-3.1748873624547902E-5</v>
      </c>
      <c r="E352" s="67">
        <v>1.40401926161643E-2</v>
      </c>
      <c r="F352" s="67">
        <v>4.3829697413083201E-4</v>
      </c>
      <c r="G352" s="67">
        <v>-1.3280104774370099E-4</v>
      </c>
      <c r="H352" s="67">
        <v>0.26197210437312402</v>
      </c>
      <c r="I352" s="67">
        <v>-3.1748873624547902E-5</v>
      </c>
      <c r="J352" s="67">
        <v>0.18906768879364</v>
      </c>
      <c r="K352" s="67">
        <v>2.2714426260084202</v>
      </c>
      <c r="L352" s="67"/>
      <c r="M352" s="67"/>
      <c r="O352" s="11">
        <f t="shared" ca="1" si="172"/>
        <v>-9.9703810287331668E-6</v>
      </c>
      <c r="P352" s="11">
        <f t="shared" ca="1" si="173"/>
        <v>-3.251397385485264E-5</v>
      </c>
      <c r="Q352" s="11">
        <f t="shared" ca="1" si="174"/>
        <v>1.3203701003896015E-2</v>
      </c>
      <c r="R352" s="11">
        <f t="shared" ca="1" si="175"/>
        <v>4.266504864844849E-4</v>
      </c>
      <c r="S352" s="11">
        <f t="shared" ca="1" si="176"/>
        <v>-1.4372869979067111E-4</v>
      </c>
      <c r="T352" s="11">
        <f t="shared" ca="1" si="177"/>
        <v>0.26083354933454173</v>
      </c>
      <c r="U352" s="11">
        <f t="shared" ca="1" si="178"/>
        <v>-3.251397385485264E-5</v>
      </c>
      <c r="V352" s="11">
        <f t="shared" ca="1" si="179"/>
        <v>0.18841749278794623</v>
      </c>
      <c r="W352" s="11">
        <f t="shared" ca="1" si="180"/>
        <v>2.2643197777449151</v>
      </c>
      <c r="X352" s="11"/>
      <c r="Y352" s="2">
        <f t="shared" ca="1" si="181"/>
        <v>-9.9703810287331668E-6</v>
      </c>
      <c r="Z352" s="11">
        <f t="shared" ca="1" si="182"/>
        <v>-3.251397385485264E-5</v>
      </c>
      <c r="AA352" s="2">
        <f t="shared" ca="1" si="183"/>
        <v>1.3203701003896015E-2</v>
      </c>
      <c r="AB352" s="2">
        <f t="shared" ca="1" si="184"/>
        <v>4.266504864844849E-4</v>
      </c>
      <c r="AC352" s="2">
        <f t="shared" ca="1" si="185"/>
        <v>-1.4372869979067111E-4</v>
      </c>
      <c r="AD352" s="2">
        <f t="shared" ca="1" si="186"/>
        <v>0.26083354933454173</v>
      </c>
      <c r="AE352" s="2">
        <f t="shared" ca="1" si="187"/>
        <v>-3.251397385485264E-5</v>
      </c>
      <c r="AF352" s="2">
        <f t="shared" ca="1" si="188"/>
        <v>0.18841749278794623</v>
      </c>
      <c r="AG352" s="2">
        <f t="shared" ca="1" si="189"/>
        <v>2.2643197777449151</v>
      </c>
      <c r="AI352" s="2">
        <f t="shared" ca="1" si="190"/>
        <v>-9.9703810287331668E-6</v>
      </c>
      <c r="AJ352" s="11">
        <f t="shared" ca="1" si="191"/>
        <v>-3.251397385485264E-5</v>
      </c>
      <c r="AK352" s="2">
        <f t="shared" ca="1" si="192"/>
        <v>1.3203701003896015E-2</v>
      </c>
      <c r="AL352" s="2">
        <f t="shared" ca="1" si="193"/>
        <v>4.266504864844849E-4</v>
      </c>
      <c r="AM352" s="2">
        <f t="shared" ca="1" si="194"/>
        <v>-1.4372869979067111E-4</v>
      </c>
      <c r="AN352" s="2">
        <f t="shared" ca="1" si="195"/>
        <v>0.26083354933454173</v>
      </c>
      <c r="AO352" s="2">
        <f t="shared" ca="1" si="196"/>
        <v>-3.251397385485264E-5</v>
      </c>
      <c r="AP352" s="2">
        <f t="shared" ca="1" si="197"/>
        <v>0.18841749278794623</v>
      </c>
      <c r="AQ352" s="2">
        <f t="shared" ca="1" si="198"/>
        <v>2.2643197777449151</v>
      </c>
      <c r="AS352" s="2">
        <f t="shared" ca="1" si="199"/>
        <v>8.6810910004553445</v>
      </c>
      <c r="AT352" s="2">
        <f t="shared" ca="1" si="200"/>
        <v>0.39992493960972225</v>
      </c>
      <c r="AU352" s="2">
        <f t="shared" ca="1" si="201"/>
        <v>1.7062817004176624E-4</v>
      </c>
      <c r="AV352" s="2">
        <f t="shared" ca="1" si="202"/>
        <v>0.18824686461790446</v>
      </c>
      <c r="AW352" s="2">
        <f t="shared" ca="1" si="203"/>
        <v>0.7087923049978706</v>
      </c>
      <c r="AX352" s="2">
        <f t="shared" ca="1" si="204"/>
        <v>5.2513757750184922E-2</v>
      </c>
      <c r="AY352" s="9">
        <f t="shared" ca="1" si="205"/>
        <v>0.7087923049978706</v>
      </c>
      <c r="AZ352" s="9">
        <f t="shared" ca="1" si="206"/>
        <v>0.7087923049978706</v>
      </c>
      <c r="BB352" s="2">
        <f t="shared" ca="1" si="207"/>
        <v>8.6810910004553445</v>
      </c>
      <c r="BC352" s="2">
        <f t="shared" ca="1" si="208"/>
        <v>0.39992493960972225</v>
      </c>
      <c r="BD352" s="2">
        <f t="shared" ca="1" si="209"/>
        <v>1.7062817004176624E-4</v>
      </c>
      <c r="BE352" s="2">
        <f t="shared" ca="1" si="210"/>
        <v>0.18824686461790446</v>
      </c>
      <c r="BF352" s="2">
        <f t="shared" ca="1" si="211"/>
        <v>0.7087923049978706</v>
      </c>
      <c r="BG352" s="2">
        <f t="shared" ca="1" si="212"/>
        <v>5.2513757750184922E-2</v>
      </c>
      <c r="BH352" s="2">
        <f t="shared" ca="1" si="213"/>
        <v>0.7087923049978706</v>
      </c>
      <c r="BI352" s="2">
        <f t="shared" ca="1" si="214"/>
        <v>0.7087923049978706</v>
      </c>
    </row>
    <row r="353" spans="1:61" ht="15" x14ac:dyDescent="0.25">
      <c r="A353" s="66">
        <v>287</v>
      </c>
      <c r="B353" s="66">
        <v>1498730270.6889999</v>
      </c>
      <c r="C353" s="67">
        <v>2.4093719088649999E-5</v>
      </c>
      <c r="D353" s="67">
        <v>-1.5288628748940201E-5</v>
      </c>
      <c r="E353" s="67">
        <v>1.40812025938509E-2</v>
      </c>
      <c r="F353" s="67">
        <v>4.3091777200044898E-4</v>
      </c>
      <c r="G353" s="67">
        <v>1.08658153213674E-4</v>
      </c>
      <c r="H353" s="67">
        <v>0.25924929318283202</v>
      </c>
      <c r="I353" s="67">
        <v>-1.5288628748940201E-5</v>
      </c>
      <c r="J353" s="67">
        <v>0.187254451241431</v>
      </c>
      <c r="K353" s="67">
        <v>2.2515966651278401</v>
      </c>
      <c r="L353" s="67"/>
      <c r="M353" s="67"/>
      <c r="O353" s="11">
        <f t="shared" ca="1" si="172"/>
        <v>1.1289788378689971E-5</v>
      </c>
      <c r="P353" s="11">
        <f t="shared" ca="1" si="173"/>
        <v>-1.6053728979244943E-5</v>
      </c>
      <c r="Q353" s="11">
        <f t="shared" ca="1" si="174"/>
        <v>1.3244710981582615E-2</v>
      </c>
      <c r="R353" s="11">
        <f t="shared" ca="1" si="175"/>
        <v>4.1927128435410187E-4</v>
      </c>
      <c r="S353" s="11">
        <f t="shared" ca="1" si="176"/>
        <v>9.7730501166703868E-5</v>
      </c>
      <c r="T353" s="11">
        <f t="shared" ca="1" si="177"/>
        <v>0.25811073814424973</v>
      </c>
      <c r="U353" s="11">
        <f t="shared" ca="1" si="178"/>
        <v>-1.6053728979244943E-5</v>
      </c>
      <c r="V353" s="11">
        <f t="shared" ca="1" si="179"/>
        <v>0.18660425523573723</v>
      </c>
      <c r="W353" s="11">
        <f t="shared" ca="1" si="180"/>
        <v>2.244473816864335</v>
      </c>
      <c r="X353" s="11"/>
      <c r="Y353" s="2">
        <f t="shared" ca="1" si="181"/>
        <v>1.1289788378689971E-5</v>
      </c>
      <c r="Z353" s="11">
        <f t="shared" ca="1" si="182"/>
        <v>-1.6053728979244943E-5</v>
      </c>
      <c r="AA353" s="2">
        <f t="shared" ca="1" si="183"/>
        <v>1.3244710981582615E-2</v>
      </c>
      <c r="AB353" s="2">
        <f t="shared" ca="1" si="184"/>
        <v>4.1927128435410187E-4</v>
      </c>
      <c r="AC353" s="2">
        <f t="shared" ca="1" si="185"/>
        <v>9.7730501166703868E-5</v>
      </c>
      <c r="AD353" s="2">
        <f t="shared" ca="1" si="186"/>
        <v>0.25811073814424973</v>
      </c>
      <c r="AE353" s="2">
        <f t="shared" ca="1" si="187"/>
        <v>-1.6053728979244943E-5</v>
      </c>
      <c r="AF353" s="2">
        <f t="shared" ca="1" si="188"/>
        <v>0.18660425523573723</v>
      </c>
      <c r="AG353" s="2">
        <f t="shared" ca="1" si="189"/>
        <v>2.244473816864335</v>
      </c>
      <c r="AI353" s="2">
        <f t="shared" ca="1" si="190"/>
        <v>1.1289788378689971E-5</v>
      </c>
      <c r="AJ353" s="11">
        <f t="shared" ca="1" si="191"/>
        <v>-1.6053728979244943E-5</v>
      </c>
      <c r="AK353" s="2">
        <f t="shared" ca="1" si="192"/>
        <v>1.3244710981582615E-2</v>
      </c>
      <c r="AL353" s="2">
        <f t="shared" ca="1" si="193"/>
        <v>4.1927128435410187E-4</v>
      </c>
      <c r="AM353" s="2">
        <f t="shared" ca="1" si="194"/>
        <v>9.7730501166703868E-5</v>
      </c>
      <c r="AN353" s="2">
        <f t="shared" ca="1" si="195"/>
        <v>0.25811073814424973</v>
      </c>
      <c r="AO353" s="2">
        <f t="shared" ca="1" si="196"/>
        <v>-1.6053728979244943E-5</v>
      </c>
      <c r="AP353" s="2">
        <f t="shared" ca="1" si="197"/>
        <v>0.18660425523573723</v>
      </c>
      <c r="AQ353" s="2">
        <f t="shared" ca="1" si="198"/>
        <v>2.244473816864335</v>
      </c>
      <c r="AS353" s="2">
        <f t="shared" ca="1" si="199"/>
        <v>8.6957785367688629</v>
      </c>
      <c r="AT353" s="2">
        <f t="shared" ca="1" si="200"/>
        <v>0.40060978630287741</v>
      </c>
      <c r="AU353" s="2">
        <f t="shared" ca="1" si="201"/>
        <v>1.679641796280297E-4</v>
      </c>
      <c r="AV353" s="2">
        <f t="shared" ca="1" si="202"/>
        <v>0.1864362910561092</v>
      </c>
      <c r="AW353" s="2">
        <f t="shared" ca="1" si="203"/>
        <v>0.70877657612155476</v>
      </c>
      <c r="AX353" s="2">
        <f t="shared" ca="1" si="204"/>
        <v>5.3324711047077658E-2</v>
      </c>
      <c r="AY353" s="9">
        <f t="shared" ca="1" si="205"/>
        <v>0.70877657612155476</v>
      </c>
      <c r="AZ353" s="9">
        <f t="shared" ca="1" si="206"/>
        <v>0.70877657612155476</v>
      </c>
      <c r="BB353" s="2">
        <f t="shared" ca="1" si="207"/>
        <v>8.6957785367688629</v>
      </c>
      <c r="BC353" s="2">
        <f t="shared" ca="1" si="208"/>
        <v>0.40060978630287741</v>
      </c>
      <c r="BD353" s="2">
        <f t="shared" ca="1" si="209"/>
        <v>1.679641796280297E-4</v>
      </c>
      <c r="BE353" s="2">
        <f t="shared" ca="1" si="210"/>
        <v>0.1864362910561092</v>
      </c>
      <c r="BF353" s="2">
        <f t="shared" ca="1" si="211"/>
        <v>0.70877657612155476</v>
      </c>
      <c r="BG353" s="2">
        <f t="shared" ca="1" si="212"/>
        <v>5.3324711047077658E-2</v>
      </c>
      <c r="BH353" s="2">
        <f t="shared" ca="1" si="213"/>
        <v>0.70877657612155476</v>
      </c>
      <c r="BI353" s="2">
        <f t="shared" ca="1" si="214"/>
        <v>0.70877657612155476</v>
      </c>
    </row>
    <row r="354" spans="1:61" ht="15" x14ac:dyDescent="0.25">
      <c r="A354" s="66">
        <v>288</v>
      </c>
      <c r="B354" s="66">
        <v>1498730271.2160001</v>
      </c>
      <c r="C354" s="67">
        <v>2.3511577347360301E-7</v>
      </c>
      <c r="D354" s="67">
        <v>2.3554420332809001E-6</v>
      </c>
      <c r="E354" s="67">
        <v>1.41977282460408E-2</v>
      </c>
      <c r="F354" s="67">
        <v>4.6019686271229202E-4</v>
      </c>
      <c r="G354" s="67">
        <v>-3.3816984959098598E-6</v>
      </c>
      <c r="H354" s="67">
        <v>0.26125114290176099</v>
      </c>
      <c r="I354" s="67">
        <v>2.3554420332809001E-6</v>
      </c>
      <c r="J354" s="67">
        <v>0.18871494388173099</v>
      </c>
      <c r="K354" s="67">
        <v>2.2669698989892901</v>
      </c>
      <c r="L354" s="67"/>
      <c r="M354" s="67"/>
      <c r="O354" s="11">
        <f t="shared" ca="1" si="172"/>
        <v>-1.2568814936486425E-5</v>
      </c>
      <c r="P354" s="11">
        <f t="shared" ca="1" si="173"/>
        <v>1.5903418029761598E-6</v>
      </c>
      <c r="Q354" s="11">
        <f t="shared" ca="1" si="174"/>
        <v>1.3361236633772516E-2</v>
      </c>
      <c r="R354" s="11">
        <f t="shared" ca="1" si="175"/>
        <v>4.4855037506594492E-4</v>
      </c>
      <c r="S354" s="11">
        <f t="shared" ca="1" si="176"/>
        <v>-1.4309350542879983E-5</v>
      </c>
      <c r="T354" s="11">
        <f t="shared" ca="1" si="177"/>
        <v>0.2601125878631787</v>
      </c>
      <c r="U354" s="11">
        <f t="shared" ca="1" si="178"/>
        <v>1.5903418029761598E-6</v>
      </c>
      <c r="V354" s="11">
        <f t="shared" ca="1" si="179"/>
        <v>0.18806474787603722</v>
      </c>
      <c r="W354" s="11">
        <f t="shared" ca="1" si="180"/>
        <v>2.2598470507257851</v>
      </c>
      <c r="X354" s="11"/>
      <c r="Y354" s="2">
        <f t="shared" ca="1" si="181"/>
        <v>-1.2568814936486425E-5</v>
      </c>
      <c r="Z354" s="11">
        <f t="shared" ca="1" si="182"/>
        <v>1.5903418029761598E-6</v>
      </c>
      <c r="AA354" s="2">
        <f t="shared" ca="1" si="183"/>
        <v>1.3361224466467658E-2</v>
      </c>
      <c r="AB354" s="2">
        <f t="shared" ca="1" si="184"/>
        <v>4.4825587098245272E-4</v>
      </c>
      <c r="AC354" s="2">
        <f t="shared" ca="1" si="185"/>
        <v>-1.4309350542879983E-5</v>
      </c>
      <c r="AD354" s="2">
        <f t="shared" ca="1" si="186"/>
        <v>0.26011044614099404</v>
      </c>
      <c r="AE354" s="2">
        <f t="shared" ca="1" si="187"/>
        <v>1.5903418029761598E-6</v>
      </c>
      <c r="AF354" s="2">
        <f t="shared" ca="1" si="188"/>
        <v>0.18806158506809831</v>
      </c>
      <c r="AG354" s="2">
        <f t="shared" ca="1" si="189"/>
        <v>2.2598457673319001</v>
      </c>
      <c r="AI354" s="2">
        <f t="shared" ca="1" si="190"/>
        <v>-1.2568814936486425E-5</v>
      </c>
      <c r="AJ354" s="11">
        <f t="shared" ca="1" si="191"/>
        <v>1.5903418029761598E-6</v>
      </c>
      <c r="AK354" s="2">
        <f t="shared" ca="1" si="192"/>
        <v>1.3359348157395515E-2</v>
      </c>
      <c r="AL354" s="2">
        <f t="shared" ca="1" si="193"/>
        <v>4.4737767996260895E-4</v>
      </c>
      <c r="AM354" s="2">
        <f t="shared" ca="1" si="194"/>
        <v>-1.4309350542879983E-5</v>
      </c>
      <c r="AN354" s="2">
        <f t="shared" ca="1" si="195"/>
        <v>0.26011044614099404</v>
      </c>
      <c r="AO354" s="2">
        <f t="shared" ca="1" si="196"/>
        <v>1.5903418029761598E-6</v>
      </c>
      <c r="AP354" s="2">
        <f t="shared" ca="1" si="197"/>
        <v>0.18806158506809831</v>
      </c>
      <c r="AQ354" s="2">
        <f t="shared" ca="1" si="198"/>
        <v>2.2598457673319001</v>
      </c>
      <c r="AS354" s="2">
        <f t="shared" ca="1" si="199"/>
        <v>8.6879572776173468</v>
      </c>
      <c r="AT354" s="2">
        <f t="shared" ca="1" si="200"/>
        <v>0.40024509688029319</v>
      </c>
      <c r="AU354" s="2">
        <f t="shared" ca="1" si="201"/>
        <v>1.7953008832396098E-4</v>
      </c>
      <c r="AV354" s="2">
        <f t="shared" ca="1" si="202"/>
        <v>0.18788521778771325</v>
      </c>
      <c r="AW354" s="2">
        <f t="shared" ca="1" si="203"/>
        <v>0.70910903442529838</v>
      </c>
      <c r="AX354" s="2">
        <f t="shared" ca="1" si="204"/>
        <v>5.3330726921935606E-2</v>
      </c>
      <c r="AY354" s="9">
        <f t="shared" ca="1" si="205"/>
        <v>0.70910903442529838</v>
      </c>
      <c r="AZ354" s="9">
        <f t="shared" ca="1" si="206"/>
        <v>0.70910903442529838</v>
      </c>
      <c r="BB354" s="2">
        <f t="shared" ca="1" si="207"/>
        <v>8.6880238793137146</v>
      </c>
      <c r="BC354" s="2">
        <f t="shared" ca="1" si="208"/>
        <v>0.4002482023652652</v>
      </c>
      <c r="BD354" s="2">
        <f t="shared" ca="1" si="209"/>
        <v>1.7906211218337716E-4</v>
      </c>
      <c r="BE354" s="2">
        <f t="shared" ca="1" si="210"/>
        <v>0.18788252295591493</v>
      </c>
      <c r="BF354" s="2">
        <f t="shared" ca="1" si="211"/>
        <v>0.70910196483431587</v>
      </c>
      <c r="BG354" s="2">
        <f t="shared" ca="1" si="212"/>
        <v>5.3324046499894764E-2</v>
      </c>
      <c r="BH354" s="2">
        <f t="shared" ca="1" si="213"/>
        <v>0.70910196483431587</v>
      </c>
      <c r="BI354" s="2">
        <f t="shared" ca="1" si="214"/>
        <v>0.70910196483431587</v>
      </c>
    </row>
    <row r="355" spans="1:61" ht="15" x14ac:dyDescent="0.25">
      <c r="A355" s="66">
        <v>289</v>
      </c>
      <c r="B355" s="66">
        <v>1498730271.743</v>
      </c>
      <c r="C355" s="67">
        <v>5.1957682297995899E-6</v>
      </c>
      <c r="D355" s="67">
        <v>1.7970818860375902E-5</v>
      </c>
      <c r="E355" s="67">
        <v>1.3697221289199899E-2</v>
      </c>
      <c r="F355" s="67">
        <v>4.7852648639766401E-4</v>
      </c>
      <c r="G355" s="67">
        <v>1.9221122453811799E-4</v>
      </c>
      <c r="H355" s="67">
        <v>0.25283935692486798</v>
      </c>
      <c r="I355" s="67">
        <v>1.7970818860375902E-5</v>
      </c>
      <c r="J355" s="67">
        <v>0.18270571201126801</v>
      </c>
      <c r="K355" s="67">
        <v>2.1966309128105999</v>
      </c>
      <c r="L355" s="67"/>
      <c r="M355" s="67"/>
      <c r="O355" s="11">
        <f t="shared" ca="1" si="172"/>
        <v>-7.6081624801604379E-6</v>
      </c>
      <c r="P355" s="11">
        <f t="shared" ca="1" si="173"/>
        <v>1.720571863007116E-5</v>
      </c>
      <c r="Q355" s="11">
        <f t="shared" ca="1" si="174"/>
        <v>1.2860729676931614E-2</v>
      </c>
      <c r="R355" s="11">
        <f t="shared" ca="1" si="175"/>
        <v>4.6687999875131691E-4</v>
      </c>
      <c r="S355" s="11">
        <f t="shared" ca="1" si="176"/>
        <v>1.8128357249114788E-4</v>
      </c>
      <c r="T355" s="11">
        <f t="shared" ca="1" si="177"/>
        <v>0.25170080188628569</v>
      </c>
      <c r="U355" s="11">
        <f t="shared" ca="1" si="178"/>
        <v>1.720571863007116E-5</v>
      </c>
      <c r="V355" s="11">
        <f t="shared" ca="1" si="179"/>
        <v>0.18205551600557424</v>
      </c>
      <c r="W355" s="11">
        <f t="shared" ca="1" si="180"/>
        <v>2.1895080645470948</v>
      </c>
      <c r="X355" s="11"/>
      <c r="Y355" s="2">
        <f t="shared" ca="1" si="181"/>
        <v>-7.6081624801604379E-6</v>
      </c>
      <c r="Z355" s="11">
        <f t="shared" ca="1" si="182"/>
        <v>1.720571863007116E-5</v>
      </c>
      <c r="AA355" s="2">
        <f t="shared" ca="1" si="183"/>
        <v>1.2860598040308922E-2</v>
      </c>
      <c r="AB355" s="2">
        <f t="shared" ca="1" si="184"/>
        <v>4.6369379413386223E-4</v>
      </c>
      <c r="AC355" s="2">
        <f t="shared" ca="1" si="185"/>
        <v>1.8128357249114788E-4</v>
      </c>
      <c r="AD355" s="2">
        <f t="shared" ca="1" si="186"/>
        <v>0.25167763084895028</v>
      </c>
      <c r="AE355" s="2">
        <f t="shared" ca="1" si="187"/>
        <v>1.720571863007116E-5</v>
      </c>
      <c r="AF355" s="2">
        <f t="shared" ca="1" si="188"/>
        <v>0.18202129796302763</v>
      </c>
      <c r="AG355" s="2">
        <f t="shared" ca="1" si="189"/>
        <v>2.1894941796614464</v>
      </c>
      <c r="AI355" s="2">
        <f t="shared" ca="1" si="190"/>
        <v>-7.6081624801604379E-6</v>
      </c>
      <c r="AJ355" s="11">
        <f t="shared" ca="1" si="191"/>
        <v>1.720571863007116E-5</v>
      </c>
      <c r="AK355" s="2">
        <f t="shared" ca="1" si="192"/>
        <v>1.2840298475839246E-2</v>
      </c>
      <c r="AL355" s="2">
        <f t="shared" ca="1" si="193"/>
        <v>4.5419275004220165E-4</v>
      </c>
      <c r="AM355" s="2">
        <f t="shared" ca="1" si="194"/>
        <v>1.8128357249114788E-4</v>
      </c>
      <c r="AN355" s="2">
        <f t="shared" ca="1" si="195"/>
        <v>0.25167763084895028</v>
      </c>
      <c r="AO355" s="2">
        <f t="shared" ca="1" si="196"/>
        <v>1.720571863007116E-5</v>
      </c>
      <c r="AP355" s="2">
        <f t="shared" ca="1" si="197"/>
        <v>0.18202129796302763</v>
      </c>
      <c r="AQ355" s="2">
        <f t="shared" ca="1" si="198"/>
        <v>2.1894941796614464</v>
      </c>
      <c r="AS355" s="2">
        <f t="shared" ca="1" si="199"/>
        <v>8.6988521615289844</v>
      </c>
      <c r="AT355" s="2">
        <f t="shared" ca="1" si="200"/>
        <v>0.4007531042694164</v>
      </c>
      <c r="AU355" s="2">
        <f t="shared" ca="1" si="201"/>
        <v>1.871036088208915E-4</v>
      </c>
      <c r="AV355" s="2">
        <f t="shared" ca="1" si="202"/>
        <v>0.18186841239675333</v>
      </c>
      <c r="AW355" s="2">
        <f t="shared" ca="1" si="203"/>
        <v>0.70889246482150459</v>
      </c>
      <c r="AX355" s="2">
        <f t="shared" ca="1" si="204"/>
        <v>5.3116586328842433E-2</v>
      </c>
      <c r="AY355" s="9">
        <f t="shared" ca="1" si="205"/>
        <v>0.70889246482150459</v>
      </c>
      <c r="AZ355" s="9">
        <f t="shared" ca="1" si="206"/>
        <v>0.70889246482150459</v>
      </c>
      <c r="BB355" s="2">
        <f t="shared" ca="1" si="207"/>
        <v>8.6995978636477158</v>
      </c>
      <c r="BC355" s="2">
        <f t="shared" ca="1" si="208"/>
        <v>0.40078787520088321</v>
      </c>
      <c r="BD355" s="2">
        <f t="shared" ca="1" si="209"/>
        <v>1.8203494722105986E-4</v>
      </c>
      <c r="BE355" s="2">
        <f t="shared" ca="1" si="210"/>
        <v>0.18183926301580658</v>
      </c>
      <c r="BF355" s="2">
        <f t="shared" ca="1" si="211"/>
        <v>0.70881350119096742</v>
      </c>
      <c r="BG355" s="2">
        <f t="shared" ca="1" si="212"/>
        <v>5.3041737408489588E-2</v>
      </c>
      <c r="BH355" s="2">
        <f t="shared" ca="1" si="213"/>
        <v>0.70881350119096742</v>
      </c>
      <c r="BI355" s="2">
        <f t="shared" ca="1" si="214"/>
        <v>0.70881350119096742</v>
      </c>
    </row>
    <row r="356" spans="1:61" ht="15" x14ac:dyDescent="0.25">
      <c r="A356" s="66">
        <v>290</v>
      </c>
      <c r="B356" s="66">
        <v>1498730272.27</v>
      </c>
      <c r="C356" s="67">
        <v>5.9044348909844097E-6</v>
      </c>
      <c r="D356" s="67">
        <v>-1.9672913215475398E-6</v>
      </c>
      <c r="E356" s="67">
        <v>1.35416924397684E-2</v>
      </c>
      <c r="F356" s="67">
        <v>4.3924913321524901E-4</v>
      </c>
      <c r="G356" s="67">
        <v>-3.21895944240182E-5</v>
      </c>
      <c r="H356" s="67">
        <v>0.25037581440102102</v>
      </c>
      <c r="I356" s="67">
        <v>-1.9672913215475398E-6</v>
      </c>
      <c r="J356" s="67">
        <v>0.180804212671449</v>
      </c>
      <c r="K356" s="67">
        <v>2.17313097970223</v>
      </c>
      <c r="L356" s="67"/>
      <c r="M356" s="67"/>
      <c r="O356" s="11">
        <f t="shared" ca="1" si="172"/>
        <v>-6.8994958189756181E-6</v>
      </c>
      <c r="P356" s="11">
        <f t="shared" ca="1" si="173"/>
        <v>-2.7323915518522801E-6</v>
      </c>
      <c r="Q356" s="11">
        <f t="shared" ca="1" si="174"/>
        <v>1.2705200827500115E-2</v>
      </c>
      <c r="R356" s="11">
        <f t="shared" ca="1" si="175"/>
        <v>4.276026455689019E-4</v>
      </c>
      <c r="S356" s="11">
        <f t="shared" ca="1" si="176"/>
        <v>-4.311724647098832E-5</v>
      </c>
      <c r="T356" s="11">
        <f t="shared" ca="1" si="177"/>
        <v>0.24923725936243873</v>
      </c>
      <c r="U356" s="11">
        <f t="shared" ca="1" si="178"/>
        <v>-2.7323915518522801E-6</v>
      </c>
      <c r="V356" s="11">
        <f t="shared" ca="1" si="179"/>
        <v>0.18015401666575523</v>
      </c>
      <c r="W356" s="11">
        <f t="shared" ca="1" si="180"/>
        <v>2.1660081314387249</v>
      </c>
      <c r="X356" s="11"/>
      <c r="Y356" s="2">
        <f t="shared" ca="1" si="181"/>
        <v>-6.8994958189756181E-6</v>
      </c>
      <c r="Z356" s="11">
        <f t="shared" ca="1" si="182"/>
        <v>-2.7323915518522801E-6</v>
      </c>
      <c r="AA356" s="2">
        <f t="shared" ca="1" si="183"/>
        <v>1.2705200827500115E-2</v>
      </c>
      <c r="AB356" s="2">
        <f t="shared" ca="1" si="184"/>
        <v>4.276026455689019E-4</v>
      </c>
      <c r="AC356" s="2">
        <f t="shared" ca="1" si="185"/>
        <v>-4.311724647098832E-5</v>
      </c>
      <c r="AD356" s="2">
        <f t="shared" ca="1" si="186"/>
        <v>0.24923725936243873</v>
      </c>
      <c r="AE356" s="2">
        <f t="shared" ca="1" si="187"/>
        <v>-2.7323915518522801E-6</v>
      </c>
      <c r="AF356" s="2">
        <f t="shared" ca="1" si="188"/>
        <v>0.18015401666575523</v>
      </c>
      <c r="AG356" s="2">
        <f t="shared" ca="1" si="189"/>
        <v>2.1660081314387249</v>
      </c>
      <c r="AI356" s="2">
        <f t="shared" ca="1" si="190"/>
        <v>-6.8994958189756181E-6</v>
      </c>
      <c r="AJ356" s="11">
        <f t="shared" ca="1" si="191"/>
        <v>-2.7323915518522801E-6</v>
      </c>
      <c r="AK356" s="2">
        <f t="shared" ca="1" si="192"/>
        <v>1.2705200827500115E-2</v>
      </c>
      <c r="AL356" s="2">
        <f t="shared" ca="1" si="193"/>
        <v>4.276026455689019E-4</v>
      </c>
      <c r="AM356" s="2">
        <f t="shared" ca="1" si="194"/>
        <v>-4.311724647098832E-5</v>
      </c>
      <c r="AN356" s="2">
        <f t="shared" ca="1" si="195"/>
        <v>0.24923725936243873</v>
      </c>
      <c r="AO356" s="2">
        <f t="shared" ca="1" si="196"/>
        <v>-2.7323915518522801E-6</v>
      </c>
      <c r="AP356" s="2">
        <f t="shared" ca="1" si="197"/>
        <v>0.18015401666575523</v>
      </c>
      <c r="AQ356" s="2">
        <f t="shared" ca="1" si="198"/>
        <v>2.1660081314387249</v>
      </c>
      <c r="AS356" s="2">
        <f t="shared" ca="1" si="199"/>
        <v>8.6905470593741931</v>
      </c>
      <c r="AT356" s="2">
        <f t="shared" ca="1" si="200"/>
        <v>0.40036585270077013</v>
      </c>
      <c r="AU356" s="2">
        <f t="shared" ca="1" si="201"/>
        <v>1.7119749781029859E-4</v>
      </c>
      <c r="AV356" s="2">
        <f t="shared" ca="1" si="202"/>
        <v>0.17998281916794492</v>
      </c>
      <c r="AW356" s="2">
        <f t="shared" ca="1" si="203"/>
        <v>0.70881789672143458</v>
      </c>
      <c r="AX356" s="2">
        <f t="shared" ca="1" si="204"/>
        <v>5.2941133222631755E-2</v>
      </c>
      <c r="AY356" s="9">
        <f t="shared" ca="1" si="205"/>
        <v>0.70881789672143458</v>
      </c>
      <c r="AZ356" s="9">
        <f t="shared" ca="1" si="206"/>
        <v>0.70881789672143458</v>
      </c>
      <c r="BB356" s="2">
        <f t="shared" ca="1" si="207"/>
        <v>8.6905470593741931</v>
      </c>
      <c r="BC356" s="2">
        <f t="shared" ca="1" si="208"/>
        <v>0.40036585270077013</v>
      </c>
      <c r="BD356" s="2">
        <f t="shared" ca="1" si="209"/>
        <v>1.7119749781029859E-4</v>
      </c>
      <c r="BE356" s="2">
        <f t="shared" ca="1" si="210"/>
        <v>0.17998281916794492</v>
      </c>
      <c r="BF356" s="2">
        <f t="shared" ca="1" si="211"/>
        <v>0.70881789672143458</v>
      </c>
      <c r="BG356" s="2">
        <f t="shared" ca="1" si="212"/>
        <v>5.2941133222631755E-2</v>
      </c>
      <c r="BH356" s="2">
        <f t="shared" ca="1" si="213"/>
        <v>0.70881789672143458</v>
      </c>
      <c r="BI356" s="2">
        <f t="shared" ca="1" si="214"/>
        <v>0.70881789672143458</v>
      </c>
    </row>
    <row r="357" spans="1:61" ht="15" x14ac:dyDescent="0.25">
      <c r="A357" s="66">
        <v>291</v>
      </c>
      <c r="B357" s="66">
        <v>1498730272.7969999</v>
      </c>
      <c r="C357" s="67">
        <v>-8.2674975119891397E-5</v>
      </c>
      <c r="D357" s="67">
        <v>-6.6677547456872304E-6</v>
      </c>
      <c r="E357" s="67">
        <v>1.36345246133535E-2</v>
      </c>
      <c r="F357" s="67">
        <v>4.6067295257919301E-4</v>
      </c>
      <c r="G357" s="67">
        <v>2.0183940410310401E-5</v>
      </c>
      <c r="H357" s="67">
        <v>0.25253370166783401</v>
      </c>
      <c r="I357" s="67">
        <v>-6.6677547456872304E-6</v>
      </c>
      <c r="J357" s="67">
        <v>0.18237896345197099</v>
      </c>
      <c r="K357" s="67">
        <v>2.19397904178423</v>
      </c>
      <c r="L357" s="67"/>
      <c r="M357" s="67"/>
      <c r="O357" s="11">
        <f t="shared" ca="1" si="172"/>
        <v>-9.5478905829851418E-5</v>
      </c>
      <c r="P357" s="11">
        <f t="shared" ca="1" si="173"/>
        <v>-7.4328549759919707E-6</v>
      </c>
      <c r="Q357" s="11">
        <f t="shared" ca="1" si="174"/>
        <v>1.2798033001085216E-2</v>
      </c>
      <c r="R357" s="11">
        <f t="shared" ca="1" si="175"/>
        <v>4.4902646493284591E-4</v>
      </c>
      <c r="S357" s="11">
        <f t="shared" ca="1" si="176"/>
        <v>9.2562883633402786E-6</v>
      </c>
      <c r="T357" s="11">
        <f t="shared" ca="1" si="177"/>
        <v>0.25139514662925172</v>
      </c>
      <c r="U357" s="11">
        <f t="shared" ca="1" si="178"/>
        <v>-7.4328549759919707E-6</v>
      </c>
      <c r="V357" s="11">
        <f t="shared" ca="1" si="179"/>
        <v>0.18172876744627722</v>
      </c>
      <c r="W357" s="11">
        <f t="shared" ca="1" si="180"/>
        <v>2.1868561935207249</v>
      </c>
      <c r="X357" s="11"/>
      <c r="Y357" s="2">
        <f t="shared" ca="1" si="181"/>
        <v>-9.5478905829851418E-5</v>
      </c>
      <c r="Z357" s="11">
        <f t="shared" ca="1" si="182"/>
        <v>-7.4328549759919707E-6</v>
      </c>
      <c r="AA357" s="2">
        <f t="shared" ca="1" si="183"/>
        <v>1.2798033001085216E-2</v>
      </c>
      <c r="AB357" s="2">
        <f t="shared" ca="1" si="184"/>
        <v>4.4902646493284591E-4</v>
      </c>
      <c r="AC357" s="2">
        <f t="shared" ca="1" si="185"/>
        <v>9.2562883633402786E-6</v>
      </c>
      <c r="AD357" s="2">
        <f t="shared" ca="1" si="186"/>
        <v>0.25139514662925172</v>
      </c>
      <c r="AE357" s="2">
        <f t="shared" ca="1" si="187"/>
        <v>-7.4328549759919707E-6</v>
      </c>
      <c r="AF357" s="2">
        <f t="shared" ca="1" si="188"/>
        <v>0.18172876744627722</v>
      </c>
      <c r="AG357" s="2">
        <f t="shared" ca="1" si="189"/>
        <v>2.1868561935207249</v>
      </c>
      <c r="AI357" s="2">
        <f t="shared" ca="1" si="190"/>
        <v>-9.5478905829851418E-5</v>
      </c>
      <c r="AJ357" s="11">
        <f t="shared" ca="1" si="191"/>
        <v>-7.4328549759919707E-6</v>
      </c>
      <c r="AK357" s="2">
        <f t="shared" ca="1" si="192"/>
        <v>1.2798033001085216E-2</v>
      </c>
      <c r="AL357" s="2">
        <f t="shared" ca="1" si="193"/>
        <v>4.4902646493284591E-4</v>
      </c>
      <c r="AM357" s="2">
        <f t="shared" ca="1" si="194"/>
        <v>9.2562883633402786E-6</v>
      </c>
      <c r="AN357" s="2">
        <f t="shared" ca="1" si="195"/>
        <v>0.25139514662925172</v>
      </c>
      <c r="AO357" s="2">
        <f t="shared" ca="1" si="196"/>
        <v>-7.4328549759919707E-6</v>
      </c>
      <c r="AP357" s="2">
        <f t="shared" ca="1" si="197"/>
        <v>0.18172876744627722</v>
      </c>
      <c r="AQ357" s="2">
        <f t="shared" ca="1" si="198"/>
        <v>2.1868561935207249</v>
      </c>
      <c r="AS357" s="2">
        <f t="shared" ca="1" si="199"/>
        <v>8.6988799220766957</v>
      </c>
      <c r="AT357" s="2">
        <f t="shared" ca="1" si="200"/>
        <v>0.40075439869998664</v>
      </c>
      <c r="AU357" s="2">
        <f t="shared" ca="1" si="201"/>
        <v>1.7994933095454331E-4</v>
      </c>
      <c r="AV357" s="2">
        <f t="shared" ca="1" si="202"/>
        <v>0.18154881811532267</v>
      </c>
      <c r="AW357" s="2">
        <f t="shared" ca="1" si="203"/>
        <v>0.70850598379669916</v>
      </c>
      <c r="AX357" s="2">
        <f t="shared" ca="1" si="204"/>
        <v>5.2922079450596508E-2</v>
      </c>
      <c r="AY357" s="9">
        <f t="shared" ca="1" si="205"/>
        <v>0.70850598379669916</v>
      </c>
      <c r="AZ357" s="9">
        <f t="shared" ca="1" si="206"/>
        <v>0.70850598379669916</v>
      </c>
      <c r="BB357" s="2">
        <f t="shared" ca="1" si="207"/>
        <v>8.6988799220766957</v>
      </c>
      <c r="BC357" s="2">
        <f t="shared" ca="1" si="208"/>
        <v>0.40075439869998664</v>
      </c>
      <c r="BD357" s="2">
        <f t="shared" ca="1" si="209"/>
        <v>1.7994933095454331E-4</v>
      </c>
      <c r="BE357" s="2">
        <f t="shared" ca="1" si="210"/>
        <v>0.18154881811532267</v>
      </c>
      <c r="BF357" s="2">
        <f t="shared" ca="1" si="211"/>
        <v>0.70850598379669916</v>
      </c>
      <c r="BG357" s="2">
        <f t="shared" ca="1" si="212"/>
        <v>5.2922079450596508E-2</v>
      </c>
      <c r="BH357" s="2">
        <f t="shared" ca="1" si="213"/>
        <v>0.70850598379669916</v>
      </c>
      <c r="BI357" s="2">
        <f t="shared" ca="1" si="214"/>
        <v>0.70850598379669916</v>
      </c>
    </row>
    <row r="358" spans="1:61" ht="15" x14ac:dyDescent="0.25">
      <c r="A358" s="66">
        <v>292</v>
      </c>
      <c r="B358" s="66">
        <v>1498730273.323</v>
      </c>
      <c r="C358" s="67">
        <v>2.78733524546623E-5</v>
      </c>
      <c r="D358" s="67">
        <v>5.3699353176251301E-5</v>
      </c>
      <c r="E358" s="67">
        <v>1.3465745177885E-2</v>
      </c>
      <c r="F358" s="67">
        <v>4.3853501381685401E-4</v>
      </c>
      <c r="G358" s="67">
        <v>1.6240316351378699E-4</v>
      </c>
      <c r="H358" s="67">
        <v>0.24885461431028599</v>
      </c>
      <c r="I358" s="67">
        <v>5.3699353176251301E-5</v>
      </c>
      <c r="J358" s="67">
        <v>0.179783774248643</v>
      </c>
      <c r="K358" s="67">
        <v>2.1629672635908102</v>
      </c>
      <c r="L358" s="67"/>
      <c r="M358" s="67"/>
      <c r="O358" s="11">
        <f t="shared" ca="1" si="172"/>
        <v>1.5069421744702273E-5</v>
      </c>
      <c r="P358" s="11">
        <f t="shared" ca="1" si="173"/>
        <v>5.2934252945946562E-5</v>
      </c>
      <c r="Q358" s="11">
        <f t="shared" ca="1" si="174"/>
        <v>1.2629253565616715E-2</v>
      </c>
      <c r="R358" s="11">
        <f t="shared" ca="1" si="175"/>
        <v>4.268885261705069E-4</v>
      </c>
      <c r="S358" s="11">
        <f t="shared" ca="1" si="176"/>
        <v>1.5147551146681688E-4</v>
      </c>
      <c r="T358" s="11">
        <f t="shared" ca="1" si="177"/>
        <v>0.2477160592717037</v>
      </c>
      <c r="U358" s="11">
        <f t="shared" ca="1" si="178"/>
        <v>5.2934252945946562E-5</v>
      </c>
      <c r="V358" s="11">
        <f t="shared" ca="1" si="179"/>
        <v>0.17913357824294923</v>
      </c>
      <c r="W358" s="11">
        <f t="shared" ca="1" si="180"/>
        <v>2.1558444153273051</v>
      </c>
      <c r="X358" s="11"/>
      <c r="Y358" s="2">
        <f t="shared" ca="1" si="181"/>
        <v>1.5069421744702273E-5</v>
      </c>
      <c r="Z358" s="11">
        <f t="shared" ca="1" si="182"/>
        <v>5.2934252945946562E-5</v>
      </c>
      <c r="AA358" s="2">
        <f t="shared" ca="1" si="183"/>
        <v>1.2628848578970566E-2</v>
      </c>
      <c r="AB358" s="2">
        <f t="shared" ca="1" si="184"/>
        <v>4.1708600848530458E-4</v>
      </c>
      <c r="AC358" s="2">
        <f t="shared" ca="1" si="185"/>
        <v>1.5147551146681688E-4</v>
      </c>
      <c r="AD358" s="2">
        <f t="shared" ca="1" si="186"/>
        <v>0.24764477241773949</v>
      </c>
      <c r="AE358" s="2">
        <f t="shared" ca="1" si="187"/>
        <v>5.2934252945946562E-5</v>
      </c>
      <c r="AF358" s="2">
        <f t="shared" ca="1" si="188"/>
        <v>0.17902830472555534</v>
      </c>
      <c r="AG358" s="2">
        <f t="shared" ca="1" si="189"/>
        <v>2.1558016977829326</v>
      </c>
      <c r="AI358" s="2">
        <f t="shared" ca="1" si="190"/>
        <v>1.5069421744702273E-5</v>
      </c>
      <c r="AJ358" s="11">
        <f t="shared" ca="1" si="191"/>
        <v>5.2934252945946562E-5</v>
      </c>
      <c r="AK358" s="2">
        <f t="shared" ca="1" si="192"/>
        <v>1.2566395954733627E-2</v>
      </c>
      <c r="AL358" s="2">
        <f t="shared" ca="1" si="193"/>
        <v>3.8785557167462934E-4</v>
      </c>
      <c r="AM358" s="2">
        <f t="shared" ca="1" si="194"/>
        <v>1.5147551146681688E-4</v>
      </c>
      <c r="AN358" s="2">
        <f t="shared" ca="1" si="195"/>
        <v>0.24764477241773949</v>
      </c>
      <c r="AO358" s="2">
        <f t="shared" ca="1" si="196"/>
        <v>5.2934252945946562E-5</v>
      </c>
      <c r="AP358" s="2">
        <f t="shared" ca="1" si="197"/>
        <v>0.17902830472555534</v>
      </c>
      <c r="AQ358" s="2">
        <f t="shared" ca="1" si="198"/>
        <v>2.1558016977829326</v>
      </c>
      <c r="AS358" s="2">
        <f t="shared" ca="1" si="199"/>
        <v>8.7028851567620773</v>
      </c>
      <c r="AT358" s="2">
        <f t="shared" ca="1" si="200"/>
        <v>0.40094115700340632</v>
      </c>
      <c r="AU358" s="2">
        <f t="shared" ca="1" si="201"/>
        <v>1.7115717959428193E-4</v>
      </c>
      <c r="AV358" s="2">
        <f t="shared" ca="1" si="202"/>
        <v>0.17896242106335494</v>
      </c>
      <c r="AW358" s="2">
        <f t="shared" ca="1" si="203"/>
        <v>0.70862095795729652</v>
      </c>
      <c r="AX358" s="2">
        <f t="shared" ca="1" si="204"/>
        <v>5.302475237222895E-2</v>
      </c>
      <c r="AY358" s="9">
        <f t="shared" ca="1" si="205"/>
        <v>0.70862095795729652</v>
      </c>
      <c r="AZ358" s="9">
        <f t="shared" ca="1" si="206"/>
        <v>0.70862095795729652</v>
      </c>
      <c r="BB358" s="2">
        <f t="shared" ca="1" si="207"/>
        <v>8.7052178680615118</v>
      </c>
      <c r="BC358" s="2">
        <f t="shared" ca="1" si="208"/>
        <v>0.40104992843954829</v>
      </c>
      <c r="BD358" s="2">
        <f t="shared" ca="1" si="209"/>
        <v>1.555494492649902E-4</v>
      </c>
      <c r="BE358" s="2">
        <f t="shared" ca="1" si="210"/>
        <v>0.17887275527629035</v>
      </c>
      <c r="BF358" s="2">
        <f t="shared" ca="1" si="211"/>
        <v>0.7083741857631406</v>
      </c>
      <c r="BG358" s="2">
        <f t="shared" ca="1" si="212"/>
        <v>5.2790503227408282E-2</v>
      </c>
      <c r="BH358" s="2">
        <f t="shared" ca="1" si="213"/>
        <v>0.7083741857631406</v>
      </c>
      <c r="BI358" s="2">
        <f t="shared" ca="1" si="214"/>
        <v>0.7083741857631406</v>
      </c>
    </row>
    <row r="359" spans="1:61" ht="15" x14ac:dyDescent="0.25">
      <c r="A359" s="66">
        <v>293</v>
      </c>
      <c r="B359" s="66">
        <v>1498730273.8499999</v>
      </c>
      <c r="C359" s="67">
        <v>7.0158982337740504E-5</v>
      </c>
      <c r="D359" s="67">
        <v>5.7362727848824299E-5</v>
      </c>
      <c r="E359" s="67">
        <v>1.3221547067614E-2</v>
      </c>
      <c r="F359" s="67">
        <v>4.4305777862986199E-4</v>
      </c>
      <c r="G359" s="67">
        <v>1.03638728523696E-4</v>
      </c>
      <c r="H359" s="67">
        <v>0.24278106685200701</v>
      </c>
      <c r="I359" s="67">
        <v>5.7362727848824299E-5</v>
      </c>
      <c r="J359" s="67">
        <v>0.175171232136099</v>
      </c>
      <c r="K359" s="67">
        <v>2.1075602423636002</v>
      </c>
      <c r="L359" s="67"/>
      <c r="M359" s="67"/>
      <c r="O359" s="11">
        <f t="shared" ca="1" si="172"/>
        <v>5.7355051627780476E-5</v>
      </c>
      <c r="P359" s="11">
        <f t="shared" ca="1" si="173"/>
        <v>5.6597627618519561E-5</v>
      </c>
      <c r="Q359" s="11">
        <f t="shared" ca="1" si="174"/>
        <v>1.2385055455345715E-2</v>
      </c>
      <c r="R359" s="11">
        <f t="shared" ca="1" si="175"/>
        <v>4.3141129098351488E-4</v>
      </c>
      <c r="S359" s="11">
        <f t="shared" ca="1" si="176"/>
        <v>9.2711076476725872E-5</v>
      </c>
      <c r="T359" s="11">
        <f t="shared" ca="1" si="177"/>
        <v>0.24164251181342472</v>
      </c>
      <c r="U359" s="11">
        <f t="shared" ca="1" si="178"/>
        <v>5.6597627618519561E-5</v>
      </c>
      <c r="V359" s="11">
        <f t="shared" ca="1" si="179"/>
        <v>0.17452103613040523</v>
      </c>
      <c r="W359" s="11">
        <f t="shared" ca="1" si="180"/>
        <v>2.1004373941000951</v>
      </c>
      <c r="X359" s="11"/>
      <c r="Y359" s="2">
        <f t="shared" ca="1" si="181"/>
        <v>5.7355051627780476E-5</v>
      </c>
      <c r="Z359" s="11">
        <f t="shared" ca="1" si="182"/>
        <v>5.6597627618519561E-5</v>
      </c>
      <c r="AA359" s="2">
        <f t="shared" ca="1" si="183"/>
        <v>1.2384622441141989E-2</v>
      </c>
      <c r="AB359" s="2">
        <f t="shared" ca="1" si="184"/>
        <v>4.2093037900696234E-4</v>
      </c>
      <c r="AC359" s="2">
        <f t="shared" ca="1" si="185"/>
        <v>9.2711076476725872E-5</v>
      </c>
      <c r="AD359" s="2">
        <f t="shared" ca="1" si="186"/>
        <v>0.24156629147233702</v>
      </c>
      <c r="AE359" s="2">
        <f t="shared" ca="1" si="187"/>
        <v>5.6597627618519561E-5</v>
      </c>
      <c r="AF359" s="2">
        <f t="shared" ca="1" si="188"/>
        <v>0.17440847704051621</v>
      </c>
      <c r="AG359" s="2">
        <f t="shared" ca="1" si="189"/>
        <v>2.1003917202398887</v>
      </c>
      <c r="AI359" s="2">
        <f t="shared" ca="1" si="190"/>
        <v>5.7355051627780476E-5</v>
      </c>
      <c r="AJ359" s="11">
        <f t="shared" ca="1" si="191"/>
        <v>5.6597627618519561E-5</v>
      </c>
      <c r="AK359" s="2">
        <f t="shared" ca="1" si="192"/>
        <v>1.2317847712612788E-2</v>
      </c>
      <c r="AL359" s="2">
        <f t="shared" ca="1" si="193"/>
        <v>3.8967701685171257E-4</v>
      </c>
      <c r="AM359" s="2">
        <f t="shared" ca="1" si="194"/>
        <v>9.2711076476725872E-5</v>
      </c>
      <c r="AN359" s="2">
        <f t="shared" ca="1" si="195"/>
        <v>0.24156629147233702</v>
      </c>
      <c r="AO359" s="2">
        <f t="shared" ca="1" si="196"/>
        <v>5.6597627618519561E-5</v>
      </c>
      <c r="AP359" s="2">
        <f t="shared" ca="1" si="197"/>
        <v>0.17440847704051621</v>
      </c>
      <c r="AQ359" s="2">
        <f t="shared" ca="1" si="198"/>
        <v>2.1003917202398887</v>
      </c>
      <c r="AS359" s="2">
        <f t="shared" ca="1" si="199"/>
        <v>8.6923338875150815</v>
      </c>
      <c r="AT359" s="2">
        <f t="shared" ca="1" si="200"/>
        <v>0.40044916881674408</v>
      </c>
      <c r="AU359" s="2">
        <f t="shared" ca="1" si="201"/>
        <v>1.7275829289250706E-4</v>
      </c>
      <c r="AV359" s="2">
        <f t="shared" ca="1" si="202"/>
        <v>0.17434827783751272</v>
      </c>
      <c r="AW359" s="2">
        <f t="shared" ca="1" si="203"/>
        <v>0.70813481831631919</v>
      </c>
      <c r="AX359" s="2">
        <f t="shared" ca="1" si="204"/>
        <v>5.324031795515425E-2</v>
      </c>
      <c r="AY359" s="9">
        <f t="shared" ca="1" si="205"/>
        <v>0.70813481831631919</v>
      </c>
      <c r="AZ359" s="9">
        <f t="shared" ca="1" si="206"/>
        <v>0.70813481831631919</v>
      </c>
      <c r="BB359" s="2">
        <f t="shared" ca="1" si="207"/>
        <v>8.6948874672789991</v>
      </c>
      <c r="BC359" s="2">
        <f t="shared" ca="1" si="208"/>
        <v>0.40056823734221164</v>
      </c>
      <c r="BD359" s="2">
        <f t="shared" ca="1" si="209"/>
        <v>1.5609223577306181E-4</v>
      </c>
      <c r="BE359" s="2">
        <f t="shared" ca="1" si="210"/>
        <v>0.17425238480474314</v>
      </c>
      <c r="BF359" s="2">
        <f t="shared" ca="1" si="211"/>
        <v>0.70786393437608752</v>
      </c>
      <c r="BG359" s="2">
        <f t="shared" ca="1" si="212"/>
        <v>5.2984038354317538E-2</v>
      </c>
      <c r="BH359" s="2">
        <f t="shared" ca="1" si="213"/>
        <v>0.70786393437608752</v>
      </c>
      <c r="BI359" s="2">
        <f t="shared" ca="1" si="214"/>
        <v>0.70786393437608752</v>
      </c>
    </row>
    <row r="360" spans="1:61" ht="15" x14ac:dyDescent="0.25">
      <c r="A360" s="66">
        <v>294</v>
      </c>
      <c r="B360" s="66">
        <v>1498730274.3759999</v>
      </c>
      <c r="C360" s="67">
        <v>-2.5512634228454201E-5</v>
      </c>
      <c r="D360" s="67">
        <v>2.96426151195706E-5</v>
      </c>
      <c r="E360" s="67">
        <v>1.28501800266885E-2</v>
      </c>
      <c r="F360" s="67">
        <v>2.5526124918215999E-4</v>
      </c>
      <c r="G360" s="67">
        <v>-1.17914042596885E-4</v>
      </c>
      <c r="H360" s="67">
        <v>0.23863168213571301</v>
      </c>
      <c r="I360" s="67">
        <v>2.96426151195706E-5</v>
      </c>
      <c r="J360" s="67">
        <v>0.172384686780444</v>
      </c>
      <c r="K360" s="67">
        <v>2.0719395924269799</v>
      </c>
      <c r="L360" s="67"/>
      <c r="M360" s="67"/>
      <c r="O360" s="11">
        <f t="shared" ca="1" si="172"/>
        <v>-3.8316564938414229E-5</v>
      </c>
      <c r="P360" s="11">
        <f t="shared" ca="1" si="173"/>
        <v>2.8877514889265858E-5</v>
      </c>
      <c r="Q360" s="11">
        <f t="shared" ca="1" si="174"/>
        <v>1.2013688414420215E-2</v>
      </c>
      <c r="R360" s="11">
        <f t="shared" ca="1" si="175"/>
        <v>2.4361476153581286E-4</v>
      </c>
      <c r="S360" s="11">
        <f t="shared" ca="1" si="176"/>
        <v>-1.2884169464385511E-4</v>
      </c>
      <c r="T360" s="11">
        <f t="shared" ca="1" si="177"/>
        <v>0.23749312709713072</v>
      </c>
      <c r="U360" s="11">
        <f t="shared" ca="1" si="178"/>
        <v>2.8877514889265858E-5</v>
      </c>
      <c r="V360" s="11">
        <f t="shared" ca="1" si="179"/>
        <v>0.17173449077475023</v>
      </c>
      <c r="W360" s="11">
        <f t="shared" ca="1" si="180"/>
        <v>2.0648167441634748</v>
      </c>
      <c r="X360" s="11"/>
      <c r="Y360" s="2">
        <f t="shared" ca="1" si="181"/>
        <v>-3.8316564938414229E-5</v>
      </c>
      <c r="Z360" s="11">
        <f t="shared" ca="1" si="182"/>
        <v>2.8877514889265858E-5</v>
      </c>
      <c r="AA360" s="2">
        <f t="shared" ca="1" si="183"/>
        <v>1.2013467479822043E-2</v>
      </c>
      <c r="AB360" s="2">
        <f t="shared" ca="1" si="184"/>
        <v>2.3826714001188621E-4</v>
      </c>
      <c r="AC360" s="2">
        <f t="shared" ca="1" si="185"/>
        <v>-1.2884169464385511E-4</v>
      </c>
      <c r="AD360" s="2">
        <f t="shared" ca="1" si="186"/>
        <v>0.23745423758661163</v>
      </c>
      <c r="AE360" s="2">
        <f t="shared" ca="1" si="187"/>
        <v>2.8877514889265858E-5</v>
      </c>
      <c r="AF360" s="2">
        <f t="shared" ca="1" si="188"/>
        <v>0.17167706033232777</v>
      </c>
      <c r="AG360" s="2">
        <f t="shared" ca="1" si="189"/>
        <v>2.0647934402259485</v>
      </c>
      <c r="AI360" s="2">
        <f t="shared" ca="1" si="190"/>
        <v>-3.8316564938414229E-5</v>
      </c>
      <c r="AJ360" s="11">
        <f t="shared" ca="1" si="191"/>
        <v>2.8877514889265858E-5</v>
      </c>
      <c r="AK360" s="2">
        <f t="shared" ca="1" si="192"/>
        <v>1.1979397355358069E-2</v>
      </c>
      <c r="AL360" s="2">
        <f t="shared" ca="1" si="193"/>
        <v>2.2232089864182347E-4</v>
      </c>
      <c r="AM360" s="2">
        <f t="shared" ca="1" si="194"/>
        <v>-1.2884169464385511E-4</v>
      </c>
      <c r="AN360" s="2">
        <f t="shared" ca="1" si="195"/>
        <v>0.23745423758661163</v>
      </c>
      <c r="AO360" s="2">
        <f t="shared" ca="1" si="196"/>
        <v>2.8877514889265858E-5</v>
      </c>
      <c r="AP360" s="2">
        <f t="shared" ca="1" si="197"/>
        <v>0.17167706033232777</v>
      </c>
      <c r="AQ360" s="2">
        <f t="shared" ca="1" si="198"/>
        <v>2.0647934402259485</v>
      </c>
      <c r="AS360" s="2">
        <f t="shared" ca="1" si="199"/>
        <v>8.6942168365108063</v>
      </c>
      <c r="AT360" s="2">
        <f t="shared" ca="1" si="200"/>
        <v>0.40053696707499276</v>
      </c>
      <c r="AU360" s="2">
        <f t="shared" ca="1" si="201"/>
        <v>9.7576717720252088E-5</v>
      </c>
      <c r="AV360" s="2">
        <f t="shared" ca="1" si="202"/>
        <v>0.17163691405702997</v>
      </c>
      <c r="AW360" s="2">
        <f t="shared" ca="1" si="203"/>
        <v>0.70922479133371663</v>
      </c>
      <c r="AX360" s="2">
        <f t="shared" ca="1" si="204"/>
        <v>5.2557850953980773E-2</v>
      </c>
      <c r="AY360" s="9">
        <f t="shared" ca="1" si="205"/>
        <v>0.70922479133371663</v>
      </c>
      <c r="AZ360" s="9">
        <f t="shared" ca="1" si="206"/>
        <v>0.70922479133371663</v>
      </c>
      <c r="BB360" s="2">
        <f t="shared" ca="1" si="207"/>
        <v>8.6955426073321327</v>
      </c>
      <c r="BC360" s="2">
        <f t="shared" ca="1" si="208"/>
        <v>0.40059878533440413</v>
      </c>
      <c r="BD360" s="2">
        <f t="shared" ca="1" si="209"/>
        <v>8.9061481950367656E-5</v>
      </c>
      <c r="BE360" s="2">
        <f t="shared" ca="1" si="210"/>
        <v>0.1715879988503774</v>
      </c>
      <c r="BF360" s="2">
        <f t="shared" ca="1" si="211"/>
        <v>0.70908433901860324</v>
      </c>
      <c r="BG360" s="2">
        <f t="shared" ca="1" si="212"/>
        <v>5.2424595343040357E-2</v>
      </c>
      <c r="BH360" s="2">
        <f t="shared" ca="1" si="213"/>
        <v>0.70908433901860324</v>
      </c>
      <c r="BI360" s="2">
        <f t="shared" ca="1" si="214"/>
        <v>0.70908433901860324</v>
      </c>
    </row>
    <row r="361" spans="1:61" ht="15" x14ac:dyDescent="0.25">
      <c r="A361" s="66">
        <v>295</v>
      </c>
      <c r="B361" s="66">
        <v>1498730274.904</v>
      </c>
      <c r="C361" s="67">
        <v>-4.5118270981801299E-5</v>
      </c>
      <c r="D361" s="67">
        <v>-7.9413851864200199E-5</v>
      </c>
      <c r="E361" s="67">
        <v>1.3036448982212101E-2</v>
      </c>
      <c r="F361" s="67">
        <v>3.59508954901353E-4</v>
      </c>
      <c r="G361" s="67">
        <v>-2.07461340381747E-4</v>
      </c>
      <c r="H361" s="67">
        <v>0.242838719488981</v>
      </c>
      <c r="I361" s="67">
        <v>-7.9413851864200199E-5</v>
      </c>
      <c r="J361" s="67">
        <v>0.17514665776438501</v>
      </c>
      <c r="K361" s="67">
        <v>2.10759986798791</v>
      </c>
      <c r="L361" s="67"/>
      <c r="M361" s="67"/>
      <c r="O361" s="11">
        <f t="shared" ca="1" si="172"/>
        <v>-5.7922201691761327E-5</v>
      </c>
      <c r="P361" s="11">
        <f t="shared" ca="1" si="173"/>
        <v>-8.0178952094504938E-5</v>
      </c>
      <c r="Q361" s="11">
        <f t="shared" ca="1" si="174"/>
        <v>1.2199957369943816E-2</v>
      </c>
      <c r="R361" s="11">
        <f t="shared" ca="1" si="175"/>
        <v>3.478624672550059E-4</v>
      </c>
      <c r="S361" s="11">
        <f t="shared" ca="1" si="176"/>
        <v>-2.1838899242871711E-4</v>
      </c>
      <c r="T361" s="11">
        <f t="shared" ca="1" si="177"/>
        <v>0.24170016445039871</v>
      </c>
      <c r="U361" s="11">
        <f t="shared" ca="1" si="178"/>
        <v>-8.0178952094504938E-5</v>
      </c>
      <c r="V361" s="11">
        <f t="shared" ca="1" si="179"/>
        <v>0.17449646175869124</v>
      </c>
      <c r="W361" s="11">
        <f t="shared" ca="1" si="180"/>
        <v>2.1004770197244049</v>
      </c>
      <c r="X361" s="11"/>
      <c r="Y361" s="2">
        <f t="shared" ca="1" si="181"/>
        <v>-5.7922201691761327E-5</v>
      </c>
      <c r="Z361" s="11">
        <f t="shared" ca="1" si="182"/>
        <v>-8.0178952094504938E-5</v>
      </c>
      <c r="AA361" s="2">
        <f t="shared" ca="1" si="183"/>
        <v>1.2199957369943816E-2</v>
      </c>
      <c r="AB361" s="2">
        <f t="shared" ca="1" si="184"/>
        <v>3.478624672550059E-4</v>
      </c>
      <c r="AC361" s="2">
        <f t="shared" ca="1" si="185"/>
        <v>-2.1838899242871711E-4</v>
      </c>
      <c r="AD361" s="2">
        <f t="shared" ca="1" si="186"/>
        <v>0.24170016445039871</v>
      </c>
      <c r="AE361" s="2">
        <f t="shared" ca="1" si="187"/>
        <v>-8.0178952094504938E-5</v>
      </c>
      <c r="AF361" s="2">
        <f t="shared" ca="1" si="188"/>
        <v>0.17449646175869124</v>
      </c>
      <c r="AG361" s="2">
        <f t="shared" ca="1" si="189"/>
        <v>2.1004770197244049</v>
      </c>
      <c r="AI361" s="2">
        <f t="shared" ca="1" si="190"/>
        <v>-5.7922201691761327E-5</v>
      </c>
      <c r="AJ361" s="11">
        <f t="shared" ca="1" si="191"/>
        <v>-8.0178952094504938E-5</v>
      </c>
      <c r="AK361" s="2">
        <f t="shared" ca="1" si="192"/>
        <v>1.2199957369943816E-2</v>
      </c>
      <c r="AL361" s="2">
        <f t="shared" ca="1" si="193"/>
        <v>3.478624672550059E-4</v>
      </c>
      <c r="AM361" s="2">
        <f t="shared" ca="1" si="194"/>
        <v>-2.1838899242871711E-4</v>
      </c>
      <c r="AN361" s="2">
        <f t="shared" ca="1" si="195"/>
        <v>0.24170016445039871</v>
      </c>
      <c r="AO361" s="2">
        <f t="shared" ca="1" si="196"/>
        <v>-8.0178952094504938E-5</v>
      </c>
      <c r="AP361" s="2">
        <f t="shared" ca="1" si="197"/>
        <v>0.17449646175869124</v>
      </c>
      <c r="AQ361" s="2">
        <f t="shared" ca="1" si="198"/>
        <v>2.1004770197244049</v>
      </c>
      <c r="AS361" s="2">
        <f t="shared" ca="1" si="199"/>
        <v>8.6904244542020628</v>
      </c>
      <c r="AT361" s="2">
        <f t="shared" ca="1" si="200"/>
        <v>0.40036013588173386</v>
      </c>
      <c r="AU361" s="2">
        <f t="shared" ca="1" si="201"/>
        <v>1.3927026465836934E-4</v>
      </c>
      <c r="AV361" s="2">
        <f t="shared" ca="1" si="202"/>
        <v>0.17435719149403286</v>
      </c>
      <c r="AW361" s="2">
        <f t="shared" ca="1" si="203"/>
        <v>0.70808043710953661</v>
      </c>
      <c r="AX361" s="2">
        <f t="shared" ca="1" si="204"/>
        <v>5.2420331602825346E-2</v>
      </c>
      <c r="AY361" s="9">
        <f t="shared" ca="1" si="205"/>
        <v>0.70808043710953661</v>
      </c>
      <c r="AZ361" s="9">
        <f t="shared" ca="1" si="206"/>
        <v>0.70808043710953661</v>
      </c>
      <c r="BB361" s="2">
        <f t="shared" ca="1" si="207"/>
        <v>8.6904244542020628</v>
      </c>
      <c r="BC361" s="2">
        <f t="shared" ca="1" si="208"/>
        <v>0.40036013588173386</v>
      </c>
      <c r="BD361" s="2">
        <f t="shared" ca="1" si="209"/>
        <v>1.3927026465836934E-4</v>
      </c>
      <c r="BE361" s="2">
        <f t="shared" ca="1" si="210"/>
        <v>0.17435719149403286</v>
      </c>
      <c r="BF361" s="2">
        <f t="shared" ca="1" si="211"/>
        <v>0.70808043710953661</v>
      </c>
      <c r="BG361" s="2">
        <f t="shared" ca="1" si="212"/>
        <v>5.2420331602825346E-2</v>
      </c>
      <c r="BH361" s="2">
        <f t="shared" ca="1" si="213"/>
        <v>0.70808043710953661</v>
      </c>
      <c r="BI361" s="2">
        <f t="shared" ca="1" si="214"/>
        <v>0.70808043710953661</v>
      </c>
    </row>
    <row r="362" spans="1:61" ht="15" x14ac:dyDescent="0.25">
      <c r="A362" s="66">
        <v>296</v>
      </c>
      <c r="B362" s="66">
        <v>1498730275.4300001</v>
      </c>
      <c r="C362" s="67">
        <v>-5.1979513160710703E-6</v>
      </c>
      <c r="D362" s="67">
        <v>-3.9352253546798999E-5</v>
      </c>
      <c r="E362" s="67">
        <v>1.3152372335217599E-2</v>
      </c>
      <c r="F362" s="67">
        <v>3.5593864805471501E-4</v>
      </c>
      <c r="G362" s="67">
        <v>-5.0425548854823297E-5</v>
      </c>
      <c r="H362" s="67">
        <v>0.24349713061954301</v>
      </c>
      <c r="I362" s="67">
        <v>-3.9352253546798999E-5</v>
      </c>
      <c r="J362" s="67">
        <v>0.17592947849757201</v>
      </c>
      <c r="K362" s="67">
        <v>2.11515084624821</v>
      </c>
      <c r="L362" s="67"/>
      <c r="M362" s="67"/>
      <c r="O362" s="11">
        <f t="shared" ca="1" si="172"/>
        <v>-1.8001882026031096E-5</v>
      </c>
      <c r="P362" s="11">
        <f t="shared" ca="1" si="173"/>
        <v>-4.0117353777103738E-5</v>
      </c>
      <c r="Q362" s="11">
        <f t="shared" ca="1" si="174"/>
        <v>1.2315880722949315E-2</v>
      </c>
      <c r="R362" s="11">
        <f t="shared" ca="1" si="175"/>
        <v>3.4429216040836791E-4</v>
      </c>
      <c r="S362" s="11">
        <f t="shared" ca="1" si="176"/>
        <v>-6.1353200901793418E-5</v>
      </c>
      <c r="T362" s="11">
        <f t="shared" ca="1" si="177"/>
        <v>0.24235857558096072</v>
      </c>
      <c r="U362" s="11">
        <f t="shared" ca="1" si="178"/>
        <v>-4.0117353777103738E-5</v>
      </c>
      <c r="V362" s="11">
        <f t="shared" ca="1" si="179"/>
        <v>0.17527928249187824</v>
      </c>
      <c r="W362" s="11">
        <f t="shared" ca="1" si="180"/>
        <v>2.108027997984705</v>
      </c>
      <c r="X362" s="11"/>
      <c r="Y362" s="2">
        <f t="shared" ca="1" si="181"/>
        <v>-1.8001882026031096E-5</v>
      </c>
      <c r="Z362" s="11">
        <f t="shared" ca="1" si="182"/>
        <v>-4.0117353777103738E-5</v>
      </c>
      <c r="AA362" s="2">
        <f t="shared" ca="1" si="183"/>
        <v>1.2315880722949315E-2</v>
      </c>
      <c r="AB362" s="2">
        <f t="shared" ca="1" si="184"/>
        <v>3.4429216040836791E-4</v>
      </c>
      <c r="AC362" s="2">
        <f t="shared" ca="1" si="185"/>
        <v>-6.1353200901793418E-5</v>
      </c>
      <c r="AD362" s="2">
        <f t="shared" ca="1" si="186"/>
        <v>0.24235857558096072</v>
      </c>
      <c r="AE362" s="2">
        <f t="shared" ca="1" si="187"/>
        <v>-4.0117353777103738E-5</v>
      </c>
      <c r="AF362" s="2">
        <f t="shared" ca="1" si="188"/>
        <v>0.17527928249187824</v>
      </c>
      <c r="AG362" s="2">
        <f t="shared" ca="1" si="189"/>
        <v>2.108027997984705</v>
      </c>
      <c r="AI362" s="2">
        <f t="shared" ca="1" si="190"/>
        <v>-1.8001882026031096E-5</v>
      </c>
      <c r="AJ362" s="11">
        <f t="shared" ca="1" si="191"/>
        <v>-4.0117353777103738E-5</v>
      </c>
      <c r="AK362" s="2">
        <f t="shared" ca="1" si="192"/>
        <v>1.2315880722949315E-2</v>
      </c>
      <c r="AL362" s="2">
        <f t="shared" ca="1" si="193"/>
        <v>3.4429216040836791E-4</v>
      </c>
      <c r="AM362" s="2">
        <f t="shared" ca="1" si="194"/>
        <v>-6.1353200901793418E-5</v>
      </c>
      <c r="AN362" s="2">
        <f t="shared" ca="1" si="195"/>
        <v>0.24235857558096072</v>
      </c>
      <c r="AO362" s="2">
        <f t="shared" ca="1" si="196"/>
        <v>-4.0117353777103738E-5</v>
      </c>
      <c r="AP362" s="2">
        <f t="shared" ca="1" si="197"/>
        <v>0.17527928249187824</v>
      </c>
      <c r="AQ362" s="2">
        <f t="shared" ca="1" si="198"/>
        <v>2.108027997984705</v>
      </c>
      <c r="AS362" s="2">
        <f t="shared" ca="1" si="199"/>
        <v>8.6979715610703074</v>
      </c>
      <c r="AT362" s="2">
        <f t="shared" ca="1" si="200"/>
        <v>0.4007120432844552</v>
      </c>
      <c r="AU362" s="2">
        <f t="shared" ca="1" si="201"/>
        <v>1.3796201508405653E-4</v>
      </c>
      <c r="AV362" s="2">
        <f t="shared" ca="1" si="202"/>
        <v>0.17514132047679418</v>
      </c>
      <c r="AW362" s="2">
        <f t="shared" ca="1" si="203"/>
        <v>0.70902255875468501</v>
      </c>
      <c r="AX362" s="2">
        <f t="shared" ca="1" si="204"/>
        <v>5.2821561985054777E-2</v>
      </c>
      <c r="AY362" s="9">
        <f t="shared" ca="1" si="205"/>
        <v>0.70902255875468501</v>
      </c>
      <c r="AZ362" s="9">
        <f t="shared" ca="1" si="206"/>
        <v>0.70902255875468501</v>
      </c>
      <c r="BB362" s="2">
        <f t="shared" ca="1" si="207"/>
        <v>8.6979715610703074</v>
      </c>
      <c r="BC362" s="2">
        <f t="shared" ca="1" si="208"/>
        <v>0.4007120432844552</v>
      </c>
      <c r="BD362" s="2">
        <f t="shared" ca="1" si="209"/>
        <v>1.3796201508405653E-4</v>
      </c>
      <c r="BE362" s="2">
        <f t="shared" ca="1" si="210"/>
        <v>0.17514132047679418</v>
      </c>
      <c r="BF362" s="2">
        <f t="shared" ca="1" si="211"/>
        <v>0.70902255875468501</v>
      </c>
      <c r="BG362" s="2">
        <f t="shared" ca="1" si="212"/>
        <v>5.2821561985054777E-2</v>
      </c>
      <c r="BH362" s="2">
        <f t="shared" ca="1" si="213"/>
        <v>0.70902255875468501</v>
      </c>
      <c r="BI362" s="2">
        <f t="shared" ca="1" si="214"/>
        <v>0.70902255875468501</v>
      </c>
    </row>
    <row r="363" spans="1:61" ht="15" x14ac:dyDescent="0.25">
      <c r="A363" s="66">
        <v>297</v>
      </c>
      <c r="B363" s="66">
        <v>1498730275.957</v>
      </c>
      <c r="C363" s="67">
        <v>-8.1730169807124503E-5</v>
      </c>
      <c r="D363" s="67">
        <v>-8.1085557077435604E-6</v>
      </c>
      <c r="E363" s="67">
        <v>1.27619973757359E-2</v>
      </c>
      <c r="F363" s="67">
        <v>3.4332366607435602E-4</v>
      </c>
      <c r="G363" s="67">
        <v>-1.21636004146267E-4</v>
      </c>
      <c r="H363" s="67">
        <v>0.23546836744244301</v>
      </c>
      <c r="I363" s="67">
        <v>-8.1085557077435604E-6</v>
      </c>
      <c r="J363" s="67">
        <v>0.17006888200671999</v>
      </c>
      <c r="K363" s="67">
        <v>2.0448732442317801</v>
      </c>
      <c r="L363" s="67"/>
      <c r="M363" s="67"/>
      <c r="O363" s="11">
        <f t="shared" ca="1" si="172"/>
        <v>-9.4534100517084524E-5</v>
      </c>
      <c r="P363" s="11">
        <f t="shared" ca="1" si="173"/>
        <v>-8.8736559380483007E-6</v>
      </c>
      <c r="Q363" s="11">
        <f t="shared" ca="1" si="174"/>
        <v>1.1925505763467615E-2</v>
      </c>
      <c r="R363" s="11">
        <f t="shared" ca="1" si="175"/>
        <v>3.3167717842800892E-4</v>
      </c>
      <c r="S363" s="11">
        <f t="shared" ca="1" si="176"/>
        <v>-1.3256365619323713E-4</v>
      </c>
      <c r="T363" s="11">
        <f t="shared" ca="1" si="177"/>
        <v>0.23432981240386072</v>
      </c>
      <c r="U363" s="11">
        <f t="shared" ca="1" si="178"/>
        <v>-8.8736559380483007E-6</v>
      </c>
      <c r="V363" s="11">
        <f t="shared" ca="1" si="179"/>
        <v>0.16941868600102622</v>
      </c>
      <c r="W363" s="11">
        <f t="shared" ca="1" si="180"/>
        <v>2.037750395968275</v>
      </c>
      <c r="X363" s="11"/>
      <c r="Y363" s="2">
        <f t="shared" ca="1" si="181"/>
        <v>-9.4534100517084524E-5</v>
      </c>
      <c r="Z363" s="11">
        <f t="shared" ca="1" si="182"/>
        <v>-8.8736559380483007E-6</v>
      </c>
      <c r="AA363" s="2">
        <f t="shared" ca="1" si="183"/>
        <v>1.1925505763467615E-2</v>
      </c>
      <c r="AB363" s="2">
        <f t="shared" ca="1" si="184"/>
        <v>3.3167717842800892E-4</v>
      </c>
      <c r="AC363" s="2">
        <f t="shared" ca="1" si="185"/>
        <v>-1.3256365619323713E-4</v>
      </c>
      <c r="AD363" s="2">
        <f t="shared" ca="1" si="186"/>
        <v>0.23432981240386072</v>
      </c>
      <c r="AE363" s="2">
        <f t="shared" ca="1" si="187"/>
        <v>-8.8736559380483007E-6</v>
      </c>
      <c r="AF363" s="2">
        <f t="shared" ca="1" si="188"/>
        <v>0.16941868600102622</v>
      </c>
      <c r="AG363" s="2">
        <f t="shared" ca="1" si="189"/>
        <v>2.037750395968275</v>
      </c>
      <c r="AI363" s="2">
        <f t="shared" ca="1" si="190"/>
        <v>-9.4534100517084524E-5</v>
      </c>
      <c r="AJ363" s="11">
        <f t="shared" ca="1" si="191"/>
        <v>-8.8736559380483007E-6</v>
      </c>
      <c r="AK363" s="2">
        <f t="shared" ca="1" si="192"/>
        <v>1.1925505763467615E-2</v>
      </c>
      <c r="AL363" s="2">
        <f t="shared" ca="1" si="193"/>
        <v>3.3167717842800892E-4</v>
      </c>
      <c r="AM363" s="2">
        <f t="shared" ca="1" si="194"/>
        <v>-1.3256365619323713E-4</v>
      </c>
      <c r="AN363" s="2">
        <f t="shared" ca="1" si="195"/>
        <v>0.23432981240386072</v>
      </c>
      <c r="AO363" s="2">
        <f t="shared" ca="1" si="196"/>
        <v>-8.8736559380483007E-6</v>
      </c>
      <c r="AP363" s="2">
        <f t="shared" ca="1" si="197"/>
        <v>0.16941868600102622</v>
      </c>
      <c r="AQ363" s="2">
        <f t="shared" ca="1" si="198"/>
        <v>2.037750395968275</v>
      </c>
      <c r="AS363" s="2">
        <f t="shared" ca="1" si="199"/>
        <v>8.6960782969273698</v>
      </c>
      <c r="AT363" s="2">
        <f t="shared" ca="1" si="200"/>
        <v>0.40062376358918361</v>
      </c>
      <c r="AU363" s="2">
        <f t="shared" ca="1" si="201"/>
        <v>1.3287775951847011E-4</v>
      </c>
      <c r="AV363" s="2">
        <f t="shared" ca="1" si="202"/>
        <v>0.16928580824150774</v>
      </c>
      <c r="AW363" s="2">
        <f t="shared" ca="1" si="203"/>
        <v>0.7088762760407612</v>
      </c>
      <c r="AX363" s="2">
        <f t="shared" ca="1" si="204"/>
        <v>5.2887943276665648E-2</v>
      </c>
      <c r="AY363" s="9">
        <f t="shared" ca="1" si="205"/>
        <v>0.7088762760407612</v>
      </c>
      <c r="AZ363" s="9">
        <f t="shared" ca="1" si="206"/>
        <v>0.7088762760407612</v>
      </c>
      <c r="BB363" s="2">
        <f t="shared" ca="1" si="207"/>
        <v>8.6960782969273698</v>
      </c>
      <c r="BC363" s="2">
        <f t="shared" ca="1" si="208"/>
        <v>0.40062376358918361</v>
      </c>
      <c r="BD363" s="2">
        <f t="shared" ca="1" si="209"/>
        <v>1.3287775951847011E-4</v>
      </c>
      <c r="BE363" s="2">
        <f t="shared" ca="1" si="210"/>
        <v>0.16928580824150774</v>
      </c>
      <c r="BF363" s="2">
        <f t="shared" ca="1" si="211"/>
        <v>0.7088762760407612</v>
      </c>
      <c r="BG363" s="2">
        <f t="shared" ca="1" si="212"/>
        <v>5.2887943276665648E-2</v>
      </c>
      <c r="BH363" s="2">
        <f t="shared" ca="1" si="213"/>
        <v>0.7088762760407612</v>
      </c>
      <c r="BI363" s="2">
        <f t="shared" ca="1" si="214"/>
        <v>0.7088762760407612</v>
      </c>
    </row>
    <row r="364" spans="1:61" ht="15" x14ac:dyDescent="0.25">
      <c r="A364" s="66">
        <v>298</v>
      </c>
      <c r="B364" s="66">
        <v>1498730276.484</v>
      </c>
      <c r="C364" s="67">
        <v>-2.4331559400989599E-5</v>
      </c>
      <c r="D364" s="67">
        <v>-7.8487406877858499E-6</v>
      </c>
      <c r="E364" s="67">
        <v>1.27646475619283E-2</v>
      </c>
      <c r="F364" s="67">
        <v>3.9354652096088602E-4</v>
      </c>
      <c r="G364" s="67">
        <v>7.8380513040071301E-5</v>
      </c>
      <c r="H364" s="67">
        <v>0.23419311435763199</v>
      </c>
      <c r="I364" s="67">
        <v>-7.8487406877858499E-6</v>
      </c>
      <c r="J364" s="67">
        <v>0.169017860861954</v>
      </c>
      <c r="K364" s="67">
        <v>2.0327811749357698</v>
      </c>
      <c r="L364" s="67"/>
      <c r="M364" s="67"/>
      <c r="O364" s="11">
        <f t="shared" ca="1" si="172"/>
        <v>-3.713549011094963E-5</v>
      </c>
      <c r="P364" s="11">
        <f t="shared" ca="1" si="173"/>
        <v>-8.6138409180905902E-6</v>
      </c>
      <c r="Q364" s="11">
        <f t="shared" ca="1" si="174"/>
        <v>1.1928155949660015E-2</v>
      </c>
      <c r="R364" s="11">
        <f t="shared" ca="1" si="175"/>
        <v>3.8190003331453891E-4</v>
      </c>
      <c r="S364" s="11">
        <f t="shared" ca="1" si="176"/>
        <v>6.7452860993101173E-5</v>
      </c>
      <c r="T364" s="11">
        <f t="shared" ca="1" si="177"/>
        <v>0.2330545593190497</v>
      </c>
      <c r="U364" s="11">
        <f t="shared" ca="1" si="178"/>
        <v>-8.6138409180905902E-6</v>
      </c>
      <c r="V364" s="11">
        <f t="shared" ca="1" si="179"/>
        <v>0.16836766485626023</v>
      </c>
      <c r="W364" s="11">
        <f t="shared" ca="1" si="180"/>
        <v>2.0256583266722648</v>
      </c>
      <c r="X364" s="11"/>
      <c r="Y364" s="2">
        <f t="shared" ca="1" si="181"/>
        <v>-3.713549011094963E-5</v>
      </c>
      <c r="Z364" s="11">
        <f t="shared" ca="1" si="182"/>
        <v>-8.6138409180905902E-6</v>
      </c>
      <c r="AA364" s="2">
        <f t="shared" ca="1" si="183"/>
        <v>1.1928155949660015E-2</v>
      </c>
      <c r="AB364" s="2">
        <f t="shared" ca="1" si="184"/>
        <v>3.8190003331453891E-4</v>
      </c>
      <c r="AC364" s="2">
        <f t="shared" ca="1" si="185"/>
        <v>6.7452860993101173E-5</v>
      </c>
      <c r="AD364" s="2">
        <f t="shared" ca="1" si="186"/>
        <v>0.2330545593190497</v>
      </c>
      <c r="AE364" s="2">
        <f t="shared" ca="1" si="187"/>
        <v>-8.6138409180905902E-6</v>
      </c>
      <c r="AF364" s="2">
        <f t="shared" ca="1" si="188"/>
        <v>0.16836766485626023</v>
      </c>
      <c r="AG364" s="2">
        <f t="shared" ca="1" si="189"/>
        <v>2.0256583266722648</v>
      </c>
      <c r="AI364" s="2">
        <f t="shared" ca="1" si="190"/>
        <v>-3.713549011094963E-5</v>
      </c>
      <c r="AJ364" s="11">
        <f t="shared" ca="1" si="191"/>
        <v>-8.6138409180905902E-6</v>
      </c>
      <c r="AK364" s="2">
        <f t="shared" ca="1" si="192"/>
        <v>1.1928155949660015E-2</v>
      </c>
      <c r="AL364" s="2">
        <f t="shared" ca="1" si="193"/>
        <v>3.8190003331453891E-4</v>
      </c>
      <c r="AM364" s="2">
        <f t="shared" ca="1" si="194"/>
        <v>6.7452860993101173E-5</v>
      </c>
      <c r="AN364" s="2">
        <f t="shared" ca="1" si="195"/>
        <v>0.2330545593190497</v>
      </c>
      <c r="AO364" s="2">
        <f t="shared" ca="1" si="196"/>
        <v>-8.6138409180905902E-6</v>
      </c>
      <c r="AP364" s="2">
        <f t="shared" ca="1" si="197"/>
        <v>0.16836766485626023</v>
      </c>
      <c r="AQ364" s="2">
        <f t="shared" ca="1" si="198"/>
        <v>2.0256583266722648</v>
      </c>
      <c r="AS364" s="2">
        <f t="shared" ca="1" si="199"/>
        <v>8.6917772927975889</v>
      </c>
      <c r="AT364" s="2">
        <f t="shared" ca="1" si="200"/>
        <v>0.40042321592917884</v>
      </c>
      <c r="AU364" s="2">
        <f t="shared" ca="1" si="201"/>
        <v>1.5292163950326822E-4</v>
      </c>
      <c r="AV364" s="2">
        <f t="shared" ca="1" si="202"/>
        <v>0.16821474321675697</v>
      </c>
      <c r="AW364" s="2">
        <f t="shared" ca="1" si="203"/>
        <v>0.7084220765181497</v>
      </c>
      <c r="AX364" s="2">
        <f t="shared" ca="1" si="204"/>
        <v>5.3162240362827358E-2</v>
      </c>
      <c r="AY364" s="9">
        <f t="shared" ca="1" si="205"/>
        <v>0.7084220765181497</v>
      </c>
      <c r="AZ364" s="9">
        <f t="shared" ca="1" si="206"/>
        <v>0.7084220765181497</v>
      </c>
      <c r="BB364" s="2">
        <f t="shared" ca="1" si="207"/>
        <v>8.6917772927975889</v>
      </c>
      <c r="BC364" s="2">
        <f t="shared" ca="1" si="208"/>
        <v>0.40042321592917884</v>
      </c>
      <c r="BD364" s="2">
        <f t="shared" ca="1" si="209"/>
        <v>1.5292163950326822E-4</v>
      </c>
      <c r="BE364" s="2">
        <f t="shared" ca="1" si="210"/>
        <v>0.16821474321675697</v>
      </c>
      <c r="BF364" s="2">
        <f t="shared" ca="1" si="211"/>
        <v>0.7084220765181497</v>
      </c>
      <c r="BG364" s="2">
        <f t="shared" ca="1" si="212"/>
        <v>5.3162240362827358E-2</v>
      </c>
      <c r="BH364" s="2">
        <f t="shared" ca="1" si="213"/>
        <v>0.7084220765181497</v>
      </c>
      <c r="BI364" s="2">
        <f t="shared" ca="1" si="214"/>
        <v>0.7084220765181497</v>
      </c>
    </row>
    <row r="365" spans="1:61" ht="15" x14ac:dyDescent="0.25">
      <c r="A365" s="66">
        <v>299</v>
      </c>
      <c r="B365" s="66">
        <v>1498730277.0109999</v>
      </c>
      <c r="C365" s="67">
        <v>5.7638468368780798E-5</v>
      </c>
      <c r="D365" s="67">
        <v>-1.212379220039E-5</v>
      </c>
      <c r="E365" s="67">
        <v>1.17520594700989E-2</v>
      </c>
      <c r="F365" s="67">
        <v>4.64719725609822E-4</v>
      </c>
      <c r="G365" s="67">
        <v>6.1678762022393402E-5</v>
      </c>
      <c r="H365" s="67">
        <v>0.216045567059473</v>
      </c>
      <c r="I365" s="67">
        <v>-1.212379220039E-5</v>
      </c>
      <c r="J365" s="67">
        <v>0.156134780167861</v>
      </c>
      <c r="K365" s="67">
        <v>1.87818783276289</v>
      </c>
      <c r="L365" s="67"/>
      <c r="M365" s="67"/>
      <c r="O365" s="11">
        <f t="shared" ca="1" si="172"/>
        <v>4.483453765882077E-5</v>
      </c>
      <c r="P365" s="11">
        <f t="shared" ca="1" si="173"/>
        <v>-1.288889243069474E-5</v>
      </c>
      <c r="Q365" s="11">
        <f t="shared" ca="1" si="174"/>
        <v>1.0915567857830615E-2</v>
      </c>
      <c r="R365" s="11">
        <f t="shared" ca="1" si="175"/>
        <v>4.530732379634749E-4</v>
      </c>
      <c r="S365" s="11">
        <f t="shared" ca="1" si="176"/>
        <v>5.0751109975423281E-5</v>
      </c>
      <c r="T365" s="11">
        <f t="shared" ca="1" si="177"/>
        <v>0.21490701202089071</v>
      </c>
      <c r="U365" s="11">
        <f t="shared" ca="1" si="178"/>
        <v>-1.288889243069474E-5</v>
      </c>
      <c r="V365" s="11">
        <f t="shared" ca="1" si="179"/>
        <v>0.15548458416216723</v>
      </c>
      <c r="W365" s="11">
        <f t="shared" ca="1" si="180"/>
        <v>1.871064984499385</v>
      </c>
      <c r="X365" s="11"/>
      <c r="Y365" s="2">
        <f t="shared" ca="1" si="181"/>
        <v>4.483453765882077E-5</v>
      </c>
      <c r="Z365" s="11">
        <f t="shared" ca="1" si="182"/>
        <v>-1.288889243069474E-5</v>
      </c>
      <c r="AA365" s="2">
        <f t="shared" ca="1" si="183"/>
        <v>1.0915567857830615E-2</v>
      </c>
      <c r="AB365" s="2">
        <f t="shared" ca="1" si="184"/>
        <v>4.530732379634749E-4</v>
      </c>
      <c r="AC365" s="2">
        <f t="shared" ca="1" si="185"/>
        <v>5.0751109975423281E-5</v>
      </c>
      <c r="AD365" s="2">
        <f t="shared" ca="1" si="186"/>
        <v>0.21490701202089071</v>
      </c>
      <c r="AE365" s="2">
        <f t="shared" ca="1" si="187"/>
        <v>-1.288889243069474E-5</v>
      </c>
      <c r="AF365" s="2">
        <f t="shared" ca="1" si="188"/>
        <v>0.15548458416216723</v>
      </c>
      <c r="AG365" s="2">
        <f t="shared" ca="1" si="189"/>
        <v>1.871064984499385</v>
      </c>
      <c r="AI365" s="2">
        <f t="shared" ca="1" si="190"/>
        <v>4.483453765882077E-5</v>
      </c>
      <c r="AJ365" s="11">
        <f t="shared" ca="1" si="191"/>
        <v>-1.288889243069474E-5</v>
      </c>
      <c r="AK365" s="2">
        <f t="shared" ca="1" si="192"/>
        <v>1.0915567857830615E-2</v>
      </c>
      <c r="AL365" s="2">
        <f t="shared" ca="1" si="193"/>
        <v>4.530732379634749E-4</v>
      </c>
      <c r="AM365" s="2">
        <f t="shared" ca="1" si="194"/>
        <v>5.0751109975423281E-5</v>
      </c>
      <c r="AN365" s="2">
        <f t="shared" ca="1" si="195"/>
        <v>0.21490701202089071</v>
      </c>
      <c r="AO365" s="2">
        <f t="shared" ca="1" si="196"/>
        <v>-1.288889243069474E-5</v>
      </c>
      <c r="AP365" s="2">
        <f t="shared" ca="1" si="197"/>
        <v>0.15548458416216723</v>
      </c>
      <c r="AQ365" s="2">
        <f t="shared" ca="1" si="198"/>
        <v>1.871064984499385</v>
      </c>
      <c r="AS365" s="2">
        <f t="shared" ca="1" si="199"/>
        <v>8.7063933694145916</v>
      </c>
      <c r="AT365" s="2">
        <f t="shared" ca="1" si="200"/>
        <v>0.40110474074439445</v>
      </c>
      <c r="AU365" s="2">
        <f t="shared" ca="1" si="201"/>
        <v>1.8172982365156294E-4</v>
      </c>
      <c r="AV365" s="2">
        <f t="shared" ca="1" si="202"/>
        <v>0.15530285433851568</v>
      </c>
      <c r="AW365" s="2">
        <f t="shared" ca="1" si="203"/>
        <v>0.70867484165759564</v>
      </c>
      <c r="AX365" s="2">
        <f t="shared" ca="1" si="204"/>
        <v>5.284817310323902E-2</v>
      </c>
      <c r="AY365" s="9">
        <f t="shared" ca="1" si="205"/>
        <v>0.70867484165759564</v>
      </c>
      <c r="AZ365" s="9">
        <f t="shared" ca="1" si="206"/>
        <v>0.70867484165759564</v>
      </c>
      <c r="BB365" s="2">
        <f t="shared" ca="1" si="207"/>
        <v>8.7063933694145916</v>
      </c>
      <c r="BC365" s="2">
        <f t="shared" ca="1" si="208"/>
        <v>0.40110474074439445</v>
      </c>
      <c r="BD365" s="2">
        <f t="shared" ca="1" si="209"/>
        <v>1.8172982365156294E-4</v>
      </c>
      <c r="BE365" s="2">
        <f t="shared" ca="1" si="210"/>
        <v>0.15530285433851568</v>
      </c>
      <c r="BF365" s="2">
        <f t="shared" ca="1" si="211"/>
        <v>0.70867484165759564</v>
      </c>
      <c r="BG365" s="2">
        <f t="shared" ca="1" si="212"/>
        <v>5.284817310323902E-2</v>
      </c>
      <c r="BH365" s="2">
        <f t="shared" ca="1" si="213"/>
        <v>0.70867484165759564</v>
      </c>
      <c r="BI365" s="2">
        <f t="shared" ca="1" si="214"/>
        <v>0.70867484165759564</v>
      </c>
    </row>
    <row r="366" spans="1:61" ht="15" x14ac:dyDescent="0.25">
      <c r="A366" s="66">
        <v>300</v>
      </c>
      <c r="B366" s="66">
        <v>1498730277.5380001</v>
      </c>
      <c r="C366" s="67">
        <v>-3.6142244406931299E-5</v>
      </c>
      <c r="D366" s="67">
        <v>2.69017460492567E-5</v>
      </c>
      <c r="E366" s="67">
        <v>1.2024311071228399E-2</v>
      </c>
      <c r="F366" s="67">
        <v>2.50501339726706E-4</v>
      </c>
      <c r="G366" s="67">
        <v>-1.4007884633097001E-4</v>
      </c>
      <c r="H366" s="67">
        <v>0.22171258158277499</v>
      </c>
      <c r="I366" s="67">
        <v>2.69017460492567E-5</v>
      </c>
      <c r="J366" s="67">
        <v>0.15990770111653599</v>
      </c>
      <c r="K366" s="67">
        <v>1.92369705980789</v>
      </c>
      <c r="L366" s="67"/>
      <c r="M366" s="67"/>
      <c r="O366" s="11">
        <f t="shared" ca="1" si="172"/>
        <v>-4.8946175116891327E-5</v>
      </c>
      <c r="P366" s="11">
        <f t="shared" ca="1" si="173"/>
        <v>2.6136645818951958E-5</v>
      </c>
      <c r="Q366" s="11">
        <f t="shared" ca="1" si="174"/>
        <v>1.1187819458960115E-2</v>
      </c>
      <c r="R366" s="11">
        <f t="shared" ca="1" si="175"/>
        <v>2.3885485208035887E-4</v>
      </c>
      <c r="S366" s="11">
        <f t="shared" ca="1" si="176"/>
        <v>-1.5100649837794012E-4</v>
      </c>
      <c r="T366" s="11">
        <f t="shared" ca="1" si="177"/>
        <v>0.2205740265441927</v>
      </c>
      <c r="U366" s="11">
        <f t="shared" ca="1" si="178"/>
        <v>2.6136645818951958E-5</v>
      </c>
      <c r="V366" s="11">
        <f t="shared" ca="1" si="179"/>
        <v>0.15925750511084222</v>
      </c>
      <c r="W366" s="11">
        <f t="shared" ca="1" si="180"/>
        <v>1.9165742115443849</v>
      </c>
      <c r="X366" s="11"/>
      <c r="Y366" s="2">
        <f t="shared" ca="1" si="181"/>
        <v>-4.8946175116891327E-5</v>
      </c>
      <c r="Z366" s="11">
        <f t="shared" ca="1" si="182"/>
        <v>2.6136645818951958E-5</v>
      </c>
      <c r="AA366" s="2">
        <f t="shared" ca="1" si="183"/>
        <v>1.1187619494061345E-2</v>
      </c>
      <c r="AB366" s="2">
        <f t="shared" ca="1" si="184"/>
        <v>2.3401479259876445E-4</v>
      </c>
      <c r="AC366" s="2">
        <f t="shared" ca="1" si="185"/>
        <v>-1.5100649837794012E-4</v>
      </c>
      <c r="AD366" s="2">
        <f t="shared" ca="1" si="186"/>
        <v>0.22053882817735238</v>
      </c>
      <c r="AE366" s="2">
        <f t="shared" ca="1" si="187"/>
        <v>2.6136645818951958E-5</v>
      </c>
      <c r="AF366" s="2">
        <f t="shared" ca="1" si="188"/>
        <v>0.15920552559880397</v>
      </c>
      <c r="AG366" s="2">
        <f t="shared" ca="1" si="189"/>
        <v>1.9165531194676031</v>
      </c>
      <c r="AI366" s="2">
        <f t="shared" ca="1" si="190"/>
        <v>-4.8946175116891327E-5</v>
      </c>
      <c r="AJ366" s="11">
        <f t="shared" ca="1" si="191"/>
        <v>2.6136645818951958E-5</v>
      </c>
      <c r="AK366" s="2">
        <f t="shared" ca="1" si="192"/>
        <v>1.1156783087966944E-2</v>
      </c>
      <c r="AL366" s="2">
        <f t="shared" ca="1" si="193"/>
        <v>2.1958206649920066E-4</v>
      </c>
      <c r="AM366" s="2">
        <f t="shared" ca="1" si="194"/>
        <v>-1.5100649837794012E-4</v>
      </c>
      <c r="AN366" s="2">
        <f t="shared" ca="1" si="195"/>
        <v>0.22053882817735238</v>
      </c>
      <c r="AO366" s="2">
        <f t="shared" ca="1" si="196"/>
        <v>2.6136645818951958E-5</v>
      </c>
      <c r="AP366" s="2">
        <f t="shared" ca="1" si="197"/>
        <v>0.15920552559880397</v>
      </c>
      <c r="AQ366" s="2">
        <f t="shared" ca="1" si="198"/>
        <v>1.9165531194676031</v>
      </c>
      <c r="AS366" s="2">
        <f t="shared" ca="1" si="199"/>
        <v>8.6890294454519257</v>
      </c>
      <c r="AT366" s="2">
        <f t="shared" ca="1" si="200"/>
        <v>0.4002950896524945</v>
      </c>
      <c r="AU366" s="2">
        <f t="shared" ca="1" si="201"/>
        <v>9.5612424427440559E-5</v>
      </c>
      <c r="AV366" s="2">
        <f t="shared" ca="1" si="202"/>
        <v>0.15916189268641479</v>
      </c>
      <c r="AW366" s="2">
        <f t="shared" ca="1" si="203"/>
        <v>0.70833632008601533</v>
      </c>
      <c r="AX366" s="2">
        <f t="shared" ca="1" si="204"/>
        <v>5.2666945825240986E-2</v>
      </c>
      <c r="AY366" s="9">
        <f t="shared" ca="1" si="205"/>
        <v>0.70833632008601533</v>
      </c>
      <c r="AZ366" s="9">
        <f t="shared" ca="1" si="206"/>
        <v>0.70833632008601533</v>
      </c>
      <c r="BB366" s="2">
        <f t="shared" ca="1" si="207"/>
        <v>8.6903205902878664</v>
      </c>
      <c r="BC366" s="2">
        <f t="shared" ca="1" si="208"/>
        <v>0.40035529292855582</v>
      </c>
      <c r="BD366" s="2">
        <f t="shared" ca="1" si="209"/>
        <v>8.7910842555145109E-5</v>
      </c>
      <c r="BE366" s="2">
        <f t="shared" ca="1" si="210"/>
        <v>0.15911761475624883</v>
      </c>
      <c r="BF366" s="2">
        <f t="shared" ca="1" si="211"/>
        <v>0.70819929161786832</v>
      </c>
      <c r="BG366" s="2">
        <f t="shared" ca="1" si="212"/>
        <v>5.253721079845905E-2</v>
      </c>
      <c r="BH366" s="2">
        <f t="shared" ca="1" si="213"/>
        <v>0.70819929161786832</v>
      </c>
      <c r="BI366" s="2">
        <f t="shared" ca="1" si="214"/>
        <v>0.70819929161786832</v>
      </c>
    </row>
    <row r="367" spans="1:61" ht="15" x14ac:dyDescent="0.25">
      <c r="A367" s="66">
        <v>301</v>
      </c>
      <c r="B367" s="66">
        <v>1498730278.0650001</v>
      </c>
      <c r="C367" s="67">
        <v>2.8335496812268602E-6</v>
      </c>
      <c r="D367" s="67">
        <v>3.77277267198039E-6</v>
      </c>
      <c r="E367" s="67">
        <v>1.19215160427107E-2</v>
      </c>
      <c r="F367" s="67">
        <v>3.3546913513823602E-4</v>
      </c>
      <c r="G367" s="67">
        <v>8.12782830125836E-5</v>
      </c>
      <c r="H367" s="67">
        <v>0.21860789285377899</v>
      </c>
      <c r="I367" s="67">
        <v>3.77277267198039E-6</v>
      </c>
      <c r="J367" s="67">
        <v>0.157854035035941</v>
      </c>
      <c r="K367" s="67">
        <v>1.9002105652285199</v>
      </c>
      <c r="L367" s="67"/>
      <c r="M367" s="67"/>
      <c r="O367" s="11">
        <f t="shared" ca="1" si="172"/>
        <v>-9.9703810287331668E-6</v>
      </c>
      <c r="P367" s="11">
        <f t="shared" ca="1" si="173"/>
        <v>3.0076724416756497E-6</v>
      </c>
      <c r="Q367" s="11">
        <f t="shared" ca="1" si="174"/>
        <v>1.1085024430442415E-2</v>
      </c>
      <c r="R367" s="11">
        <f t="shared" ca="1" si="175"/>
        <v>3.2382264749188891E-4</v>
      </c>
      <c r="S367" s="11">
        <f t="shared" ca="1" si="176"/>
        <v>7.0350630965613473E-5</v>
      </c>
      <c r="T367" s="11">
        <f t="shared" ca="1" si="177"/>
        <v>0.2174693378151967</v>
      </c>
      <c r="U367" s="11">
        <f t="shared" ca="1" si="178"/>
        <v>3.0076724416756497E-6</v>
      </c>
      <c r="V367" s="11">
        <f t="shared" ca="1" si="179"/>
        <v>0.15720383903024723</v>
      </c>
      <c r="W367" s="11">
        <f t="shared" ca="1" si="180"/>
        <v>1.8930877169650149</v>
      </c>
      <c r="X367" s="11"/>
      <c r="Y367" s="2">
        <f t="shared" ca="1" si="181"/>
        <v>-9.9703810287331668E-6</v>
      </c>
      <c r="Z367" s="11">
        <f t="shared" ca="1" si="182"/>
        <v>3.0076724416756497E-6</v>
      </c>
      <c r="AA367" s="2">
        <f t="shared" ca="1" si="183"/>
        <v>1.1085001419497571E-2</v>
      </c>
      <c r="AB367" s="2">
        <f t="shared" ca="1" si="184"/>
        <v>3.2326567803147302E-4</v>
      </c>
      <c r="AC367" s="2">
        <f t="shared" ca="1" si="185"/>
        <v>7.0350630965613473E-5</v>
      </c>
      <c r="AD367" s="2">
        <f t="shared" ca="1" si="186"/>
        <v>0.21746528736592824</v>
      </c>
      <c r="AE367" s="2">
        <f t="shared" ca="1" si="187"/>
        <v>3.0076724416756497E-6</v>
      </c>
      <c r="AF367" s="2">
        <f t="shared" ca="1" si="188"/>
        <v>0.15719785749202797</v>
      </c>
      <c r="AG367" s="2">
        <f t="shared" ca="1" si="189"/>
        <v>1.8930852897959545</v>
      </c>
      <c r="AI367" s="2">
        <f t="shared" ca="1" si="190"/>
        <v>-9.9703810287331668E-6</v>
      </c>
      <c r="AJ367" s="11">
        <f t="shared" ca="1" si="191"/>
        <v>3.0076724416756497E-6</v>
      </c>
      <c r="AK367" s="2">
        <f t="shared" ca="1" si="192"/>
        <v>1.1081452922515483E-2</v>
      </c>
      <c r="AL367" s="2">
        <f t="shared" ca="1" si="193"/>
        <v>3.216048332219055E-4</v>
      </c>
      <c r="AM367" s="2">
        <f t="shared" ca="1" si="194"/>
        <v>7.0350630965613473E-5</v>
      </c>
      <c r="AN367" s="2">
        <f t="shared" ca="1" si="195"/>
        <v>0.21746528736592824</v>
      </c>
      <c r="AO367" s="2">
        <f t="shared" ca="1" si="196"/>
        <v>3.0076724416756497E-6</v>
      </c>
      <c r="AP367" s="2">
        <f t="shared" ca="1" si="197"/>
        <v>0.15719785749202797</v>
      </c>
      <c r="AQ367" s="2">
        <f t="shared" ca="1" si="198"/>
        <v>1.8930852897959545</v>
      </c>
      <c r="AS367" s="2">
        <f t="shared" ca="1" si="199"/>
        <v>8.7050787756283245</v>
      </c>
      <c r="AT367" s="2">
        <f t="shared" ca="1" si="200"/>
        <v>0.4010434427219029</v>
      </c>
      <c r="AU367" s="2">
        <f t="shared" ca="1" si="201"/>
        <v>1.2986694938146832E-4</v>
      </c>
      <c r="AV367" s="2">
        <f t="shared" ca="1" si="202"/>
        <v>0.15707397208086576</v>
      </c>
      <c r="AW367" s="2">
        <f t="shared" ca="1" si="203"/>
        <v>0.70836547068624534</v>
      </c>
      <c r="AX367" s="2">
        <f t="shared" ca="1" si="204"/>
        <v>5.302806121166221E-2</v>
      </c>
      <c r="AY367" s="9">
        <f t="shared" ca="1" si="205"/>
        <v>0.70836547068624534</v>
      </c>
      <c r="AZ367" s="9">
        <f t="shared" ca="1" si="206"/>
        <v>0.70836547068624534</v>
      </c>
      <c r="BB367" s="2">
        <f t="shared" ca="1" si="207"/>
        <v>8.7052297528775942</v>
      </c>
      <c r="BC367" s="2">
        <f t="shared" ca="1" si="208"/>
        <v>0.40105048261469445</v>
      </c>
      <c r="BD367" s="2">
        <f t="shared" ca="1" si="209"/>
        <v>1.2897977357486352E-4</v>
      </c>
      <c r="BE367" s="2">
        <f t="shared" ca="1" si="210"/>
        <v>0.1570688777184531</v>
      </c>
      <c r="BF367" s="2">
        <f t="shared" ca="1" si="211"/>
        <v>0.70834950296642485</v>
      </c>
      <c r="BG367" s="2">
        <f t="shared" ca="1" si="212"/>
        <v>5.3012904148692537E-2</v>
      </c>
      <c r="BH367" s="2">
        <f t="shared" ca="1" si="213"/>
        <v>0.70834950296642485</v>
      </c>
      <c r="BI367" s="2">
        <f t="shared" ca="1" si="214"/>
        <v>0.70834950296642485</v>
      </c>
    </row>
    <row r="368" spans="1:61" ht="15" x14ac:dyDescent="0.25">
      <c r="A368" s="66">
        <v>302</v>
      </c>
      <c r="B368" s="66">
        <v>1498730278.592</v>
      </c>
      <c r="C368" s="67">
        <v>-4.20475341868896E-5</v>
      </c>
      <c r="D368" s="67">
        <v>-1.1065868666409099E-4</v>
      </c>
      <c r="E368" s="67">
        <v>1.2771634449722499E-2</v>
      </c>
      <c r="F368" s="67">
        <v>4.1377919029954698E-4</v>
      </c>
      <c r="G368" s="67">
        <v>-1.0806665814246E-4</v>
      </c>
      <c r="H368" s="67">
        <v>0.23429667921250799</v>
      </c>
      <c r="I368" s="67">
        <v>-1.1065868666409099E-4</v>
      </c>
      <c r="J368" s="67">
        <v>0.16897173934041701</v>
      </c>
      <c r="K368" s="67">
        <v>2.0289734126197798</v>
      </c>
      <c r="L368" s="67"/>
      <c r="M368" s="67"/>
      <c r="O368" s="11">
        <f t="shared" ca="1" si="172"/>
        <v>-5.4851464896849628E-5</v>
      </c>
      <c r="P368" s="11">
        <f t="shared" ca="1" si="173"/>
        <v>-1.1142378689439573E-4</v>
      </c>
      <c r="Q368" s="11">
        <f t="shared" ca="1" si="174"/>
        <v>1.1935142837454215E-2</v>
      </c>
      <c r="R368" s="11">
        <f t="shared" ca="1" si="175"/>
        <v>4.0213270265319987E-4</v>
      </c>
      <c r="S368" s="11">
        <f t="shared" ca="1" si="176"/>
        <v>-1.1899431018943012E-4</v>
      </c>
      <c r="T368" s="11">
        <f t="shared" ca="1" si="177"/>
        <v>0.2331581241739257</v>
      </c>
      <c r="U368" s="11">
        <f t="shared" ca="1" si="178"/>
        <v>-1.1142378689439573E-4</v>
      </c>
      <c r="V368" s="11">
        <f t="shared" ca="1" si="179"/>
        <v>0.16832154333472324</v>
      </c>
      <c r="W368" s="11">
        <f t="shared" ca="1" si="180"/>
        <v>2.0218505643562747</v>
      </c>
      <c r="X368" s="11"/>
      <c r="Y368" s="2">
        <f t="shared" ca="1" si="181"/>
        <v>-5.4851464896849628E-5</v>
      </c>
      <c r="Z368" s="11">
        <f t="shared" ca="1" si="182"/>
        <v>-1.1142378689439573E-4</v>
      </c>
      <c r="AA368" s="2">
        <f t="shared" ca="1" si="183"/>
        <v>1.1935142837454215E-2</v>
      </c>
      <c r="AB368" s="2">
        <f t="shared" ca="1" si="184"/>
        <v>4.0213270265319987E-4</v>
      </c>
      <c r="AC368" s="2">
        <f t="shared" ca="1" si="185"/>
        <v>-1.1899431018943012E-4</v>
      </c>
      <c r="AD368" s="2">
        <f t="shared" ca="1" si="186"/>
        <v>0.2331581241739257</v>
      </c>
      <c r="AE368" s="2">
        <f t="shared" ca="1" si="187"/>
        <v>-1.1142378689439573E-4</v>
      </c>
      <c r="AF368" s="2">
        <f t="shared" ca="1" si="188"/>
        <v>0.16832154333472324</v>
      </c>
      <c r="AG368" s="2">
        <f t="shared" ca="1" si="189"/>
        <v>2.0218505643562747</v>
      </c>
      <c r="AI368" s="2">
        <f t="shared" ca="1" si="190"/>
        <v>-5.4851464896849628E-5</v>
      </c>
      <c r="AJ368" s="11">
        <f t="shared" ca="1" si="191"/>
        <v>-1.1142378689439573E-4</v>
      </c>
      <c r="AK368" s="2">
        <f t="shared" ca="1" si="192"/>
        <v>1.1935142837454215E-2</v>
      </c>
      <c r="AL368" s="2">
        <f t="shared" ca="1" si="193"/>
        <v>4.0213270265319987E-4</v>
      </c>
      <c r="AM368" s="2">
        <f t="shared" ca="1" si="194"/>
        <v>-1.1899431018943012E-4</v>
      </c>
      <c r="AN368" s="2">
        <f t="shared" ca="1" si="195"/>
        <v>0.2331581241739257</v>
      </c>
      <c r="AO368" s="2">
        <f t="shared" ca="1" si="196"/>
        <v>-1.1142378689439573E-4</v>
      </c>
      <c r="AP368" s="2">
        <f t="shared" ca="1" si="197"/>
        <v>0.16832154333472324</v>
      </c>
      <c r="AQ368" s="2">
        <f t="shared" ca="1" si="198"/>
        <v>2.0218505643562747</v>
      </c>
      <c r="AS368" s="2">
        <f t="shared" ca="1" si="199"/>
        <v>8.6715853094102915</v>
      </c>
      <c r="AT368" s="2">
        <f t="shared" ca="1" si="200"/>
        <v>0.3994817181640688</v>
      </c>
      <c r="AU368" s="2">
        <f t="shared" ca="1" si="201"/>
        <v>1.6064466298586086E-4</v>
      </c>
      <c r="AV368" s="2">
        <f t="shared" ca="1" si="202"/>
        <v>0.16816089867173739</v>
      </c>
      <c r="AW368" s="2">
        <f t="shared" ca="1" si="203"/>
        <v>0.70871034843789527</v>
      </c>
      <c r="AX368" s="2">
        <f t="shared" ca="1" si="204"/>
        <v>5.3043364597237144E-2</v>
      </c>
      <c r="AY368" s="9">
        <f t="shared" ca="1" si="205"/>
        <v>0.70871034843789527</v>
      </c>
      <c r="AZ368" s="9">
        <f t="shared" ca="1" si="206"/>
        <v>0.70871034843789527</v>
      </c>
      <c r="BB368" s="2">
        <f t="shared" ca="1" si="207"/>
        <v>8.6715853094102915</v>
      </c>
      <c r="BC368" s="2">
        <f t="shared" ca="1" si="208"/>
        <v>0.3994817181640688</v>
      </c>
      <c r="BD368" s="2">
        <f t="shared" ca="1" si="209"/>
        <v>1.6064466298586086E-4</v>
      </c>
      <c r="BE368" s="2">
        <f t="shared" ca="1" si="210"/>
        <v>0.16816089867173739</v>
      </c>
      <c r="BF368" s="2">
        <f t="shared" ca="1" si="211"/>
        <v>0.70871034843789527</v>
      </c>
      <c r="BG368" s="2">
        <f t="shared" ca="1" si="212"/>
        <v>5.3043364597237144E-2</v>
      </c>
      <c r="BH368" s="2">
        <f t="shared" ca="1" si="213"/>
        <v>0.70871034843789527</v>
      </c>
      <c r="BI368" s="2">
        <f t="shared" ca="1" si="214"/>
        <v>0.70871034843789527</v>
      </c>
    </row>
    <row r="369" spans="1:61" ht="15" x14ac:dyDescent="0.25">
      <c r="A369" s="66">
        <v>303</v>
      </c>
      <c r="B369" s="66">
        <v>1498730279.119</v>
      </c>
      <c r="C369" s="67">
        <v>-3.1417987275982498E-5</v>
      </c>
      <c r="D369" s="67">
        <v>-1.7626764013212701E-5</v>
      </c>
      <c r="E369" s="67">
        <v>1.38238321890332E-2</v>
      </c>
      <c r="F369" s="67">
        <v>3.8450146017464598E-4</v>
      </c>
      <c r="G369" s="67">
        <v>-7.0916394492588495E-5</v>
      </c>
      <c r="H369" s="67">
        <v>0.25746508988473799</v>
      </c>
      <c r="I369" s="67">
        <v>-1.7626764013212701E-5</v>
      </c>
      <c r="J369" s="67">
        <v>0.18562815857637599</v>
      </c>
      <c r="K369" s="67">
        <v>2.2330862501511399</v>
      </c>
      <c r="L369" s="67"/>
      <c r="M369" s="67"/>
      <c r="O369" s="11">
        <f t="shared" ca="1" si="172"/>
        <v>-4.4221917985942526E-5</v>
      </c>
      <c r="P369" s="11">
        <f t="shared" ca="1" si="173"/>
        <v>-1.8391864243517443E-5</v>
      </c>
      <c r="Q369" s="11">
        <f t="shared" ca="1" si="174"/>
        <v>1.2987340576764915E-2</v>
      </c>
      <c r="R369" s="11">
        <f t="shared" ca="1" si="175"/>
        <v>3.7285497252829888E-4</v>
      </c>
      <c r="S369" s="11">
        <f t="shared" ca="1" si="176"/>
        <v>-8.1844046539558622E-5</v>
      </c>
      <c r="T369" s="11">
        <f t="shared" ca="1" si="177"/>
        <v>0.2563265348461557</v>
      </c>
      <c r="U369" s="11">
        <f t="shared" ca="1" si="178"/>
        <v>-1.8391864243517443E-5</v>
      </c>
      <c r="V369" s="11">
        <f t="shared" ca="1" si="179"/>
        <v>0.18497796257068222</v>
      </c>
      <c r="W369" s="11">
        <f t="shared" ca="1" si="180"/>
        <v>2.2259634018876349</v>
      </c>
      <c r="X369" s="11"/>
      <c r="Y369" s="2">
        <f t="shared" ca="1" si="181"/>
        <v>-4.4221917985942526E-5</v>
      </c>
      <c r="Z369" s="11">
        <f t="shared" ca="1" si="182"/>
        <v>-1.8391864243517443E-5</v>
      </c>
      <c r="AA369" s="2">
        <f t="shared" ca="1" si="183"/>
        <v>1.2987340576764915E-2</v>
      </c>
      <c r="AB369" s="2">
        <f t="shared" ca="1" si="184"/>
        <v>3.7285497252829888E-4</v>
      </c>
      <c r="AC369" s="2">
        <f t="shared" ca="1" si="185"/>
        <v>-8.1844046539558622E-5</v>
      </c>
      <c r="AD369" s="2">
        <f t="shared" ca="1" si="186"/>
        <v>0.2563265348461557</v>
      </c>
      <c r="AE369" s="2">
        <f t="shared" ca="1" si="187"/>
        <v>-1.8391864243517443E-5</v>
      </c>
      <c r="AF369" s="2">
        <f t="shared" ca="1" si="188"/>
        <v>0.18497796257068222</v>
      </c>
      <c r="AG369" s="2">
        <f t="shared" ca="1" si="189"/>
        <v>2.2259634018876349</v>
      </c>
      <c r="AI369" s="2">
        <f t="shared" ca="1" si="190"/>
        <v>-4.4221917985942526E-5</v>
      </c>
      <c r="AJ369" s="11">
        <f t="shared" ca="1" si="191"/>
        <v>-1.8391864243517443E-5</v>
      </c>
      <c r="AK369" s="2">
        <f t="shared" ca="1" si="192"/>
        <v>1.2987340576764915E-2</v>
      </c>
      <c r="AL369" s="2">
        <f t="shared" ca="1" si="193"/>
        <v>3.7285497252829888E-4</v>
      </c>
      <c r="AM369" s="2">
        <f t="shared" ca="1" si="194"/>
        <v>-8.1844046539558622E-5</v>
      </c>
      <c r="AN369" s="2">
        <f t="shared" ca="1" si="195"/>
        <v>0.2563265348461557</v>
      </c>
      <c r="AO369" s="2">
        <f t="shared" ca="1" si="196"/>
        <v>-1.8391864243517443E-5</v>
      </c>
      <c r="AP369" s="2">
        <f t="shared" ca="1" si="197"/>
        <v>0.18497796257068222</v>
      </c>
      <c r="AQ369" s="2">
        <f t="shared" ca="1" si="198"/>
        <v>2.2259634018876349</v>
      </c>
      <c r="AS369" s="2">
        <f t="shared" ca="1" si="199"/>
        <v>8.6840927460890196</v>
      </c>
      <c r="AT369" s="2">
        <f t="shared" ca="1" si="200"/>
        <v>0.40006490309690368</v>
      </c>
      <c r="AU369" s="2">
        <f t="shared" ca="1" si="201"/>
        <v>1.4916618845373257E-4</v>
      </c>
      <c r="AV369" s="2">
        <f t="shared" ca="1" si="202"/>
        <v>0.18482879638222849</v>
      </c>
      <c r="AW369" s="2">
        <f t="shared" ca="1" si="203"/>
        <v>0.70803569177672165</v>
      </c>
      <c r="AX369" s="2">
        <f t="shared" ca="1" si="204"/>
        <v>5.2580070551027737E-2</v>
      </c>
      <c r="AY369" s="9">
        <f t="shared" ca="1" si="205"/>
        <v>0.70803569177672165</v>
      </c>
      <c r="AZ369" s="9">
        <f t="shared" ca="1" si="206"/>
        <v>0.70803569177672165</v>
      </c>
      <c r="BB369" s="2">
        <f t="shared" ca="1" si="207"/>
        <v>8.6840927460890196</v>
      </c>
      <c r="BC369" s="2">
        <f t="shared" ca="1" si="208"/>
        <v>0.40006490309690368</v>
      </c>
      <c r="BD369" s="2">
        <f t="shared" ca="1" si="209"/>
        <v>1.4916618845373257E-4</v>
      </c>
      <c r="BE369" s="2">
        <f t="shared" ca="1" si="210"/>
        <v>0.18482879638222849</v>
      </c>
      <c r="BF369" s="2">
        <f t="shared" ca="1" si="211"/>
        <v>0.70803569177672165</v>
      </c>
      <c r="BG369" s="2">
        <f t="shared" ca="1" si="212"/>
        <v>5.2580070551027737E-2</v>
      </c>
      <c r="BH369" s="2">
        <f t="shared" ca="1" si="213"/>
        <v>0.70803569177672165</v>
      </c>
      <c r="BI369" s="2">
        <f t="shared" ca="1" si="214"/>
        <v>0.70803569177672165</v>
      </c>
    </row>
    <row r="370" spans="1:61" ht="15" x14ac:dyDescent="0.25">
      <c r="A370" s="66">
        <v>304</v>
      </c>
      <c r="B370" s="66">
        <v>1498730279.645</v>
      </c>
      <c r="C370" s="67">
        <v>2.9290718679020201E-5</v>
      </c>
      <c r="D370" s="67">
        <v>4.47660130985578E-5</v>
      </c>
      <c r="E370" s="67">
        <v>1.33630446149977E-2</v>
      </c>
      <c r="F370" s="67">
        <v>5.4280185046831696E-4</v>
      </c>
      <c r="G370" s="67">
        <v>1.9289238173831001E-5</v>
      </c>
      <c r="H370" s="67">
        <v>0.24680279981400899</v>
      </c>
      <c r="I370" s="67">
        <v>4.47660130985578E-5</v>
      </c>
      <c r="J370" s="67">
        <v>0.178280692542931</v>
      </c>
      <c r="K370" s="67">
        <v>2.1463699285603601</v>
      </c>
      <c r="L370" s="67"/>
      <c r="M370" s="67"/>
      <c r="O370" s="11">
        <f t="shared" ca="1" si="172"/>
        <v>1.6486787969060173E-5</v>
      </c>
      <c r="P370" s="11">
        <f t="shared" ca="1" si="173"/>
        <v>4.4000912868253061E-5</v>
      </c>
      <c r="Q370" s="11">
        <f t="shared" ca="1" si="174"/>
        <v>1.2526553002729415E-2</v>
      </c>
      <c r="R370" s="11">
        <f t="shared" ca="1" si="175"/>
        <v>5.3115536282196979E-4</v>
      </c>
      <c r="S370" s="11">
        <f t="shared" ca="1" si="176"/>
        <v>8.3615861268608781E-6</v>
      </c>
      <c r="T370" s="11">
        <f t="shared" ca="1" si="177"/>
        <v>0.2456642447754267</v>
      </c>
      <c r="U370" s="11">
        <f t="shared" ca="1" si="178"/>
        <v>4.4000912868253061E-5</v>
      </c>
      <c r="V370" s="11">
        <f t="shared" ca="1" si="179"/>
        <v>0.17763049653723723</v>
      </c>
      <c r="W370" s="11">
        <f t="shared" ca="1" si="180"/>
        <v>2.1392470802968551</v>
      </c>
      <c r="X370" s="11"/>
      <c r="Y370" s="2">
        <f t="shared" ca="1" si="181"/>
        <v>1.6486787969060173E-5</v>
      </c>
      <c r="Z370" s="11">
        <f t="shared" ca="1" si="182"/>
        <v>4.4000912868253061E-5</v>
      </c>
      <c r="AA370" s="2">
        <f t="shared" ca="1" si="183"/>
        <v>1.2526216362819748E-2</v>
      </c>
      <c r="AB370" s="2">
        <f t="shared" ca="1" si="184"/>
        <v>5.2300714682661925E-4</v>
      </c>
      <c r="AC370" s="2">
        <f t="shared" ca="1" si="185"/>
        <v>8.3615861268608781E-6</v>
      </c>
      <c r="AD370" s="2">
        <f t="shared" ca="1" si="186"/>
        <v>0.24560498850041826</v>
      </c>
      <c r="AE370" s="2">
        <f t="shared" ca="1" si="187"/>
        <v>4.4000912868253061E-5</v>
      </c>
      <c r="AF370" s="2">
        <f t="shared" ca="1" si="188"/>
        <v>0.17754298928799139</v>
      </c>
      <c r="AG370" s="2">
        <f t="shared" ca="1" si="189"/>
        <v>2.1392115718907987</v>
      </c>
      <c r="AI370" s="2">
        <f t="shared" ca="1" si="190"/>
        <v>1.6486787969060173E-5</v>
      </c>
      <c r="AJ370" s="11">
        <f t="shared" ca="1" si="191"/>
        <v>4.4000912868253061E-5</v>
      </c>
      <c r="AK370" s="2">
        <f t="shared" ca="1" si="192"/>
        <v>1.2474303426969886E-2</v>
      </c>
      <c r="AL370" s="2">
        <f t="shared" ca="1" si="193"/>
        <v>4.9870972442753755E-4</v>
      </c>
      <c r="AM370" s="2">
        <f t="shared" ca="1" si="194"/>
        <v>8.3615861268608781E-6</v>
      </c>
      <c r="AN370" s="2">
        <f t="shared" ca="1" si="195"/>
        <v>0.24560498850041826</v>
      </c>
      <c r="AO370" s="2">
        <f t="shared" ca="1" si="196"/>
        <v>4.4000912868253061E-5</v>
      </c>
      <c r="AP370" s="2">
        <f t="shared" ca="1" si="197"/>
        <v>0.17754298928799139</v>
      </c>
      <c r="AQ370" s="2">
        <f t="shared" ca="1" si="198"/>
        <v>2.1392115718907987</v>
      </c>
      <c r="AS370" s="2">
        <f t="shared" ca="1" si="199"/>
        <v>8.7080115474372022</v>
      </c>
      <c r="AT370" s="2">
        <f t="shared" ca="1" si="200"/>
        <v>0.4011801947108497</v>
      </c>
      <c r="AU370" s="2">
        <f t="shared" ca="1" si="201"/>
        <v>2.1308901187862985E-4</v>
      </c>
      <c r="AV370" s="2">
        <f t="shared" ca="1" si="202"/>
        <v>0.17741740752535859</v>
      </c>
      <c r="AW370" s="2">
        <f t="shared" ca="1" si="203"/>
        <v>0.70816065728852884</v>
      </c>
      <c r="AX370" s="2">
        <f t="shared" ca="1" si="204"/>
        <v>5.3064789662664938E-2</v>
      </c>
      <c r="AY370" s="9">
        <f t="shared" ca="1" si="205"/>
        <v>0.70816065728852884</v>
      </c>
      <c r="AZ370" s="9">
        <f t="shared" ca="1" si="206"/>
        <v>0.70816065728852884</v>
      </c>
      <c r="BB370" s="2">
        <f t="shared" ca="1" si="207"/>
        <v>8.7099679243166328</v>
      </c>
      <c r="BC370" s="2">
        <f t="shared" ca="1" si="208"/>
        <v>0.40127141876706601</v>
      </c>
      <c r="BD370" s="2">
        <f t="shared" ca="1" si="209"/>
        <v>2.0011795867397051E-4</v>
      </c>
      <c r="BE370" s="2">
        <f t="shared" ca="1" si="210"/>
        <v>0.17734287132931742</v>
      </c>
      <c r="BF370" s="2">
        <f t="shared" ca="1" si="211"/>
        <v>0.70795383723814687</v>
      </c>
      <c r="BG370" s="2">
        <f t="shared" ca="1" si="212"/>
        <v>5.2868351193059868E-2</v>
      </c>
      <c r="BH370" s="2">
        <f t="shared" ca="1" si="213"/>
        <v>0.70795383723814687</v>
      </c>
      <c r="BI370" s="2">
        <f t="shared" ca="1" si="214"/>
        <v>0.70795383723814687</v>
      </c>
    </row>
    <row r="371" spans="1:61" ht="15" x14ac:dyDescent="0.25">
      <c r="A371" s="66">
        <v>305</v>
      </c>
      <c r="B371" s="66">
        <v>1498730280.1719999</v>
      </c>
      <c r="C371" s="67">
        <v>3.5422146552452398E-6</v>
      </c>
      <c r="D371" s="67">
        <v>4.5049598832693002E-5</v>
      </c>
      <c r="E371" s="67">
        <v>1.4367112432964201E-2</v>
      </c>
      <c r="F371" s="67">
        <v>5.1494868490481699E-4</v>
      </c>
      <c r="G371" s="67">
        <v>-1.73393434414976E-6</v>
      </c>
      <c r="H371" s="67">
        <v>0.26606245680308199</v>
      </c>
      <c r="I371" s="67">
        <v>4.5049598832693002E-5</v>
      </c>
      <c r="J371" s="67">
        <v>0.19204994889228</v>
      </c>
      <c r="K371" s="67">
        <v>2.3050333775140102</v>
      </c>
      <c r="L371" s="67"/>
      <c r="M371" s="67"/>
      <c r="O371" s="11">
        <f t="shared" ca="1" si="172"/>
        <v>-9.261716054714788E-6</v>
      </c>
      <c r="P371" s="11">
        <f t="shared" ca="1" si="173"/>
        <v>4.4284498602388264E-5</v>
      </c>
      <c r="Q371" s="11">
        <f t="shared" ca="1" si="174"/>
        <v>1.3530620820695916E-2</v>
      </c>
      <c r="R371" s="11">
        <f t="shared" ca="1" si="175"/>
        <v>5.0330219725846983E-4</v>
      </c>
      <c r="S371" s="11">
        <f t="shared" ca="1" si="176"/>
        <v>-1.2661586391119882E-5</v>
      </c>
      <c r="T371" s="11">
        <f t="shared" ca="1" si="177"/>
        <v>0.2649239017644997</v>
      </c>
      <c r="U371" s="11">
        <f t="shared" ca="1" si="178"/>
        <v>4.4284498602388264E-5</v>
      </c>
      <c r="V371" s="11">
        <f t="shared" ca="1" si="179"/>
        <v>0.19139975288658623</v>
      </c>
      <c r="W371" s="11">
        <f t="shared" ca="1" si="180"/>
        <v>2.2979105292505051</v>
      </c>
      <c r="X371" s="11"/>
      <c r="Y371" s="2">
        <f t="shared" ca="1" si="181"/>
        <v>-9.261716054714788E-6</v>
      </c>
      <c r="Z371" s="11">
        <f t="shared" ca="1" si="182"/>
        <v>4.4284498602388264E-5</v>
      </c>
      <c r="AA371" s="2">
        <f t="shared" ca="1" si="183"/>
        <v>1.3530282011143173E-2</v>
      </c>
      <c r="AB371" s="2">
        <f t="shared" ca="1" si="184"/>
        <v>4.9510146603867712E-4</v>
      </c>
      <c r="AC371" s="2">
        <f t="shared" ca="1" si="185"/>
        <v>-1.2661586391119882E-5</v>
      </c>
      <c r="AD371" s="2">
        <f t="shared" ca="1" si="186"/>
        <v>0.26486426358299991</v>
      </c>
      <c r="AE371" s="2">
        <f t="shared" ca="1" si="187"/>
        <v>4.4284498602388264E-5</v>
      </c>
      <c r="AF371" s="2">
        <f t="shared" ca="1" si="188"/>
        <v>0.19131168165341592</v>
      </c>
      <c r="AG371" s="2">
        <f t="shared" ca="1" si="189"/>
        <v>2.2978747919928924</v>
      </c>
      <c r="AI371" s="2">
        <f t="shared" ca="1" si="190"/>
        <v>-9.261716054714788E-6</v>
      </c>
      <c r="AJ371" s="11">
        <f t="shared" ca="1" si="191"/>
        <v>4.4284498602388264E-5</v>
      </c>
      <c r="AK371" s="2">
        <f t="shared" ca="1" si="192"/>
        <v>1.3478034496597905E-2</v>
      </c>
      <c r="AL371" s="2">
        <f t="shared" ca="1" si="193"/>
        <v>4.7064744683467758E-4</v>
      </c>
      <c r="AM371" s="2">
        <f t="shared" ca="1" si="194"/>
        <v>-1.2661586391119882E-5</v>
      </c>
      <c r="AN371" s="2">
        <f t="shared" ca="1" si="195"/>
        <v>0.26486426358299991</v>
      </c>
      <c r="AO371" s="2">
        <f t="shared" ca="1" si="196"/>
        <v>4.4284498602388264E-5</v>
      </c>
      <c r="AP371" s="2">
        <f t="shared" ca="1" si="197"/>
        <v>0.19131168165341592</v>
      </c>
      <c r="AQ371" s="2">
        <f t="shared" ca="1" si="198"/>
        <v>2.2978747919928924</v>
      </c>
      <c r="AS371" s="2">
        <f t="shared" ca="1" si="199"/>
        <v>8.6738512982237435</v>
      </c>
      <c r="AT371" s="2">
        <f t="shared" ca="1" si="200"/>
        <v>0.39958737379187242</v>
      </c>
      <c r="AU371" s="2">
        <f t="shared" ca="1" si="201"/>
        <v>2.0111320322619089E-4</v>
      </c>
      <c r="AV371" s="2">
        <f t="shared" ca="1" si="202"/>
        <v>0.19119863968336004</v>
      </c>
      <c r="AW371" s="2">
        <f t="shared" ca="1" si="203"/>
        <v>0.70908911587533641</v>
      </c>
      <c r="AX371" s="2">
        <f t="shared" ca="1" si="204"/>
        <v>5.2937897229610398E-2</v>
      </c>
      <c r="AY371" s="9">
        <f t="shared" ca="1" si="205"/>
        <v>0.70908911587533641</v>
      </c>
      <c r="AZ371" s="9">
        <f t="shared" ca="1" si="206"/>
        <v>0.70908911587533641</v>
      </c>
      <c r="BB371" s="2">
        <f t="shared" ca="1" si="207"/>
        <v>8.6756694199057645</v>
      </c>
      <c r="BC371" s="2">
        <f t="shared" ca="1" si="208"/>
        <v>0.39967214708603954</v>
      </c>
      <c r="BD371" s="2">
        <f t="shared" ca="1" si="209"/>
        <v>1.8810467559697824E-4</v>
      </c>
      <c r="BE371" s="2">
        <f t="shared" ca="1" si="210"/>
        <v>0.19112357697781893</v>
      </c>
      <c r="BF371" s="2">
        <f t="shared" ca="1" si="211"/>
        <v>0.70889550822591951</v>
      </c>
      <c r="BG371" s="2">
        <f t="shared" ca="1" si="212"/>
        <v>5.2755341955188398E-2</v>
      </c>
      <c r="BH371" s="2">
        <f t="shared" ca="1" si="213"/>
        <v>0.70889550822591951</v>
      </c>
      <c r="BI371" s="2">
        <f t="shared" ca="1" si="214"/>
        <v>0.70889550822591951</v>
      </c>
    </row>
    <row r="372" spans="1:61" ht="15" x14ac:dyDescent="0.25">
      <c r="A372" s="66">
        <v>306</v>
      </c>
      <c r="B372" s="66">
        <v>1498730280.6989999</v>
      </c>
      <c r="C372" s="67">
        <v>-7.1337251982776901E-5</v>
      </c>
      <c r="D372" s="67">
        <v>7.0191522050149904E-7</v>
      </c>
      <c r="E372" s="67">
        <v>1.4014622530009299E-2</v>
      </c>
      <c r="F372" s="67">
        <v>3.7688463041089901E-4</v>
      </c>
      <c r="G372" s="67">
        <v>9.8006907283648204E-5</v>
      </c>
      <c r="H372" s="67">
        <v>0.26246485239850598</v>
      </c>
      <c r="I372" s="67">
        <v>7.0191522050149904E-7</v>
      </c>
      <c r="J372" s="67">
        <v>0.18950435542255101</v>
      </c>
      <c r="K372" s="67">
        <v>2.2798201572582801</v>
      </c>
      <c r="L372" s="67"/>
      <c r="M372" s="67"/>
      <c r="O372" s="11">
        <f t="shared" ca="1" si="172"/>
        <v>-8.4141182692736922E-5</v>
      </c>
      <c r="P372" s="11">
        <f t="shared" ca="1" si="173"/>
        <v>-6.318500980324137E-8</v>
      </c>
      <c r="Q372" s="11">
        <f t="shared" ca="1" si="174"/>
        <v>1.3178130917741015E-2</v>
      </c>
      <c r="R372" s="11">
        <f t="shared" ca="1" si="175"/>
        <v>3.652381427645519E-4</v>
      </c>
      <c r="S372" s="11">
        <f t="shared" ca="1" si="176"/>
        <v>8.7079255236678077E-5</v>
      </c>
      <c r="T372" s="11">
        <f t="shared" ca="1" si="177"/>
        <v>0.26132629735992369</v>
      </c>
      <c r="U372" s="11">
        <f t="shared" ca="1" si="178"/>
        <v>-6.318500980324137E-8</v>
      </c>
      <c r="V372" s="11">
        <f t="shared" ca="1" si="179"/>
        <v>0.18885415941685724</v>
      </c>
      <c r="W372" s="11">
        <f t="shared" ca="1" si="180"/>
        <v>2.2726973089947751</v>
      </c>
      <c r="X372" s="11"/>
      <c r="Y372" s="2">
        <f t="shared" ca="1" si="181"/>
        <v>-8.4141182692736922E-5</v>
      </c>
      <c r="Z372" s="11">
        <f t="shared" ca="1" si="182"/>
        <v>-6.318500980324137E-8</v>
      </c>
      <c r="AA372" s="2">
        <f t="shared" ca="1" si="183"/>
        <v>1.3178130917741015E-2</v>
      </c>
      <c r="AB372" s="2">
        <f t="shared" ca="1" si="184"/>
        <v>3.652381427645519E-4</v>
      </c>
      <c r="AC372" s="2">
        <f t="shared" ca="1" si="185"/>
        <v>8.7079255236678077E-5</v>
      </c>
      <c r="AD372" s="2">
        <f t="shared" ca="1" si="186"/>
        <v>0.26132629735992369</v>
      </c>
      <c r="AE372" s="2">
        <f t="shared" ca="1" si="187"/>
        <v>-6.318500980324137E-8</v>
      </c>
      <c r="AF372" s="2">
        <f t="shared" ca="1" si="188"/>
        <v>0.18885415941685724</v>
      </c>
      <c r="AG372" s="2">
        <f t="shared" ca="1" si="189"/>
        <v>2.2726973089947751</v>
      </c>
      <c r="AI372" s="2">
        <f t="shared" ca="1" si="190"/>
        <v>-8.4141182692736922E-5</v>
      </c>
      <c r="AJ372" s="11">
        <f t="shared" ca="1" si="191"/>
        <v>-6.318500980324137E-8</v>
      </c>
      <c r="AK372" s="2">
        <f t="shared" ca="1" si="192"/>
        <v>1.3178130917741015E-2</v>
      </c>
      <c r="AL372" s="2">
        <f t="shared" ca="1" si="193"/>
        <v>3.652381427645519E-4</v>
      </c>
      <c r="AM372" s="2">
        <f t="shared" ca="1" si="194"/>
        <v>8.7079255236678077E-5</v>
      </c>
      <c r="AN372" s="2">
        <f t="shared" ca="1" si="195"/>
        <v>0.26132629735992369</v>
      </c>
      <c r="AO372" s="2">
        <f t="shared" ca="1" si="196"/>
        <v>-6.318500980324137E-8</v>
      </c>
      <c r="AP372" s="2">
        <f t="shared" ca="1" si="197"/>
        <v>0.18885415941685724</v>
      </c>
      <c r="AQ372" s="2">
        <f t="shared" ca="1" si="198"/>
        <v>2.2726973089947751</v>
      </c>
      <c r="AS372" s="2">
        <f t="shared" ca="1" si="199"/>
        <v>8.6967799718395664</v>
      </c>
      <c r="AT372" s="2">
        <f t="shared" ca="1" si="200"/>
        <v>0.40065648147284016</v>
      </c>
      <c r="AU372" s="2">
        <f t="shared" ca="1" si="201"/>
        <v>1.4633502917972023E-4</v>
      </c>
      <c r="AV372" s="2">
        <f t="shared" ca="1" si="202"/>
        <v>0.18870782438767753</v>
      </c>
      <c r="AW372" s="2">
        <f t="shared" ca="1" si="203"/>
        <v>0.70854360322582166</v>
      </c>
      <c r="AX372" s="2">
        <f t="shared" ca="1" si="204"/>
        <v>5.2409977723463522E-2</v>
      </c>
      <c r="AY372" s="9">
        <f t="shared" ca="1" si="205"/>
        <v>0.70854360322582166</v>
      </c>
      <c r="AZ372" s="9">
        <f t="shared" ca="1" si="206"/>
        <v>0.70854360322582166</v>
      </c>
      <c r="BB372" s="2">
        <f t="shared" ca="1" si="207"/>
        <v>8.6967799718395664</v>
      </c>
      <c r="BC372" s="2">
        <f t="shared" ca="1" si="208"/>
        <v>0.40065648147284016</v>
      </c>
      <c r="BD372" s="2">
        <f t="shared" ca="1" si="209"/>
        <v>1.4633502917972023E-4</v>
      </c>
      <c r="BE372" s="2">
        <f t="shared" ca="1" si="210"/>
        <v>0.18870782438767753</v>
      </c>
      <c r="BF372" s="2">
        <f t="shared" ca="1" si="211"/>
        <v>0.70854360322582166</v>
      </c>
      <c r="BG372" s="2">
        <f t="shared" ca="1" si="212"/>
        <v>5.2409977723463522E-2</v>
      </c>
      <c r="BH372" s="2">
        <f t="shared" ca="1" si="213"/>
        <v>0.70854360322582166</v>
      </c>
      <c r="BI372" s="2">
        <f t="shared" ca="1" si="214"/>
        <v>0.70854360322582166</v>
      </c>
    </row>
    <row r="373" spans="1:61" ht="15" x14ac:dyDescent="0.25">
      <c r="A373" s="66">
        <v>307</v>
      </c>
      <c r="B373" s="66">
        <v>1498730281.2260001</v>
      </c>
      <c r="C373" s="67">
        <v>8.3152135584973403E-5</v>
      </c>
      <c r="D373" s="67">
        <v>5.5448302273780701E-5</v>
      </c>
      <c r="E373" s="67">
        <v>1.38655569654603E-2</v>
      </c>
      <c r="F373" s="67">
        <v>5.5899037194199401E-4</v>
      </c>
      <c r="G373" s="67">
        <v>1.9037154312186101E-4</v>
      </c>
      <c r="H373" s="67">
        <v>0.25595222779885601</v>
      </c>
      <c r="I373" s="67">
        <v>5.5448302273780701E-5</v>
      </c>
      <c r="J373" s="67">
        <v>0.18499154492309799</v>
      </c>
      <c r="K373" s="67">
        <v>2.2222159708784601</v>
      </c>
      <c r="L373" s="67"/>
      <c r="M373" s="67"/>
      <c r="O373" s="11">
        <f t="shared" ca="1" si="172"/>
        <v>7.0348204875013382E-5</v>
      </c>
      <c r="P373" s="11">
        <f t="shared" ca="1" si="173"/>
        <v>5.4683202043475962E-5</v>
      </c>
      <c r="Q373" s="11">
        <f t="shared" ca="1" si="174"/>
        <v>1.3029065353192015E-2</v>
      </c>
      <c r="R373" s="11">
        <f t="shared" ca="1" si="175"/>
        <v>5.4734388429564685E-4</v>
      </c>
      <c r="S373" s="11">
        <f t="shared" ca="1" si="176"/>
        <v>1.794438910748909E-4</v>
      </c>
      <c r="T373" s="11">
        <f t="shared" ca="1" si="177"/>
        <v>0.25481367276027372</v>
      </c>
      <c r="U373" s="11">
        <f t="shared" ca="1" si="178"/>
        <v>5.4683202043475962E-5</v>
      </c>
      <c r="V373" s="11">
        <f t="shared" ca="1" si="179"/>
        <v>0.18434134891740422</v>
      </c>
      <c r="W373" s="11">
        <f t="shared" ca="1" si="180"/>
        <v>2.2150931226149551</v>
      </c>
      <c r="X373" s="11"/>
      <c r="Y373" s="2">
        <f t="shared" ca="1" si="181"/>
        <v>7.0348204875013382E-5</v>
      </c>
      <c r="Z373" s="11">
        <f t="shared" ca="1" si="182"/>
        <v>5.4683202043475962E-5</v>
      </c>
      <c r="AA373" s="2">
        <f t="shared" ca="1" si="183"/>
        <v>1.3028646985776517E-2</v>
      </c>
      <c r="AB373" s="2">
        <f t="shared" ca="1" si="184"/>
        <v>5.3721749117053696E-4</v>
      </c>
      <c r="AC373" s="2">
        <f t="shared" ca="1" si="185"/>
        <v>1.794438910748909E-4</v>
      </c>
      <c r="AD373" s="2">
        <f t="shared" ca="1" si="186"/>
        <v>0.25474003058679578</v>
      </c>
      <c r="AE373" s="2">
        <f t="shared" ca="1" si="187"/>
        <v>5.4683202043475962E-5</v>
      </c>
      <c r="AF373" s="2">
        <f t="shared" ca="1" si="188"/>
        <v>0.18423259716025076</v>
      </c>
      <c r="AG373" s="2">
        <f t="shared" ca="1" si="189"/>
        <v>2.2150489936818025</v>
      </c>
      <c r="AI373" s="2">
        <f t="shared" ca="1" si="190"/>
        <v>7.0348204875013382E-5</v>
      </c>
      <c r="AJ373" s="11">
        <f t="shared" ca="1" si="191"/>
        <v>5.4683202043475962E-5</v>
      </c>
      <c r="AK373" s="2">
        <f t="shared" ca="1" si="192"/>
        <v>1.2964130925206416E-2</v>
      </c>
      <c r="AL373" s="2">
        <f t="shared" ca="1" si="193"/>
        <v>5.0702127996548945E-4</v>
      </c>
      <c r="AM373" s="2">
        <f t="shared" ca="1" si="194"/>
        <v>1.794438910748909E-4</v>
      </c>
      <c r="AN373" s="2">
        <f t="shared" ca="1" si="195"/>
        <v>0.25474003058679578</v>
      </c>
      <c r="AO373" s="2">
        <f t="shared" ca="1" si="196"/>
        <v>5.4683202043475962E-5</v>
      </c>
      <c r="AP373" s="2">
        <f t="shared" ca="1" si="197"/>
        <v>0.18423259716025076</v>
      </c>
      <c r="AQ373" s="2">
        <f t="shared" ca="1" si="198"/>
        <v>2.2150489936818025</v>
      </c>
      <c r="AS373" s="2">
        <f t="shared" ca="1" si="199"/>
        <v>8.6929916225448913</v>
      </c>
      <c r="AT373" s="2">
        <f t="shared" ca="1" si="200"/>
        <v>0.40047983769878998</v>
      </c>
      <c r="AU373" s="2">
        <f t="shared" ca="1" si="201"/>
        <v>2.1920018994814593E-4</v>
      </c>
      <c r="AV373" s="2">
        <f t="shared" ca="1" si="202"/>
        <v>0.18412214872745608</v>
      </c>
      <c r="AW373" s="2">
        <f t="shared" ca="1" si="203"/>
        <v>0.70915045616710504</v>
      </c>
      <c r="AX373" s="2">
        <f t="shared" ca="1" si="204"/>
        <v>5.3117813091806493E-2</v>
      </c>
      <c r="AY373" s="9">
        <f t="shared" ca="1" si="205"/>
        <v>0.70915045616710504</v>
      </c>
      <c r="AZ373" s="9">
        <f t="shared" ca="1" si="206"/>
        <v>0.70915045616710504</v>
      </c>
      <c r="BB373" s="2">
        <f t="shared" ca="1" si="207"/>
        <v>8.6953314270215749</v>
      </c>
      <c r="BC373" s="2">
        <f t="shared" ca="1" si="208"/>
        <v>0.40058893837657467</v>
      </c>
      <c r="BD373" s="2">
        <f t="shared" ca="1" si="209"/>
        <v>2.0310711627570747E-4</v>
      </c>
      <c r="BE373" s="2">
        <f t="shared" ca="1" si="210"/>
        <v>0.18402949004397504</v>
      </c>
      <c r="BF373" s="2">
        <f t="shared" ca="1" si="211"/>
        <v>0.70890239939086652</v>
      </c>
      <c r="BG373" s="2">
        <f t="shared" ca="1" si="212"/>
        <v>5.2882923944626313E-2</v>
      </c>
      <c r="BH373" s="2">
        <f t="shared" ca="1" si="213"/>
        <v>0.70890239939086652</v>
      </c>
      <c r="BI373" s="2">
        <f t="shared" ca="1" si="214"/>
        <v>0.70890239939086652</v>
      </c>
    </row>
    <row r="374" spans="1:61" ht="15" x14ac:dyDescent="0.25">
      <c r="A374" s="66">
        <v>308</v>
      </c>
      <c r="B374" s="66">
        <v>1498730281.7520001</v>
      </c>
      <c r="C374" s="67">
        <v>9.8980388516591895E-5</v>
      </c>
      <c r="D374" s="67">
        <v>7.4050520128464805E-5</v>
      </c>
      <c r="E374" s="67">
        <v>1.3623191398079999E-2</v>
      </c>
      <c r="F374" s="67">
        <v>4.9876087716565196E-4</v>
      </c>
      <c r="G374" s="67">
        <v>2.3554796857929301E-4</v>
      </c>
      <c r="H374" s="67">
        <v>0.252467160862206</v>
      </c>
      <c r="I374" s="67">
        <v>7.4050520128464805E-5</v>
      </c>
      <c r="J374" s="67">
        <v>0.18248068878899801</v>
      </c>
      <c r="K374" s="67">
        <v>2.1912819188952199</v>
      </c>
      <c r="L374" s="67"/>
      <c r="M374" s="67"/>
      <c r="O374" s="11">
        <f t="shared" ca="1" si="172"/>
        <v>8.6176457806631861E-5</v>
      </c>
      <c r="P374" s="11">
        <f t="shared" ca="1" si="173"/>
        <v>7.3285419898160066E-5</v>
      </c>
      <c r="Q374" s="11">
        <f t="shared" ca="1" si="174"/>
        <v>1.2786699785811715E-2</v>
      </c>
      <c r="R374" s="11">
        <f t="shared" ca="1" si="175"/>
        <v>4.8711438951930486E-4</v>
      </c>
      <c r="S374" s="11">
        <f t="shared" ca="1" si="176"/>
        <v>2.246203165323229E-4</v>
      </c>
      <c r="T374" s="11">
        <f t="shared" ca="1" si="177"/>
        <v>0.25132860582362371</v>
      </c>
      <c r="U374" s="11">
        <f t="shared" ca="1" si="178"/>
        <v>7.3285419898160066E-5</v>
      </c>
      <c r="V374" s="11">
        <f t="shared" ca="1" si="179"/>
        <v>0.18183049278330424</v>
      </c>
      <c r="W374" s="11">
        <f t="shared" ca="1" si="180"/>
        <v>2.1841590706317149</v>
      </c>
      <c r="X374" s="11"/>
      <c r="Y374" s="2">
        <f t="shared" ca="1" si="181"/>
        <v>8.6176457806631861E-5</v>
      </c>
      <c r="Z374" s="11">
        <f t="shared" ca="1" si="182"/>
        <v>7.3285419898160066E-5</v>
      </c>
      <c r="AA374" s="2">
        <f t="shared" ca="1" si="183"/>
        <v>1.2786139097509445E-2</v>
      </c>
      <c r="AB374" s="2">
        <f t="shared" ca="1" si="184"/>
        <v>4.7354318402117947E-4</v>
      </c>
      <c r="AC374" s="2">
        <f t="shared" ca="1" si="185"/>
        <v>2.246203165323229E-4</v>
      </c>
      <c r="AD374" s="2">
        <f t="shared" ca="1" si="186"/>
        <v>0.25122991193950822</v>
      </c>
      <c r="AE374" s="2">
        <f t="shared" ca="1" si="187"/>
        <v>7.3285419898160066E-5</v>
      </c>
      <c r="AF374" s="2">
        <f t="shared" ca="1" si="188"/>
        <v>0.18168474568200393</v>
      </c>
      <c r="AG374" s="2">
        <f t="shared" ca="1" si="189"/>
        <v>2.1840999298485331</v>
      </c>
      <c r="AI374" s="2">
        <f t="shared" ca="1" si="190"/>
        <v>8.6176457806631861E-5</v>
      </c>
      <c r="AJ374" s="11">
        <f t="shared" ca="1" si="191"/>
        <v>7.3285419898160066E-5</v>
      </c>
      <c r="AK374" s="2">
        <f t="shared" ca="1" si="192"/>
        <v>1.2699675861773981E-2</v>
      </c>
      <c r="AL374" s="2">
        <f t="shared" ca="1" si="193"/>
        <v>4.3307477809761941E-4</v>
      </c>
      <c r="AM374" s="2">
        <f t="shared" ca="1" si="194"/>
        <v>2.246203165323229E-4</v>
      </c>
      <c r="AN374" s="2">
        <f t="shared" ca="1" si="195"/>
        <v>0.25122991193950822</v>
      </c>
      <c r="AO374" s="2">
        <f t="shared" ca="1" si="196"/>
        <v>7.3285419898160066E-5</v>
      </c>
      <c r="AP374" s="2">
        <f t="shared" ca="1" si="197"/>
        <v>0.18168474568200393</v>
      </c>
      <c r="AQ374" s="2">
        <f t="shared" ca="1" si="198"/>
        <v>2.1840999298485331</v>
      </c>
      <c r="AS374" s="2">
        <f t="shared" ca="1" si="199"/>
        <v>8.6904515443996235</v>
      </c>
      <c r="AT374" s="2">
        <f t="shared" ca="1" si="200"/>
        <v>0.40036139904008272</v>
      </c>
      <c r="AU374" s="2">
        <f t="shared" ca="1" si="201"/>
        <v>1.950217984805047E-4</v>
      </c>
      <c r="AV374" s="2">
        <f t="shared" ca="1" si="202"/>
        <v>0.18163547098482374</v>
      </c>
      <c r="AW374" s="2">
        <f t="shared" ca="1" si="203"/>
        <v>0.70937803564551671</v>
      </c>
      <c r="AX374" s="2">
        <f t="shared" ca="1" si="204"/>
        <v>5.2836778257957857E-2</v>
      </c>
      <c r="AY374" s="9">
        <f t="shared" ca="1" si="205"/>
        <v>0.70937803564551671</v>
      </c>
      <c r="AZ374" s="9">
        <f t="shared" ca="1" si="206"/>
        <v>0.70937803564551671</v>
      </c>
      <c r="BB374" s="2">
        <f t="shared" ca="1" si="207"/>
        <v>8.6936301214579341</v>
      </c>
      <c r="BC374" s="2">
        <f t="shared" ca="1" si="208"/>
        <v>0.40050960966572308</v>
      </c>
      <c r="BD374" s="2">
        <f t="shared" ca="1" si="209"/>
        <v>1.7345061033194719E-4</v>
      </c>
      <c r="BE374" s="2">
        <f t="shared" ca="1" si="210"/>
        <v>0.18151129507167199</v>
      </c>
      <c r="BF374" s="2">
        <f t="shared" ca="1" si="211"/>
        <v>0.70904096204333011</v>
      </c>
      <c r="BG374" s="2">
        <f t="shared" ca="1" si="212"/>
        <v>5.2517444023252549E-2</v>
      </c>
      <c r="BH374" s="2">
        <f t="shared" ca="1" si="213"/>
        <v>0.70904096204333011</v>
      </c>
      <c r="BI374" s="2">
        <f t="shared" ca="1" si="214"/>
        <v>0.70904096204333011</v>
      </c>
    </row>
    <row r="375" spans="1:61" ht="15" x14ac:dyDescent="0.25">
      <c r="A375" s="66">
        <v>309</v>
      </c>
      <c r="B375" s="66">
        <v>1498730282.279</v>
      </c>
      <c r="C375" s="67">
        <v>-3.3071479830632403E-5</v>
      </c>
      <c r="D375" s="67">
        <v>2.37829181957813E-5</v>
      </c>
      <c r="E375" s="67">
        <v>1.5069691025744699E-2</v>
      </c>
      <c r="F375" s="67">
        <v>5.1423451138462304E-4</v>
      </c>
      <c r="G375" s="67">
        <v>4.6039622698228997E-5</v>
      </c>
      <c r="H375" s="67">
        <v>0.278866737493558</v>
      </c>
      <c r="I375" s="67">
        <v>2.37829181957813E-5</v>
      </c>
      <c r="J375" s="67">
        <v>0.20125405419680101</v>
      </c>
      <c r="K375" s="67">
        <v>2.4175006483707899</v>
      </c>
      <c r="L375" s="67"/>
      <c r="M375" s="67"/>
      <c r="O375" s="11">
        <f t="shared" ca="1" si="172"/>
        <v>-4.5875410540592431E-5</v>
      </c>
      <c r="P375" s="11">
        <f t="shared" ca="1" si="173"/>
        <v>2.3017817965476558E-5</v>
      </c>
      <c r="Q375" s="11">
        <f t="shared" ca="1" si="174"/>
        <v>1.4233199413476415E-2</v>
      </c>
      <c r="R375" s="11">
        <f t="shared" ca="1" si="175"/>
        <v>5.0258802373827588E-4</v>
      </c>
      <c r="S375" s="11">
        <f t="shared" ca="1" si="176"/>
        <v>3.5111970651258876E-5</v>
      </c>
      <c r="T375" s="11">
        <f t="shared" ca="1" si="177"/>
        <v>0.27772818245497571</v>
      </c>
      <c r="U375" s="11">
        <f t="shared" ca="1" si="178"/>
        <v>2.3017817965476558E-5</v>
      </c>
      <c r="V375" s="11">
        <f t="shared" ca="1" si="179"/>
        <v>0.20060385819110724</v>
      </c>
      <c r="W375" s="11">
        <f t="shared" ca="1" si="180"/>
        <v>2.4103778001072849</v>
      </c>
      <c r="X375" s="11"/>
      <c r="Y375" s="2">
        <f t="shared" ca="1" si="181"/>
        <v>-4.5875410540592431E-5</v>
      </c>
      <c r="Z375" s="11">
        <f t="shared" ca="1" si="182"/>
        <v>2.3017817965476558E-5</v>
      </c>
      <c r="AA375" s="2">
        <f t="shared" ca="1" si="183"/>
        <v>1.4233023309944567E-2</v>
      </c>
      <c r="AB375" s="2">
        <f t="shared" ca="1" si="184"/>
        <v>4.9832551779695742E-4</v>
      </c>
      <c r="AC375" s="2">
        <f t="shared" ca="1" si="185"/>
        <v>3.5111970651258876E-5</v>
      </c>
      <c r="AD375" s="2">
        <f t="shared" ca="1" si="186"/>
        <v>0.27769718423101747</v>
      </c>
      <c r="AE375" s="2">
        <f t="shared" ca="1" si="187"/>
        <v>2.3017817965476558E-5</v>
      </c>
      <c r="AF375" s="2">
        <f t="shared" ca="1" si="188"/>
        <v>0.20055808127870928</v>
      </c>
      <c r="AG375" s="2">
        <f t="shared" ca="1" si="189"/>
        <v>2.4103592249011454</v>
      </c>
      <c r="AI375" s="2">
        <f t="shared" ca="1" si="190"/>
        <v>-4.5875410540592431E-5</v>
      </c>
      <c r="AJ375" s="11">
        <f t="shared" ca="1" si="191"/>
        <v>2.3017817965476558E-5</v>
      </c>
      <c r="AK375" s="2">
        <f t="shared" ca="1" si="192"/>
        <v>1.4205866543651481E-2</v>
      </c>
      <c r="AL375" s="2">
        <f t="shared" ca="1" si="193"/>
        <v>4.8561501682424068E-4</v>
      </c>
      <c r="AM375" s="2">
        <f t="shared" ca="1" si="194"/>
        <v>3.5111970651258876E-5</v>
      </c>
      <c r="AN375" s="2">
        <f t="shared" ca="1" si="195"/>
        <v>0.27769718423101747</v>
      </c>
      <c r="AO375" s="2">
        <f t="shared" ca="1" si="196"/>
        <v>2.3017817965476558E-5</v>
      </c>
      <c r="AP375" s="2">
        <f t="shared" ca="1" si="197"/>
        <v>0.20055808127870928</v>
      </c>
      <c r="AQ375" s="2">
        <f t="shared" ca="1" si="198"/>
        <v>2.4103592249011454</v>
      </c>
      <c r="AS375" s="2">
        <f t="shared" ca="1" si="199"/>
        <v>8.6789096403568866</v>
      </c>
      <c r="AT375" s="2">
        <f t="shared" ca="1" si="200"/>
        <v>0.39982322890601552</v>
      </c>
      <c r="AU375" s="2">
        <f t="shared" ca="1" si="201"/>
        <v>2.0094636646053065E-4</v>
      </c>
      <c r="AV375" s="2">
        <f t="shared" ca="1" si="202"/>
        <v>0.2004029118246467</v>
      </c>
      <c r="AW375" s="2">
        <f t="shared" ca="1" si="203"/>
        <v>0.70875107780191948</v>
      </c>
      <c r="AX375" s="2">
        <f t="shared" ca="1" si="204"/>
        <v>5.3151040249418115E-2</v>
      </c>
      <c r="AY375" s="9">
        <f t="shared" ca="1" si="205"/>
        <v>0.70875107780191948</v>
      </c>
      <c r="AZ375" s="9">
        <f t="shared" ca="1" si="206"/>
        <v>0.70875107780191948</v>
      </c>
      <c r="BB375" s="2">
        <f t="shared" ca="1" si="207"/>
        <v>8.6798115421147273</v>
      </c>
      <c r="BC375" s="2">
        <f t="shared" ca="1" si="208"/>
        <v>0.39986528201798327</v>
      </c>
      <c r="BD375" s="2">
        <f t="shared" ca="1" si="209"/>
        <v>1.9418058565459268E-4</v>
      </c>
      <c r="BE375" s="2">
        <f t="shared" ca="1" si="210"/>
        <v>0.20036390069305468</v>
      </c>
      <c r="BF375" s="2">
        <f t="shared" ca="1" si="211"/>
        <v>0.7086551245276369</v>
      </c>
      <c r="BG375" s="2">
        <f t="shared" ca="1" si="212"/>
        <v>5.3060534346664204E-2</v>
      </c>
      <c r="BH375" s="2">
        <f t="shared" ca="1" si="213"/>
        <v>0.7086551245276369</v>
      </c>
      <c r="BI375" s="2">
        <f t="shared" ca="1" si="214"/>
        <v>0.7086551245276369</v>
      </c>
    </row>
    <row r="376" spans="1:61" ht="15" x14ac:dyDescent="0.25">
      <c r="A376" s="66">
        <v>310</v>
      </c>
      <c r="B376" s="66">
        <v>1498730282.806</v>
      </c>
      <c r="C376" s="67">
        <v>1.07485225720559E-4</v>
      </c>
      <c r="D376" s="67">
        <v>6.9630109228078699E-5</v>
      </c>
      <c r="E376" s="67">
        <v>1.4682930391634701E-2</v>
      </c>
      <c r="F376" s="67">
        <v>5.3589800199359001E-4</v>
      </c>
      <c r="G376" s="67">
        <v>1.89781908878538E-4</v>
      </c>
      <c r="H376" s="67">
        <v>0.27029596506460801</v>
      </c>
      <c r="I376" s="67">
        <v>6.9630109228078699E-5</v>
      </c>
      <c r="J376" s="67">
        <v>0.19512721006381301</v>
      </c>
      <c r="K376" s="67">
        <v>2.3477925980814902</v>
      </c>
      <c r="L376" s="67"/>
      <c r="M376" s="67"/>
      <c r="O376" s="11">
        <f t="shared" ca="1" si="172"/>
        <v>9.4681295010598981E-5</v>
      </c>
      <c r="P376" s="11">
        <f t="shared" ca="1" si="173"/>
        <v>6.886500899777396E-5</v>
      </c>
      <c r="Q376" s="11">
        <f t="shared" ca="1" si="174"/>
        <v>1.3846438779366416E-2</v>
      </c>
      <c r="R376" s="11">
        <f t="shared" ca="1" si="175"/>
        <v>5.2425151434724285E-4</v>
      </c>
      <c r="S376" s="11">
        <f t="shared" ca="1" si="176"/>
        <v>1.7885425683156789E-4</v>
      </c>
      <c r="T376" s="11">
        <f t="shared" ca="1" si="177"/>
        <v>0.26915741002602572</v>
      </c>
      <c r="U376" s="11">
        <f t="shared" ca="1" si="178"/>
        <v>6.886500899777396E-5</v>
      </c>
      <c r="V376" s="11">
        <f t="shared" ca="1" si="179"/>
        <v>0.19447701405811924</v>
      </c>
      <c r="W376" s="11">
        <f t="shared" ca="1" si="180"/>
        <v>2.3406697498179851</v>
      </c>
      <c r="X376" s="11"/>
      <c r="Y376" s="2">
        <f t="shared" ca="1" si="181"/>
        <v>9.4681295010598981E-5</v>
      </c>
      <c r="Z376" s="11">
        <f t="shared" ca="1" si="182"/>
        <v>6.886500899777396E-5</v>
      </c>
      <c r="AA376" s="2">
        <f t="shared" ca="1" si="183"/>
        <v>1.3845911910515362E-2</v>
      </c>
      <c r="AB376" s="2">
        <f t="shared" ca="1" si="184"/>
        <v>5.1149889329331734E-4</v>
      </c>
      <c r="AC376" s="2">
        <f t="shared" ca="1" si="185"/>
        <v>1.7885425683156789E-4</v>
      </c>
      <c r="AD376" s="2">
        <f t="shared" ca="1" si="186"/>
        <v>0.26906466913394811</v>
      </c>
      <c r="AE376" s="2">
        <f t="shared" ca="1" si="187"/>
        <v>6.886500899777396E-5</v>
      </c>
      <c r="AF376" s="2">
        <f t="shared" ca="1" si="188"/>
        <v>0.19434005809257532</v>
      </c>
      <c r="AG376" s="2">
        <f t="shared" ca="1" si="189"/>
        <v>2.3406141762731845</v>
      </c>
      <c r="AI376" s="2">
        <f t="shared" ca="1" si="190"/>
        <v>9.4681295010598981E-5</v>
      </c>
      <c r="AJ376" s="11">
        <f t="shared" ca="1" si="191"/>
        <v>6.886500899777396E-5</v>
      </c>
      <c r="AK376" s="2">
        <f t="shared" ca="1" si="192"/>
        <v>1.3764663941749218E-2</v>
      </c>
      <c r="AL376" s="2">
        <f t="shared" ca="1" si="193"/>
        <v>4.7347145015491079E-4</v>
      </c>
      <c r="AM376" s="2">
        <f t="shared" ca="1" si="194"/>
        <v>1.7885425683156789E-4</v>
      </c>
      <c r="AN376" s="2">
        <f t="shared" ca="1" si="195"/>
        <v>0.26906466913394811</v>
      </c>
      <c r="AO376" s="2">
        <f t="shared" ca="1" si="196"/>
        <v>6.886500899777396E-5</v>
      </c>
      <c r="AP376" s="2">
        <f t="shared" ca="1" si="197"/>
        <v>0.19434005809257532</v>
      </c>
      <c r="AQ376" s="2">
        <f t="shared" ca="1" si="198"/>
        <v>2.3406141762731845</v>
      </c>
      <c r="AS376" s="2">
        <f t="shared" ca="1" si="199"/>
        <v>8.6962857518641528</v>
      </c>
      <c r="AT376" s="2">
        <f t="shared" ca="1" si="200"/>
        <v>0.40063343684959007</v>
      </c>
      <c r="AU376" s="2">
        <f t="shared" ca="1" si="201"/>
        <v>2.1003268596653807E-4</v>
      </c>
      <c r="AV376" s="2">
        <f t="shared" ca="1" si="202"/>
        <v>0.1942669813721527</v>
      </c>
      <c r="AW376" s="2">
        <f t="shared" ca="1" si="203"/>
        <v>0.70821458982840702</v>
      </c>
      <c r="AX376" s="2">
        <f t="shared" ca="1" si="204"/>
        <v>5.3462562026670407E-2</v>
      </c>
      <c r="AY376" s="9">
        <f t="shared" ca="1" si="205"/>
        <v>0.70821458982840702</v>
      </c>
      <c r="AZ376" s="9">
        <f t="shared" ca="1" si="206"/>
        <v>0.70821458982840702</v>
      </c>
      <c r="BB376" s="2">
        <f t="shared" ca="1" si="207"/>
        <v>8.6990766339075147</v>
      </c>
      <c r="BC376" s="2">
        <f t="shared" ca="1" si="208"/>
        <v>0.40076357106394189</v>
      </c>
      <c r="BD376" s="2">
        <f t="shared" ca="1" si="209"/>
        <v>1.897501091609052E-4</v>
      </c>
      <c r="BE376" s="2">
        <f t="shared" ca="1" si="210"/>
        <v>0.1941503079834144</v>
      </c>
      <c r="BF376" s="2">
        <f t="shared" ca="1" si="211"/>
        <v>0.70791880560394427</v>
      </c>
      <c r="BG376" s="2">
        <f t="shared" ca="1" si="212"/>
        <v>5.318259828172376E-2</v>
      </c>
      <c r="BH376" s="2">
        <f t="shared" ca="1" si="213"/>
        <v>0.70791880560394427</v>
      </c>
      <c r="BI376" s="2">
        <f t="shared" ca="1" si="214"/>
        <v>0.70791880560394427</v>
      </c>
    </row>
    <row r="377" spans="1:61" ht="15" x14ac:dyDescent="0.25">
      <c r="A377" s="66">
        <v>311</v>
      </c>
      <c r="B377" s="66">
        <v>1498730283.3329999</v>
      </c>
      <c r="C377" s="67">
        <v>-1.4882910166764201E-5</v>
      </c>
      <c r="D377" s="67">
        <v>3.1863719746815597E-5</v>
      </c>
      <c r="E377" s="67">
        <v>1.31309218982047E-2</v>
      </c>
      <c r="F377" s="67">
        <v>3.9568878419699602E-4</v>
      </c>
      <c r="G377" s="67">
        <v>9.5344274972709005E-5</v>
      </c>
      <c r="H377" s="67">
        <v>0.24199672006047299</v>
      </c>
      <c r="I377" s="67">
        <v>3.1863719746815597E-5</v>
      </c>
      <c r="J377" s="67">
        <v>0.17490456528697601</v>
      </c>
      <c r="K377" s="67">
        <v>2.10587639456595</v>
      </c>
      <c r="L377" s="67"/>
      <c r="M377" s="67"/>
      <c r="O377" s="11">
        <f t="shared" ca="1" si="172"/>
        <v>-2.7686840876724227E-5</v>
      </c>
      <c r="P377" s="11">
        <f t="shared" ca="1" si="173"/>
        <v>3.1098619516510858E-5</v>
      </c>
      <c r="Q377" s="11">
        <f t="shared" ca="1" si="174"/>
        <v>1.2294430285936415E-2</v>
      </c>
      <c r="R377" s="11">
        <f t="shared" ca="1" si="175"/>
        <v>3.8404229655064891E-4</v>
      </c>
      <c r="S377" s="11">
        <f t="shared" ca="1" si="176"/>
        <v>8.4416622925738877E-5</v>
      </c>
      <c r="T377" s="11">
        <f t="shared" ca="1" si="177"/>
        <v>0.2408581650218907</v>
      </c>
      <c r="U377" s="11">
        <f t="shared" ca="1" si="178"/>
        <v>3.1098619516510858E-5</v>
      </c>
      <c r="V377" s="11">
        <f t="shared" ca="1" si="179"/>
        <v>0.17425436928128224</v>
      </c>
      <c r="W377" s="11">
        <f t="shared" ca="1" si="180"/>
        <v>2.0987535463024449</v>
      </c>
      <c r="X377" s="11"/>
      <c r="Y377" s="2">
        <f t="shared" ca="1" si="181"/>
        <v>-2.7686840876724227E-5</v>
      </c>
      <c r="Z377" s="11">
        <f t="shared" ca="1" si="182"/>
        <v>3.1098619516510858E-5</v>
      </c>
      <c r="AA377" s="2">
        <f t="shared" ca="1" si="183"/>
        <v>1.2294192358225776E-2</v>
      </c>
      <c r="AB377" s="2">
        <f t="shared" ca="1" si="184"/>
        <v>3.7828336446356977E-4</v>
      </c>
      <c r="AC377" s="2">
        <f t="shared" ca="1" si="185"/>
        <v>8.4416622925738877E-5</v>
      </c>
      <c r="AD377" s="2">
        <f t="shared" ca="1" si="186"/>
        <v>0.2408162843373701</v>
      </c>
      <c r="AE377" s="2">
        <f t="shared" ca="1" si="187"/>
        <v>3.1098619516510858E-5</v>
      </c>
      <c r="AF377" s="2">
        <f t="shared" ca="1" si="188"/>
        <v>0.17419252159513579</v>
      </c>
      <c r="AG377" s="2">
        <f t="shared" ca="1" si="189"/>
        <v>2.0987284499501739</v>
      </c>
      <c r="AI377" s="2">
        <f t="shared" ca="1" si="190"/>
        <v>-2.7686840876724227E-5</v>
      </c>
      <c r="AJ377" s="11">
        <f t="shared" ca="1" si="191"/>
        <v>3.1098619516510858E-5</v>
      </c>
      <c r="AK377" s="2">
        <f t="shared" ca="1" si="192"/>
        <v>1.2257501741264856E-2</v>
      </c>
      <c r="AL377" s="2">
        <f t="shared" ca="1" si="193"/>
        <v>3.6111062314605558E-4</v>
      </c>
      <c r="AM377" s="2">
        <f t="shared" ca="1" si="194"/>
        <v>8.4416622925738877E-5</v>
      </c>
      <c r="AN377" s="2">
        <f t="shared" ca="1" si="195"/>
        <v>0.2408162843373701</v>
      </c>
      <c r="AO377" s="2">
        <f t="shared" ca="1" si="196"/>
        <v>3.1098619516510858E-5</v>
      </c>
      <c r="AP377" s="2">
        <f t="shared" ca="1" si="197"/>
        <v>0.17419252159513579</v>
      </c>
      <c r="AQ377" s="2">
        <f t="shared" ca="1" si="198"/>
        <v>2.0987284499501739</v>
      </c>
      <c r="AS377" s="2">
        <f t="shared" ca="1" si="199"/>
        <v>8.7136491557664115</v>
      </c>
      <c r="AT377" s="2">
        <f t="shared" ca="1" si="200"/>
        <v>0.40144307188070022</v>
      </c>
      <c r="AU377" s="2">
        <f t="shared" ca="1" si="201"/>
        <v>1.5417111925941133E-4</v>
      </c>
      <c r="AV377" s="2">
        <f t="shared" ca="1" si="202"/>
        <v>0.17410019816202282</v>
      </c>
      <c r="AW377" s="2">
        <f t="shared" ca="1" si="203"/>
        <v>0.70855548368734145</v>
      </c>
      <c r="AX377" s="2">
        <f t="shared" ca="1" si="204"/>
        <v>5.3155898342477977E-2</v>
      </c>
      <c r="AY377" s="9">
        <f t="shared" ca="1" si="205"/>
        <v>0.70855548368734145</v>
      </c>
      <c r="AZ377" s="9">
        <f t="shared" ca="1" si="206"/>
        <v>0.70855548368734145</v>
      </c>
      <c r="BB377" s="2">
        <f t="shared" ca="1" si="207"/>
        <v>8.7150603445486823</v>
      </c>
      <c r="BC377" s="2">
        <f t="shared" ca="1" si="208"/>
        <v>0.40150887480841591</v>
      </c>
      <c r="BD377" s="2">
        <f t="shared" ca="1" si="209"/>
        <v>1.4498911998073869E-4</v>
      </c>
      <c r="BE377" s="2">
        <f t="shared" ca="1" si="210"/>
        <v>0.17404753247515506</v>
      </c>
      <c r="BF377" s="2">
        <f t="shared" ca="1" si="211"/>
        <v>0.70840655899319904</v>
      </c>
      <c r="BG377" s="2">
        <f t="shared" ca="1" si="212"/>
        <v>5.3014235555465965E-2</v>
      </c>
      <c r="BH377" s="2">
        <f t="shared" ca="1" si="213"/>
        <v>0.70840655899319904</v>
      </c>
      <c r="BI377" s="2">
        <f t="shared" ca="1" si="214"/>
        <v>0.70840655899319904</v>
      </c>
    </row>
    <row r="378" spans="1:61" ht="15" x14ac:dyDescent="0.25">
      <c r="A378" s="66">
        <v>312</v>
      </c>
      <c r="B378" s="66">
        <v>1498730283.859</v>
      </c>
      <c r="C378" s="67">
        <v>2.8109580018049E-5</v>
      </c>
      <c r="D378" s="67">
        <v>8.0031389547085405E-5</v>
      </c>
      <c r="E378" s="67">
        <v>1.31015186674428E-2</v>
      </c>
      <c r="F378" s="67">
        <v>5.2470910752038002E-4</v>
      </c>
      <c r="G378" s="67">
        <v>2.7720403543016799E-4</v>
      </c>
      <c r="H378" s="67">
        <v>0.24124622041952801</v>
      </c>
      <c r="I378" s="67">
        <v>8.0031389547085405E-5</v>
      </c>
      <c r="J378" s="67">
        <v>0.174384869714795</v>
      </c>
      <c r="K378" s="67">
        <v>2.0967429588617601</v>
      </c>
      <c r="L378" s="67"/>
      <c r="M378" s="67"/>
      <c r="O378" s="11">
        <f t="shared" ca="1" si="172"/>
        <v>1.5305649308088972E-5</v>
      </c>
      <c r="P378" s="11">
        <f t="shared" ca="1" si="173"/>
        <v>7.9266289316780666E-5</v>
      </c>
      <c r="Q378" s="11">
        <f t="shared" ca="1" si="174"/>
        <v>1.2265027055174516E-2</v>
      </c>
      <c r="R378" s="11">
        <f t="shared" ca="1" si="175"/>
        <v>5.1306261987403286E-4</v>
      </c>
      <c r="S378" s="11">
        <f t="shared" ca="1" si="176"/>
        <v>2.6627638338319788E-4</v>
      </c>
      <c r="T378" s="11">
        <f t="shared" ca="1" si="177"/>
        <v>0.24010766538094572</v>
      </c>
      <c r="U378" s="11">
        <f t="shared" ca="1" si="178"/>
        <v>7.9266289316780666E-5</v>
      </c>
      <c r="V378" s="11">
        <f t="shared" ca="1" si="179"/>
        <v>0.17373467370910123</v>
      </c>
      <c r="W378" s="11">
        <f t="shared" ca="1" si="180"/>
        <v>2.089620110598255</v>
      </c>
      <c r="X378" s="11"/>
      <c r="Y378" s="2">
        <f t="shared" ca="1" si="181"/>
        <v>1.5305649308088972E-5</v>
      </c>
      <c r="Z378" s="11">
        <f t="shared" ca="1" si="182"/>
        <v>7.9266289316780666E-5</v>
      </c>
      <c r="AA378" s="2">
        <f t="shared" ca="1" si="183"/>
        <v>1.2264420608745661E-2</v>
      </c>
      <c r="AB378" s="2">
        <f t="shared" ca="1" si="184"/>
        <v>4.9838385972110239E-4</v>
      </c>
      <c r="AC378" s="2">
        <f t="shared" ca="1" si="185"/>
        <v>2.6627638338319788E-4</v>
      </c>
      <c r="AD378" s="2">
        <f t="shared" ca="1" si="186"/>
        <v>0.24000091702659412</v>
      </c>
      <c r="AE378" s="2">
        <f t="shared" ca="1" si="187"/>
        <v>7.9266289316780666E-5</v>
      </c>
      <c r="AF378" s="2">
        <f t="shared" ca="1" si="188"/>
        <v>0.17357703209478278</v>
      </c>
      <c r="AG378" s="2">
        <f t="shared" ca="1" si="189"/>
        <v>2.0895561432983936</v>
      </c>
      <c r="AI378" s="2">
        <f t="shared" ca="1" si="190"/>
        <v>1.5305649308088972E-5</v>
      </c>
      <c r="AJ378" s="11">
        <f t="shared" ca="1" si="191"/>
        <v>7.9266289316780666E-5</v>
      </c>
      <c r="AK378" s="2">
        <f t="shared" ca="1" si="192"/>
        <v>1.217090105371553E-2</v>
      </c>
      <c r="AL378" s="2">
        <f t="shared" ca="1" si="193"/>
        <v>4.5461280162273202E-4</v>
      </c>
      <c r="AM378" s="2">
        <f t="shared" ca="1" si="194"/>
        <v>2.6627638338319788E-4</v>
      </c>
      <c r="AN378" s="2">
        <f t="shared" ca="1" si="195"/>
        <v>0.24000091702659412</v>
      </c>
      <c r="AO378" s="2">
        <f t="shared" ca="1" si="196"/>
        <v>7.9266289316780666E-5</v>
      </c>
      <c r="AP378" s="2">
        <f t="shared" ca="1" si="197"/>
        <v>0.17357703209478278</v>
      </c>
      <c r="AQ378" s="2">
        <f t="shared" ca="1" si="198"/>
        <v>2.0895561432983936</v>
      </c>
      <c r="AS378" s="2">
        <f t="shared" ca="1" si="199"/>
        <v>8.7028463138939909</v>
      </c>
      <c r="AT378" s="2">
        <f t="shared" ca="1" si="200"/>
        <v>0.40093934581161189</v>
      </c>
      <c r="AU378" s="2">
        <f t="shared" ca="1" si="201"/>
        <v>2.0570699117268643E-4</v>
      </c>
      <c r="AV378" s="2">
        <f t="shared" ca="1" si="202"/>
        <v>0.17352896671792853</v>
      </c>
      <c r="AW378" s="2">
        <f t="shared" ca="1" si="203"/>
        <v>0.70888084421540487</v>
      </c>
      <c r="AX378" s="2">
        <f t="shared" ca="1" si="204"/>
        <v>5.312704135191431E-2</v>
      </c>
      <c r="AY378" s="9">
        <f t="shared" ca="1" si="205"/>
        <v>0.70888084421540487</v>
      </c>
      <c r="AZ378" s="9">
        <f t="shared" ca="1" si="206"/>
        <v>0.70888084421540487</v>
      </c>
      <c r="BB378" s="2">
        <f t="shared" ca="1" si="207"/>
        <v>8.7064506635483117</v>
      </c>
      <c r="BC378" s="2">
        <f t="shared" ca="1" si="208"/>
        <v>0.40110741230764863</v>
      </c>
      <c r="BD378" s="2">
        <f t="shared" ca="1" si="209"/>
        <v>1.8234856446082445E-4</v>
      </c>
      <c r="BE378" s="2">
        <f t="shared" ca="1" si="210"/>
        <v>0.17339468353032195</v>
      </c>
      <c r="BF378" s="2">
        <f t="shared" ca="1" si="211"/>
        <v>0.70849958558485859</v>
      </c>
      <c r="BG378" s="2">
        <f t="shared" ca="1" si="212"/>
        <v>5.276512678583372E-2</v>
      </c>
      <c r="BH378" s="2">
        <f t="shared" ca="1" si="213"/>
        <v>0.70849958558485859</v>
      </c>
      <c r="BI378" s="2">
        <f t="shared" ca="1" si="214"/>
        <v>0.70849958558485859</v>
      </c>
    </row>
    <row r="379" spans="1:61" ht="15" x14ac:dyDescent="0.25">
      <c r="A379" s="66">
        <v>313</v>
      </c>
      <c r="B379" s="66">
        <v>1498730284.3859999</v>
      </c>
      <c r="C379" s="67">
        <v>-6.8514875685325603E-6</v>
      </c>
      <c r="D379" s="67">
        <v>-3.4440820138748502E-5</v>
      </c>
      <c r="E379" s="67">
        <v>1.1867354248534299E-2</v>
      </c>
      <c r="F379" s="67">
        <v>2.9310333641159299E-4</v>
      </c>
      <c r="G379" s="67">
        <v>1.9119703696390001E-4</v>
      </c>
      <c r="H379" s="67">
        <v>0.217132346973373</v>
      </c>
      <c r="I379" s="67">
        <v>-3.4440820138748502E-5</v>
      </c>
      <c r="J379" s="67">
        <v>0.156959684315474</v>
      </c>
      <c r="K379" s="67">
        <v>1.8856041943926101</v>
      </c>
      <c r="L379" s="67"/>
      <c r="M379" s="67"/>
      <c r="O379" s="11">
        <f t="shared" ca="1" si="172"/>
        <v>-1.9655418278492589E-5</v>
      </c>
      <c r="P379" s="11">
        <f t="shared" ca="1" si="173"/>
        <v>-3.520592036905324E-5</v>
      </c>
      <c r="Q379" s="11">
        <f t="shared" ca="1" si="174"/>
        <v>1.1030862636266014E-2</v>
      </c>
      <c r="R379" s="11">
        <f t="shared" ca="1" si="175"/>
        <v>2.8145684876524588E-4</v>
      </c>
      <c r="S379" s="11">
        <f t="shared" ca="1" si="176"/>
        <v>1.8026938491692989E-4</v>
      </c>
      <c r="T379" s="11">
        <f t="shared" ca="1" si="177"/>
        <v>0.21599379193479071</v>
      </c>
      <c r="U379" s="11">
        <f t="shared" ca="1" si="178"/>
        <v>-3.520592036905324E-5</v>
      </c>
      <c r="V379" s="11">
        <f t="shared" ca="1" si="179"/>
        <v>0.15630948830978023</v>
      </c>
      <c r="W379" s="11">
        <f t="shared" ca="1" si="180"/>
        <v>1.878481346129105</v>
      </c>
      <c r="X379" s="11"/>
      <c r="Y379" s="2">
        <f t="shared" ca="1" si="181"/>
        <v>-1.9655418278492589E-5</v>
      </c>
      <c r="Z379" s="11">
        <f t="shared" ca="1" si="182"/>
        <v>-3.520592036905324E-5</v>
      </c>
      <c r="AA379" s="2">
        <f t="shared" ca="1" si="183"/>
        <v>1.1030862636266014E-2</v>
      </c>
      <c r="AB379" s="2">
        <f t="shared" ca="1" si="184"/>
        <v>2.8145684876524588E-4</v>
      </c>
      <c r="AC379" s="2">
        <f t="shared" ca="1" si="185"/>
        <v>1.8026938491692989E-4</v>
      </c>
      <c r="AD379" s="2">
        <f t="shared" ca="1" si="186"/>
        <v>0.21599379193479071</v>
      </c>
      <c r="AE379" s="2">
        <f t="shared" ca="1" si="187"/>
        <v>-3.520592036905324E-5</v>
      </c>
      <c r="AF379" s="2">
        <f t="shared" ca="1" si="188"/>
        <v>0.15630948830978023</v>
      </c>
      <c r="AG379" s="2">
        <f t="shared" ca="1" si="189"/>
        <v>1.878481346129105</v>
      </c>
      <c r="AI379" s="2">
        <f t="shared" ca="1" si="190"/>
        <v>-1.9655418278492589E-5</v>
      </c>
      <c r="AJ379" s="11">
        <f t="shared" ca="1" si="191"/>
        <v>-3.520592036905324E-5</v>
      </c>
      <c r="AK379" s="2">
        <f t="shared" ca="1" si="192"/>
        <v>1.1030862636266014E-2</v>
      </c>
      <c r="AL379" s="2">
        <f t="shared" ca="1" si="193"/>
        <v>2.8145684876524588E-4</v>
      </c>
      <c r="AM379" s="2">
        <f t="shared" ca="1" si="194"/>
        <v>1.8026938491692989E-4</v>
      </c>
      <c r="AN379" s="2">
        <f t="shared" ca="1" si="195"/>
        <v>0.21599379193479071</v>
      </c>
      <c r="AO379" s="2">
        <f t="shared" ca="1" si="196"/>
        <v>-3.520592036905324E-5</v>
      </c>
      <c r="AP379" s="2">
        <f t="shared" ca="1" si="197"/>
        <v>0.15630948830978023</v>
      </c>
      <c r="AQ379" s="2">
        <f t="shared" ca="1" si="198"/>
        <v>1.878481346129105</v>
      </c>
      <c r="AS379" s="2">
        <f t="shared" ca="1" si="199"/>
        <v>8.6969228573764994</v>
      </c>
      <c r="AT379" s="2">
        <f t="shared" ca="1" si="200"/>
        <v>0.40066314398142572</v>
      </c>
      <c r="AU379" s="2">
        <f t="shared" ca="1" si="201"/>
        <v>1.1276938592138807E-4</v>
      </c>
      <c r="AV379" s="2">
        <f t="shared" ca="1" si="202"/>
        <v>0.15619671892385883</v>
      </c>
      <c r="AW379" s="2">
        <f t="shared" ca="1" si="203"/>
        <v>0.7095562563005724</v>
      </c>
      <c r="AX379" s="2">
        <f t="shared" ca="1" si="204"/>
        <v>5.3078517123511741E-2</v>
      </c>
      <c r="AY379" s="9" t="str">
        <f t="shared" ca="1" si="205"/>
        <v>rejected</v>
      </c>
      <c r="AZ379" s="9" t="e">
        <f t="shared" ca="1" si="206"/>
        <v>#N/A</v>
      </c>
      <c r="BB379" s="2">
        <f t="shared" ca="1" si="207"/>
        <v>8.6969228573764994</v>
      </c>
      <c r="BC379" s="2">
        <f t="shared" ca="1" si="208"/>
        <v>0.40066314398142572</v>
      </c>
      <c r="BD379" s="2">
        <f t="shared" ca="1" si="209"/>
        <v>1.1276938592138807E-4</v>
      </c>
      <c r="BE379" s="2">
        <f t="shared" ca="1" si="210"/>
        <v>0.15619671892385883</v>
      </c>
      <c r="BF379" s="2">
        <f t="shared" ca="1" si="211"/>
        <v>0.7095562563005724</v>
      </c>
      <c r="BG379" s="2">
        <f t="shared" ca="1" si="212"/>
        <v>5.3078517123511741E-2</v>
      </c>
      <c r="BH379" s="2" t="str">
        <f t="shared" ca="1" si="213"/>
        <v>rejected</v>
      </c>
      <c r="BI379" s="2" t="e">
        <f t="shared" ca="1" si="214"/>
        <v>#N/A</v>
      </c>
    </row>
    <row r="380" spans="1:61" ht="15" x14ac:dyDescent="0.25">
      <c r="A380" s="66">
        <v>314</v>
      </c>
      <c r="B380" s="66">
        <v>1498730284.9130001</v>
      </c>
      <c r="C380" s="67">
        <v>2.0314100121065399E-5</v>
      </c>
      <c r="D380" s="67">
        <v>4.4246108024822699E-5</v>
      </c>
      <c r="E380" s="67">
        <v>1.41448919711137E-2</v>
      </c>
      <c r="F380" s="67">
        <v>7.60416562667228E-4</v>
      </c>
      <c r="G380" s="67">
        <v>7.3975122945684404E-5</v>
      </c>
      <c r="H380" s="67">
        <v>0.26230623411029103</v>
      </c>
      <c r="I380" s="67">
        <v>4.4246108024822699E-5</v>
      </c>
      <c r="J380" s="67">
        <v>0.18917618857203899</v>
      </c>
      <c r="K380" s="67">
        <v>2.2704750169069001</v>
      </c>
      <c r="L380" s="67"/>
      <c r="M380" s="67"/>
      <c r="O380" s="11">
        <f t="shared" ca="1" si="172"/>
        <v>7.5101694111053707E-6</v>
      </c>
      <c r="P380" s="11">
        <f t="shared" ca="1" si="173"/>
        <v>4.348100779451796E-5</v>
      </c>
      <c r="Q380" s="11">
        <f t="shared" ca="1" si="174"/>
        <v>1.3308400358845415E-2</v>
      </c>
      <c r="R380" s="11">
        <f t="shared" ca="1" si="175"/>
        <v>7.4877007502088084E-4</v>
      </c>
      <c r="S380" s="11">
        <f t="shared" ca="1" si="176"/>
        <v>6.3047470898714277E-5</v>
      </c>
      <c r="T380" s="11">
        <f t="shared" ca="1" si="177"/>
        <v>0.26116767907170874</v>
      </c>
      <c r="U380" s="11">
        <f t="shared" ca="1" si="178"/>
        <v>4.348100779451796E-5</v>
      </c>
      <c r="V380" s="11">
        <f t="shared" ca="1" si="179"/>
        <v>0.18852599256634522</v>
      </c>
      <c r="W380" s="11">
        <f t="shared" ca="1" si="180"/>
        <v>2.2633521686433951</v>
      </c>
      <c r="X380" s="11"/>
      <c r="Y380" s="2">
        <f t="shared" ca="1" si="181"/>
        <v>7.5101694111053707E-6</v>
      </c>
      <c r="Z380" s="11">
        <f t="shared" ca="1" si="182"/>
        <v>4.348100779451796E-5</v>
      </c>
      <c r="AA380" s="2">
        <f t="shared" ca="1" si="183"/>
        <v>1.330806769659861E-2</v>
      </c>
      <c r="AB380" s="2">
        <f t="shared" ca="1" si="184"/>
        <v>7.4071813654710253E-4</v>
      </c>
      <c r="AC380" s="2">
        <f t="shared" ca="1" si="185"/>
        <v>6.3047470898714277E-5</v>
      </c>
      <c r="AD380" s="2">
        <f t="shared" ca="1" si="186"/>
        <v>0.2611091229557656</v>
      </c>
      <c r="AE380" s="2">
        <f t="shared" ca="1" si="187"/>
        <v>4.348100779451796E-5</v>
      </c>
      <c r="AF380" s="2">
        <f t="shared" ca="1" si="188"/>
        <v>0.18843951928344022</v>
      </c>
      <c r="AG380" s="2">
        <f t="shared" ca="1" si="189"/>
        <v>2.2633170797968267</v>
      </c>
      <c r="AI380" s="2">
        <f t="shared" ca="1" si="190"/>
        <v>7.5101694111053707E-6</v>
      </c>
      <c r="AJ380" s="11">
        <f t="shared" ca="1" si="191"/>
        <v>4.348100779451796E-5</v>
      </c>
      <c r="AK380" s="2">
        <f t="shared" ca="1" si="192"/>
        <v>1.3256768152539542E-2</v>
      </c>
      <c r="AL380" s="2">
        <f t="shared" ca="1" si="193"/>
        <v>7.1670780712770042E-4</v>
      </c>
      <c r="AM380" s="2">
        <f t="shared" ca="1" si="194"/>
        <v>6.3047470898714277E-5</v>
      </c>
      <c r="AN380" s="2">
        <f t="shared" ca="1" si="195"/>
        <v>0.2611091229557656</v>
      </c>
      <c r="AO380" s="2">
        <f t="shared" ca="1" si="196"/>
        <v>4.348100779451796E-5</v>
      </c>
      <c r="AP380" s="2">
        <f t="shared" ca="1" si="197"/>
        <v>0.18843951928344022</v>
      </c>
      <c r="AQ380" s="2">
        <f t="shared" ca="1" si="198"/>
        <v>2.2633170797968267</v>
      </c>
      <c r="AS380" s="2">
        <f t="shared" ca="1" si="199"/>
        <v>8.6662797505733735</v>
      </c>
      <c r="AT380" s="2">
        <f t="shared" ca="1" si="200"/>
        <v>0.39923433866339814</v>
      </c>
      <c r="AU380" s="2">
        <f t="shared" ca="1" si="201"/>
        <v>2.9893472571190436E-4</v>
      </c>
      <c r="AV380" s="2">
        <f t="shared" ca="1" si="202"/>
        <v>0.18822705784063332</v>
      </c>
      <c r="AW380" s="2">
        <f t="shared" ca="1" si="203"/>
        <v>0.7084199534435951</v>
      </c>
      <c r="AX380" s="2">
        <f t="shared" ca="1" si="204"/>
        <v>5.2770164344416164E-2</v>
      </c>
      <c r="AY380" s="9">
        <f t="shared" ca="1" si="205"/>
        <v>0.7084199534435951</v>
      </c>
      <c r="AZ380" s="9">
        <f t="shared" ca="1" si="206"/>
        <v>0.7084199534435951</v>
      </c>
      <c r="BB380" s="2">
        <f t="shared" ca="1" si="207"/>
        <v>8.6680888594622356</v>
      </c>
      <c r="BC380" s="2">
        <f t="shared" ca="1" si="208"/>
        <v>0.39931869082547033</v>
      </c>
      <c r="BD380" s="2">
        <f t="shared" ca="1" si="209"/>
        <v>2.8619482324662704E-4</v>
      </c>
      <c r="BE380" s="2">
        <f t="shared" ca="1" si="210"/>
        <v>0.18815332446019359</v>
      </c>
      <c r="BF380" s="2">
        <f t="shared" ca="1" si="211"/>
        <v>0.70822680506155933</v>
      </c>
      <c r="BG380" s="2">
        <f t="shared" ca="1" si="212"/>
        <v>5.2588452633396933E-2</v>
      </c>
      <c r="BH380" s="2">
        <f t="shared" ca="1" si="213"/>
        <v>0.70822680506155933</v>
      </c>
      <c r="BI380" s="2">
        <f t="shared" ca="1" si="214"/>
        <v>0.70822680506155933</v>
      </c>
    </row>
    <row r="381" spans="1:61" ht="15" x14ac:dyDescent="0.25">
      <c r="A381" s="66">
        <v>315</v>
      </c>
      <c r="B381" s="66">
        <v>1498730285.4389999</v>
      </c>
      <c r="C381" s="67">
        <v>1.6770720415151999E-5</v>
      </c>
      <c r="D381" s="67">
        <v>6.3957143172940095E-5</v>
      </c>
      <c r="E381" s="67">
        <v>1.37727035949244E-2</v>
      </c>
      <c r="F381" s="67">
        <v>4.9780866135049897E-4</v>
      </c>
      <c r="G381" s="67">
        <v>1.4243395550204001E-4</v>
      </c>
      <c r="H381" s="67">
        <v>0.25170651404336097</v>
      </c>
      <c r="I381" s="67">
        <v>6.3957143172940095E-5</v>
      </c>
      <c r="J381" s="67">
        <v>0.18224507418196301</v>
      </c>
      <c r="K381" s="67">
        <v>2.1900226147314998</v>
      </c>
      <c r="L381" s="67"/>
      <c r="M381" s="67"/>
      <c r="O381" s="11">
        <f t="shared" ca="1" si="172"/>
        <v>3.9667897051919717E-6</v>
      </c>
      <c r="P381" s="11">
        <f t="shared" ca="1" si="173"/>
        <v>6.3192042942635356E-5</v>
      </c>
      <c r="Q381" s="11">
        <f t="shared" ca="1" si="174"/>
        <v>1.2936211982656116E-2</v>
      </c>
      <c r="R381" s="11">
        <f t="shared" ca="1" si="175"/>
        <v>4.8616217370415186E-4</v>
      </c>
      <c r="S381" s="11">
        <f t="shared" ca="1" si="176"/>
        <v>1.3150630345506989E-4</v>
      </c>
      <c r="T381" s="11">
        <f t="shared" ca="1" si="177"/>
        <v>0.25056795900477868</v>
      </c>
      <c r="U381" s="11">
        <f t="shared" ca="1" si="178"/>
        <v>6.3192042942635356E-5</v>
      </c>
      <c r="V381" s="11">
        <f t="shared" ca="1" si="179"/>
        <v>0.18159487817626924</v>
      </c>
      <c r="W381" s="11">
        <f t="shared" ca="1" si="180"/>
        <v>2.1828997664679948</v>
      </c>
      <c r="X381" s="11"/>
      <c r="Y381" s="2">
        <f t="shared" ca="1" si="181"/>
        <v>3.9667897051919717E-6</v>
      </c>
      <c r="Z381" s="11">
        <f t="shared" ca="1" si="182"/>
        <v>6.3192042942635356E-5</v>
      </c>
      <c r="AA381" s="2">
        <f t="shared" ca="1" si="183"/>
        <v>1.2935728516240507E-2</v>
      </c>
      <c r="AB381" s="2">
        <f t="shared" ca="1" si="184"/>
        <v>4.744600888718263E-4</v>
      </c>
      <c r="AC381" s="2">
        <f t="shared" ca="1" si="185"/>
        <v>1.3150630345506989E-4</v>
      </c>
      <c r="AD381" s="2">
        <f t="shared" ca="1" si="186"/>
        <v>0.25048285792775865</v>
      </c>
      <c r="AE381" s="2">
        <f t="shared" ca="1" si="187"/>
        <v>6.3192042942635356E-5</v>
      </c>
      <c r="AF381" s="2">
        <f t="shared" ca="1" si="188"/>
        <v>0.18146920437789391</v>
      </c>
      <c r="AG381" s="2">
        <f t="shared" ca="1" si="189"/>
        <v>2.1828487709641733</v>
      </c>
      <c r="AI381" s="2">
        <f t="shared" ca="1" si="190"/>
        <v>3.9667897051919717E-6</v>
      </c>
      <c r="AJ381" s="11">
        <f t="shared" ca="1" si="191"/>
        <v>6.3192042942635356E-5</v>
      </c>
      <c r="AK381" s="2">
        <f t="shared" ca="1" si="192"/>
        <v>1.2861173597770404E-2</v>
      </c>
      <c r="AL381" s="2">
        <f t="shared" ca="1" si="193"/>
        <v>4.3956527284299966E-4</v>
      </c>
      <c r="AM381" s="2">
        <f t="shared" ca="1" si="194"/>
        <v>1.3150630345506989E-4</v>
      </c>
      <c r="AN381" s="2">
        <f t="shared" ca="1" si="195"/>
        <v>0.25048285792775865</v>
      </c>
      <c r="AO381" s="2">
        <f t="shared" ca="1" si="196"/>
        <v>6.3192042942635356E-5</v>
      </c>
      <c r="AP381" s="2">
        <f t="shared" ca="1" si="197"/>
        <v>0.18146920437789391</v>
      </c>
      <c r="AQ381" s="2">
        <f t="shared" ca="1" si="198"/>
        <v>2.1828487709641733</v>
      </c>
      <c r="AS381" s="2">
        <f t="shared" ca="1" si="199"/>
        <v>8.7118072683282062</v>
      </c>
      <c r="AT381" s="2">
        <f t="shared" ca="1" si="200"/>
        <v>0.40135718591485964</v>
      </c>
      <c r="AU381" s="2">
        <f t="shared" ca="1" si="201"/>
        <v>1.9512468193614955E-4</v>
      </c>
      <c r="AV381" s="2">
        <f t="shared" ca="1" si="202"/>
        <v>0.1813997534943331</v>
      </c>
      <c r="AW381" s="2">
        <f t="shared" ca="1" si="203"/>
        <v>0.70973032797079405</v>
      </c>
      <c r="AX381" s="2">
        <f t="shared" ca="1" si="204"/>
        <v>5.3751683354898321E-2</v>
      </c>
      <c r="AY381" s="9" t="str">
        <f t="shared" ca="1" si="205"/>
        <v>rejected</v>
      </c>
      <c r="AZ381" s="9" t="e">
        <f t="shared" ca="1" si="206"/>
        <v>#N/A</v>
      </c>
      <c r="BB381" s="2">
        <f t="shared" ca="1" si="207"/>
        <v>8.7145634995658074</v>
      </c>
      <c r="BC381" s="2">
        <f t="shared" ca="1" si="208"/>
        <v>0.40148570719561472</v>
      </c>
      <c r="BD381" s="2">
        <f t="shared" ca="1" si="209"/>
        <v>1.7647917442600505E-4</v>
      </c>
      <c r="BE381" s="2">
        <f t="shared" ca="1" si="210"/>
        <v>0.1812927252034679</v>
      </c>
      <c r="BF381" s="2">
        <f t="shared" ca="1" si="211"/>
        <v>0.70943954134578524</v>
      </c>
      <c r="BG381" s="2">
        <f t="shared" ca="1" si="212"/>
        <v>5.3475351266251255E-2</v>
      </c>
      <c r="BH381" s="2">
        <f t="shared" ca="1" si="213"/>
        <v>0.70943954134578524</v>
      </c>
      <c r="BI381" s="2">
        <f t="shared" ca="1" si="214"/>
        <v>0.70943954134578524</v>
      </c>
    </row>
    <row r="382" spans="1:61" ht="15" x14ac:dyDescent="0.25">
      <c r="A382" s="66">
        <v>316</v>
      </c>
      <c r="B382" s="66">
        <v>1498730285.9660001</v>
      </c>
      <c r="C382" s="67">
        <v>-1.33929314974459E-4</v>
      </c>
      <c r="D382" s="67">
        <v>-2.5585457727582799E-5</v>
      </c>
      <c r="E382" s="67">
        <v>1.17263064832461E-2</v>
      </c>
      <c r="F382" s="67">
        <v>3.4022944954406701E-4</v>
      </c>
      <c r="G382" s="67">
        <v>-1.4681445410928299E-4</v>
      </c>
      <c r="H382" s="67">
        <v>0.21559971268087399</v>
      </c>
      <c r="I382" s="67">
        <v>-2.5585457727582799E-5</v>
      </c>
      <c r="J382" s="67">
        <v>0.15563156282468699</v>
      </c>
      <c r="K382" s="67">
        <v>1.8754817630348899</v>
      </c>
      <c r="L382" s="67"/>
      <c r="M382" s="67"/>
      <c r="O382" s="11">
        <f t="shared" ca="1" si="172"/>
        <v>-1.4673324568441904E-4</v>
      </c>
      <c r="P382" s="11">
        <f t="shared" ca="1" si="173"/>
        <v>-2.6350557957887541E-5</v>
      </c>
      <c r="Q382" s="11">
        <f t="shared" ca="1" si="174"/>
        <v>1.0889814870977815E-2</v>
      </c>
      <c r="R382" s="11">
        <f t="shared" ca="1" si="175"/>
        <v>3.285829618977199E-4</v>
      </c>
      <c r="S382" s="11">
        <f t="shared" ca="1" si="176"/>
        <v>-1.5774210615625311E-4</v>
      </c>
      <c r="T382" s="11">
        <f t="shared" ca="1" si="177"/>
        <v>0.21446115764229171</v>
      </c>
      <c r="U382" s="11">
        <f t="shared" ca="1" si="178"/>
        <v>-2.6350557957887541E-5</v>
      </c>
      <c r="V382" s="11">
        <f t="shared" ca="1" si="179"/>
        <v>0.15498136681899322</v>
      </c>
      <c r="W382" s="11">
        <f t="shared" ca="1" si="180"/>
        <v>1.8683589147713848</v>
      </c>
      <c r="X382" s="11"/>
      <c r="Y382" s="2">
        <f t="shared" ca="1" si="181"/>
        <v>-1.4673324568441904E-4</v>
      </c>
      <c r="Z382" s="11">
        <f t="shared" ca="1" si="182"/>
        <v>-2.6350557957887541E-5</v>
      </c>
      <c r="AA382" s="2">
        <f t="shared" ca="1" si="183"/>
        <v>1.0889814870977815E-2</v>
      </c>
      <c r="AB382" s="2">
        <f t="shared" ca="1" si="184"/>
        <v>3.285829618977199E-4</v>
      </c>
      <c r="AC382" s="2">
        <f t="shared" ca="1" si="185"/>
        <v>-1.5774210615625311E-4</v>
      </c>
      <c r="AD382" s="2">
        <f t="shared" ca="1" si="186"/>
        <v>0.21446115764229171</v>
      </c>
      <c r="AE382" s="2">
        <f t="shared" ca="1" si="187"/>
        <v>-2.6350557957887541E-5</v>
      </c>
      <c r="AF382" s="2">
        <f t="shared" ca="1" si="188"/>
        <v>0.15498136681899322</v>
      </c>
      <c r="AG382" s="2">
        <f t="shared" ca="1" si="189"/>
        <v>1.8683589147713848</v>
      </c>
      <c r="AI382" s="2">
        <f t="shared" ca="1" si="190"/>
        <v>-1.4673324568441904E-4</v>
      </c>
      <c r="AJ382" s="11">
        <f t="shared" ca="1" si="191"/>
        <v>-2.6350557957887541E-5</v>
      </c>
      <c r="AK382" s="2">
        <f t="shared" ca="1" si="192"/>
        <v>1.0889814870977815E-2</v>
      </c>
      <c r="AL382" s="2">
        <f t="shared" ca="1" si="193"/>
        <v>3.285829618977199E-4</v>
      </c>
      <c r="AM382" s="2">
        <f t="shared" ca="1" si="194"/>
        <v>-1.5774210615625311E-4</v>
      </c>
      <c r="AN382" s="2">
        <f t="shared" ca="1" si="195"/>
        <v>0.21446115764229171</v>
      </c>
      <c r="AO382" s="2">
        <f t="shared" ca="1" si="196"/>
        <v>-2.6350557957887541E-5</v>
      </c>
      <c r="AP382" s="2">
        <f t="shared" ca="1" si="197"/>
        <v>0.15498136681899322</v>
      </c>
      <c r="AQ382" s="2">
        <f t="shared" ca="1" si="198"/>
        <v>1.8683589147713848</v>
      </c>
      <c r="AS382" s="2">
        <f t="shared" ca="1" si="199"/>
        <v>8.7118755457232719</v>
      </c>
      <c r="AT382" s="2">
        <f t="shared" ca="1" si="200"/>
        <v>0.40136036963969501</v>
      </c>
      <c r="AU382" s="2">
        <f t="shared" ca="1" si="201"/>
        <v>1.3188017904457468E-4</v>
      </c>
      <c r="AV382" s="2">
        <f t="shared" ca="1" si="202"/>
        <v>0.15484948663994863</v>
      </c>
      <c r="AW382" s="2">
        <f t="shared" ca="1" si="203"/>
        <v>0.70785061961455276</v>
      </c>
      <c r="AX382" s="2">
        <f t="shared" ca="1" si="204"/>
        <v>5.2867139820614778E-2</v>
      </c>
      <c r="AY382" s="9" t="str">
        <f t="shared" ca="1" si="205"/>
        <v>rejected</v>
      </c>
      <c r="AZ382" s="9" t="e">
        <f t="shared" ca="1" si="206"/>
        <v>#N/A</v>
      </c>
      <c r="BB382" s="2">
        <f t="shared" ca="1" si="207"/>
        <v>8.7118755457232719</v>
      </c>
      <c r="BC382" s="2">
        <f t="shared" ca="1" si="208"/>
        <v>0.40136036963969501</v>
      </c>
      <c r="BD382" s="2">
        <f t="shared" ca="1" si="209"/>
        <v>1.3188017904457468E-4</v>
      </c>
      <c r="BE382" s="2">
        <f t="shared" ca="1" si="210"/>
        <v>0.15484948663994863</v>
      </c>
      <c r="BF382" s="2">
        <f t="shared" ca="1" si="211"/>
        <v>0.70785061961455276</v>
      </c>
      <c r="BG382" s="2">
        <f t="shared" ca="1" si="212"/>
        <v>5.2867139820614778E-2</v>
      </c>
      <c r="BH382" s="2">
        <f t="shared" ca="1" si="213"/>
        <v>0.70785061961455276</v>
      </c>
      <c r="BI382" s="2">
        <f t="shared" ca="1" si="214"/>
        <v>0.70785061961455276</v>
      </c>
    </row>
    <row r="383" spans="1:61" ht="15" x14ac:dyDescent="0.25">
      <c r="A383" s="66">
        <v>317</v>
      </c>
      <c r="B383" s="66">
        <v>1498730286.493</v>
      </c>
      <c r="C383" s="67">
        <v>-5.9066100473514298E-6</v>
      </c>
      <c r="D383" s="67">
        <v>-3.1380901028909E-7</v>
      </c>
      <c r="E383" s="67">
        <v>1.2276648567938E-2</v>
      </c>
      <c r="F383" s="67">
        <v>3.5522458821696701E-4</v>
      </c>
      <c r="G383" s="67">
        <v>4.9124859501620801E-5</v>
      </c>
      <c r="H383" s="67">
        <v>0.22745493132876399</v>
      </c>
      <c r="I383" s="67">
        <v>-3.1380901028909E-7</v>
      </c>
      <c r="J383" s="67">
        <v>0.163964273711007</v>
      </c>
      <c r="K383" s="67">
        <v>1.9703328786437899</v>
      </c>
      <c r="L383" s="67"/>
      <c r="M383" s="67"/>
      <c r="O383" s="11">
        <f t="shared" ca="1" si="172"/>
        <v>-1.8710540757311456E-5</v>
      </c>
      <c r="P383" s="11">
        <f t="shared" ca="1" si="173"/>
        <v>-1.0789092405938305E-6</v>
      </c>
      <c r="Q383" s="11">
        <f t="shared" ca="1" si="174"/>
        <v>1.1440156955669715E-2</v>
      </c>
      <c r="R383" s="11">
        <f t="shared" ca="1" si="175"/>
        <v>3.435781005706199E-4</v>
      </c>
      <c r="S383" s="11">
        <f t="shared" ca="1" si="176"/>
        <v>3.8197207454650681E-5</v>
      </c>
      <c r="T383" s="11">
        <f t="shared" ca="1" si="177"/>
        <v>0.2263163762901817</v>
      </c>
      <c r="U383" s="11">
        <f t="shared" ca="1" si="178"/>
        <v>-1.0789092405938305E-6</v>
      </c>
      <c r="V383" s="11">
        <f t="shared" ca="1" si="179"/>
        <v>0.16331407770531323</v>
      </c>
      <c r="W383" s="11">
        <f t="shared" ca="1" si="180"/>
        <v>1.9632100303802849</v>
      </c>
      <c r="X383" s="11"/>
      <c r="Y383" s="2">
        <f t="shared" ca="1" si="181"/>
        <v>-1.8710540757311456E-5</v>
      </c>
      <c r="Z383" s="11">
        <f t="shared" ca="1" si="182"/>
        <v>-1.0789092405938305E-6</v>
      </c>
      <c r="AA383" s="2">
        <f t="shared" ca="1" si="183"/>
        <v>1.1440156955669715E-2</v>
      </c>
      <c r="AB383" s="2">
        <f t="shared" ca="1" si="184"/>
        <v>3.435781005706199E-4</v>
      </c>
      <c r="AC383" s="2">
        <f t="shared" ca="1" si="185"/>
        <v>3.8197207454650681E-5</v>
      </c>
      <c r="AD383" s="2">
        <f t="shared" ca="1" si="186"/>
        <v>0.2263163762901817</v>
      </c>
      <c r="AE383" s="2">
        <f t="shared" ca="1" si="187"/>
        <v>-1.0789092405938305E-6</v>
      </c>
      <c r="AF383" s="2">
        <f t="shared" ca="1" si="188"/>
        <v>0.16331407770531323</v>
      </c>
      <c r="AG383" s="2">
        <f t="shared" ca="1" si="189"/>
        <v>1.9632100303802849</v>
      </c>
      <c r="AI383" s="2">
        <f t="shared" ca="1" si="190"/>
        <v>-1.8710540757311456E-5</v>
      </c>
      <c r="AJ383" s="11">
        <f t="shared" ca="1" si="191"/>
        <v>-1.0789092405938305E-6</v>
      </c>
      <c r="AK383" s="2">
        <f t="shared" ca="1" si="192"/>
        <v>1.1440156955669715E-2</v>
      </c>
      <c r="AL383" s="2">
        <f t="shared" ca="1" si="193"/>
        <v>3.435781005706199E-4</v>
      </c>
      <c r="AM383" s="2">
        <f t="shared" ca="1" si="194"/>
        <v>3.8197207454650681E-5</v>
      </c>
      <c r="AN383" s="2">
        <f t="shared" ca="1" si="195"/>
        <v>0.2263163762901817</v>
      </c>
      <c r="AO383" s="2">
        <f t="shared" ca="1" si="196"/>
        <v>-1.0789092405938305E-6</v>
      </c>
      <c r="AP383" s="2">
        <f t="shared" ca="1" si="197"/>
        <v>0.16331407770531323</v>
      </c>
      <c r="AQ383" s="2">
        <f t="shared" ca="1" si="198"/>
        <v>1.9632100303802849</v>
      </c>
      <c r="AS383" s="2">
        <f t="shared" ca="1" si="199"/>
        <v>8.6746264789211143</v>
      </c>
      <c r="AT383" s="2">
        <f t="shared" ca="1" si="200"/>
        <v>0.39962351800269602</v>
      </c>
      <c r="AU383" s="2">
        <f t="shared" ca="1" si="201"/>
        <v>1.3730188925871521E-4</v>
      </c>
      <c r="AV383" s="2">
        <f t="shared" ca="1" si="202"/>
        <v>0.1631767758160545</v>
      </c>
      <c r="AW383" s="2">
        <f t="shared" ca="1" si="203"/>
        <v>0.70836971555198602</v>
      </c>
      <c r="AX383" s="2">
        <f t="shared" ca="1" si="204"/>
        <v>5.2399340523787113E-2</v>
      </c>
      <c r="AY383" s="9">
        <f t="shared" ca="1" si="205"/>
        <v>0.70836971555198602</v>
      </c>
      <c r="AZ383" s="9">
        <f t="shared" ca="1" si="206"/>
        <v>0.70836971555198602</v>
      </c>
      <c r="BB383" s="2">
        <f t="shared" ca="1" si="207"/>
        <v>8.6746264789211143</v>
      </c>
      <c r="BC383" s="2">
        <f t="shared" ca="1" si="208"/>
        <v>0.39962351800269602</v>
      </c>
      <c r="BD383" s="2">
        <f t="shared" ca="1" si="209"/>
        <v>1.3730188925871521E-4</v>
      </c>
      <c r="BE383" s="2">
        <f t="shared" ca="1" si="210"/>
        <v>0.1631767758160545</v>
      </c>
      <c r="BF383" s="2">
        <f t="shared" ca="1" si="211"/>
        <v>0.70836971555198602</v>
      </c>
      <c r="BG383" s="2">
        <f t="shared" ca="1" si="212"/>
        <v>5.2399340523787113E-2</v>
      </c>
      <c r="BH383" s="2">
        <f t="shared" ca="1" si="213"/>
        <v>0.70836971555198602</v>
      </c>
      <c r="BI383" s="2">
        <f t="shared" ca="1" si="214"/>
        <v>0.70836971555198602</v>
      </c>
    </row>
    <row r="384" spans="1:61" ht="15" x14ac:dyDescent="0.25">
      <c r="A384" s="66">
        <v>318</v>
      </c>
      <c r="B384" s="66">
        <v>1498730287.02</v>
      </c>
      <c r="C384" s="67">
        <v>-5.4802840158205703E-5</v>
      </c>
      <c r="D384" s="67">
        <v>3.41085036781622E-5</v>
      </c>
      <c r="E384" s="67">
        <v>1.29070450482875E-2</v>
      </c>
      <c r="F384" s="67">
        <v>4.6590995609194002E-4</v>
      </c>
      <c r="G384" s="67">
        <v>1.7279844560682399E-7</v>
      </c>
      <c r="H384" s="67">
        <v>0.237288440010063</v>
      </c>
      <c r="I384" s="67">
        <v>3.41085036781622E-5</v>
      </c>
      <c r="J384" s="67">
        <v>0.17143232086596499</v>
      </c>
      <c r="K384" s="67">
        <v>2.0614502825825198</v>
      </c>
      <c r="L384" s="67"/>
      <c r="M384" s="67"/>
      <c r="O384" s="11">
        <f t="shared" ca="1" si="172"/>
        <v>-6.7606770868165731E-5</v>
      </c>
      <c r="P384" s="11">
        <f t="shared" ca="1" si="173"/>
        <v>3.3343403447857461E-5</v>
      </c>
      <c r="Q384" s="11">
        <f t="shared" ca="1" si="174"/>
        <v>1.2070553436019215E-2</v>
      </c>
      <c r="R384" s="11">
        <f t="shared" ca="1" si="175"/>
        <v>4.5426346844559291E-4</v>
      </c>
      <c r="S384" s="11">
        <f t="shared" ca="1" si="176"/>
        <v>-1.0754853601363298E-5</v>
      </c>
      <c r="T384" s="11">
        <f t="shared" ca="1" si="177"/>
        <v>0.23614988497148071</v>
      </c>
      <c r="U384" s="11">
        <f t="shared" ca="1" si="178"/>
        <v>3.3343403447857461E-5</v>
      </c>
      <c r="V384" s="11">
        <f t="shared" ca="1" si="179"/>
        <v>0.17078212486027122</v>
      </c>
      <c r="W384" s="11">
        <f t="shared" ca="1" si="180"/>
        <v>2.0543274343190148</v>
      </c>
      <c r="X384" s="11"/>
      <c r="Y384" s="2">
        <f t="shared" ca="1" si="181"/>
        <v>-6.7606770868165731E-5</v>
      </c>
      <c r="Z384" s="11">
        <f t="shared" ca="1" si="182"/>
        <v>3.3343403447857461E-5</v>
      </c>
      <c r="AA384" s="2">
        <f t="shared" ca="1" si="183"/>
        <v>1.207029833403171E-2</v>
      </c>
      <c r="AB384" s="2">
        <f t="shared" ca="1" si="184"/>
        <v>4.4808884079350879E-4</v>
      </c>
      <c r="AC384" s="2">
        <f t="shared" ca="1" si="185"/>
        <v>-1.0754853601363298E-5</v>
      </c>
      <c r="AD384" s="2">
        <f t="shared" ca="1" si="186"/>
        <v>0.23610498122390758</v>
      </c>
      <c r="AE384" s="2">
        <f t="shared" ca="1" si="187"/>
        <v>3.3343403447857461E-5</v>
      </c>
      <c r="AF384" s="2">
        <f t="shared" ca="1" si="188"/>
        <v>0.17071581283795131</v>
      </c>
      <c r="AG384" s="2">
        <f t="shared" ca="1" si="189"/>
        <v>2.054300526442979</v>
      </c>
      <c r="AI384" s="2">
        <f t="shared" ca="1" si="190"/>
        <v>-6.7606770868165731E-5</v>
      </c>
      <c r="AJ384" s="11">
        <f t="shared" ca="1" si="191"/>
        <v>3.3343403447857461E-5</v>
      </c>
      <c r="AK384" s="2">
        <f t="shared" ca="1" si="192"/>
        <v>1.2030959287376304E-2</v>
      </c>
      <c r="AL384" s="2">
        <f t="shared" ca="1" si="193"/>
        <v>4.2967652375314744E-4</v>
      </c>
      <c r="AM384" s="2">
        <f t="shared" ca="1" si="194"/>
        <v>-1.0754853601363298E-5</v>
      </c>
      <c r="AN384" s="2">
        <f t="shared" ca="1" si="195"/>
        <v>0.23610498122390758</v>
      </c>
      <c r="AO384" s="2">
        <f t="shared" ca="1" si="196"/>
        <v>3.3343403447857461E-5</v>
      </c>
      <c r="AP384" s="2">
        <f t="shared" ca="1" si="197"/>
        <v>0.17071581283795131</v>
      </c>
      <c r="AQ384" s="2">
        <f t="shared" ca="1" si="198"/>
        <v>2.054300526442979</v>
      </c>
      <c r="AS384" s="2">
        <f t="shared" ca="1" si="199"/>
        <v>8.6992523183617525</v>
      </c>
      <c r="AT384" s="2">
        <f t="shared" ca="1" si="200"/>
        <v>0.40077176295645373</v>
      </c>
      <c r="AU384" s="2">
        <f t="shared" ca="1" si="201"/>
        <v>1.8205597109565366E-4</v>
      </c>
      <c r="AV384" s="2">
        <f t="shared" ca="1" si="202"/>
        <v>0.17060006888917556</v>
      </c>
      <c r="AW384" s="2">
        <f t="shared" ca="1" si="203"/>
        <v>0.70874349648119073</v>
      </c>
      <c r="AX384" s="2">
        <f t="shared" ca="1" si="204"/>
        <v>5.3138468354292624E-2</v>
      </c>
      <c r="AY384" s="9">
        <f t="shared" ca="1" si="205"/>
        <v>0.70874349648119073</v>
      </c>
      <c r="AZ384" s="9">
        <f t="shared" ca="1" si="206"/>
        <v>0.70874349648119073</v>
      </c>
      <c r="BB384" s="2">
        <f t="shared" ca="1" si="207"/>
        <v>8.7007928244207839</v>
      </c>
      <c r="BC384" s="2">
        <f t="shared" ca="1" si="208"/>
        <v>0.40084359444092638</v>
      </c>
      <c r="BD384" s="2">
        <f t="shared" ca="1" si="209"/>
        <v>1.7223308222809371E-4</v>
      </c>
      <c r="BE384" s="2">
        <f t="shared" ca="1" si="210"/>
        <v>0.17054357975572321</v>
      </c>
      <c r="BF384" s="2">
        <f t="shared" ca="1" si="211"/>
        <v>0.70858037774770322</v>
      </c>
      <c r="BG384" s="2">
        <f t="shared" ca="1" si="212"/>
        <v>5.2983834228413983E-2</v>
      </c>
      <c r="BH384" s="2">
        <f t="shared" ca="1" si="213"/>
        <v>0.70858037774770322</v>
      </c>
      <c r="BI384" s="2">
        <f t="shared" ca="1" si="214"/>
        <v>0.70858037774770322</v>
      </c>
    </row>
    <row r="385" spans="1:61" ht="15" x14ac:dyDescent="0.25">
      <c r="A385" s="66">
        <v>319</v>
      </c>
      <c r="B385" s="66">
        <v>1498730287.5469999</v>
      </c>
      <c r="C385" s="67">
        <v>-4.7255118806148797E-6</v>
      </c>
      <c r="D385" s="67">
        <v>-1.7036331017864799E-5</v>
      </c>
      <c r="E385" s="67">
        <v>1.2987047016567801E-2</v>
      </c>
      <c r="F385" s="67">
        <v>4.2663309900605102E-4</v>
      </c>
      <c r="G385" s="67">
        <v>1.53338094977957E-5</v>
      </c>
      <c r="H385" s="67">
        <v>0.24032494193658999</v>
      </c>
      <c r="I385" s="67">
        <v>-1.7036331017864799E-5</v>
      </c>
      <c r="J385" s="67">
        <v>0.17343299906274801</v>
      </c>
      <c r="K385" s="67">
        <v>2.0852083655384299</v>
      </c>
      <c r="L385" s="67"/>
      <c r="M385" s="67"/>
      <c r="O385" s="11">
        <f t="shared" ca="1" si="172"/>
        <v>-1.7529442590574908E-5</v>
      </c>
      <c r="P385" s="11">
        <f t="shared" ca="1" si="173"/>
        <v>-1.7801431248169541E-5</v>
      </c>
      <c r="Q385" s="11">
        <f t="shared" ca="1" si="174"/>
        <v>1.2150555404299516E-2</v>
      </c>
      <c r="R385" s="11">
        <f t="shared" ca="1" si="175"/>
        <v>4.1498661135970391E-4</v>
      </c>
      <c r="S385" s="11">
        <f t="shared" ca="1" si="176"/>
        <v>4.4061574508255775E-6</v>
      </c>
      <c r="T385" s="11">
        <f t="shared" ca="1" si="177"/>
        <v>0.2391863868980077</v>
      </c>
      <c r="U385" s="11">
        <f t="shared" ca="1" si="178"/>
        <v>-1.7801431248169541E-5</v>
      </c>
      <c r="V385" s="11">
        <f t="shared" ca="1" si="179"/>
        <v>0.17278280305705424</v>
      </c>
      <c r="W385" s="11">
        <f t="shared" ca="1" si="180"/>
        <v>2.0780855172749249</v>
      </c>
      <c r="X385" s="11"/>
      <c r="Y385" s="2">
        <f t="shared" ca="1" si="181"/>
        <v>-1.7529442590574908E-5</v>
      </c>
      <c r="Z385" s="11">
        <f t="shared" ca="1" si="182"/>
        <v>-1.7801431248169541E-5</v>
      </c>
      <c r="AA385" s="2">
        <f t="shared" ca="1" si="183"/>
        <v>1.2150555404299516E-2</v>
      </c>
      <c r="AB385" s="2">
        <f t="shared" ca="1" si="184"/>
        <v>4.1498661135970391E-4</v>
      </c>
      <c r="AC385" s="2">
        <f t="shared" ca="1" si="185"/>
        <v>4.4061574508255775E-6</v>
      </c>
      <c r="AD385" s="2">
        <f t="shared" ca="1" si="186"/>
        <v>0.2391863868980077</v>
      </c>
      <c r="AE385" s="2">
        <f t="shared" ca="1" si="187"/>
        <v>-1.7801431248169541E-5</v>
      </c>
      <c r="AF385" s="2">
        <f t="shared" ca="1" si="188"/>
        <v>0.17278280305705424</v>
      </c>
      <c r="AG385" s="2">
        <f t="shared" ca="1" si="189"/>
        <v>2.0780855172749249</v>
      </c>
      <c r="AI385" s="2">
        <f t="shared" ca="1" si="190"/>
        <v>-1.7529442590574908E-5</v>
      </c>
      <c r="AJ385" s="11">
        <f t="shared" ca="1" si="191"/>
        <v>-1.7801431248169541E-5</v>
      </c>
      <c r="AK385" s="2">
        <f t="shared" ca="1" si="192"/>
        <v>1.2150555404299516E-2</v>
      </c>
      <c r="AL385" s="2">
        <f t="shared" ca="1" si="193"/>
        <v>4.1498661135970391E-4</v>
      </c>
      <c r="AM385" s="2">
        <f t="shared" ca="1" si="194"/>
        <v>4.4061574508255775E-6</v>
      </c>
      <c r="AN385" s="2">
        <f t="shared" ca="1" si="195"/>
        <v>0.2391863868980077</v>
      </c>
      <c r="AO385" s="2">
        <f t="shared" ca="1" si="196"/>
        <v>-1.7801431248169541E-5</v>
      </c>
      <c r="AP385" s="2">
        <f t="shared" ca="1" si="197"/>
        <v>0.17278280305705424</v>
      </c>
      <c r="AQ385" s="2">
        <f t="shared" ca="1" si="198"/>
        <v>2.0780855172749249</v>
      </c>
      <c r="AS385" s="2">
        <f t="shared" ca="1" si="199"/>
        <v>8.6881429341589094</v>
      </c>
      <c r="AT385" s="2">
        <f t="shared" ca="1" si="200"/>
        <v>0.40025375362147442</v>
      </c>
      <c r="AU385" s="2">
        <f t="shared" ca="1" si="201"/>
        <v>1.6609994889937749E-4</v>
      </c>
      <c r="AV385" s="2">
        <f t="shared" ca="1" si="202"/>
        <v>0.17261670310815486</v>
      </c>
      <c r="AW385" s="2">
        <f t="shared" ca="1" si="203"/>
        <v>0.70847325692155216</v>
      </c>
      <c r="AX385" s="2">
        <f t="shared" ca="1" si="204"/>
        <v>5.2742581849138069E-2</v>
      </c>
      <c r="AY385" s="9">
        <f t="shared" ca="1" si="205"/>
        <v>0.70847325692155216</v>
      </c>
      <c r="AZ385" s="9">
        <f t="shared" ca="1" si="206"/>
        <v>0.70847325692155216</v>
      </c>
      <c r="BB385" s="2">
        <f t="shared" ca="1" si="207"/>
        <v>8.6881429341589094</v>
      </c>
      <c r="BC385" s="2">
        <f t="shared" ca="1" si="208"/>
        <v>0.40025375362147442</v>
      </c>
      <c r="BD385" s="2">
        <f t="shared" ca="1" si="209"/>
        <v>1.6609994889937749E-4</v>
      </c>
      <c r="BE385" s="2">
        <f t="shared" ca="1" si="210"/>
        <v>0.17261670310815486</v>
      </c>
      <c r="BF385" s="2">
        <f t="shared" ca="1" si="211"/>
        <v>0.70847325692155216</v>
      </c>
      <c r="BG385" s="2">
        <f t="shared" ca="1" si="212"/>
        <v>5.2742581849138069E-2</v>
      </c>
      <c r="BH385" s="2">
        <f t="shared" ca="1" si="213"/>
        <v>0.70847325692155216</v>
      </c>
      <c r="BI385" s="2">
        <f t="shared" ca="1" si="214"/>
        <v>0.70847325692155216</v>
      </c>
    </row>
    <row r="386" spans="1:61" ht="15" x14ac:dyDescent="0.25">
      <c r="A386" s="66">
        <v>320</v>
      </c>
      <c r="B386" s="66">
        <v>1498730288.0739999</v>
      </c>
      <c r="C386" s="67">
        <v>1.18825122059194E-4</v>
      </c>
      <c r="D386" s="67">
        <v>8.6816448653993802E-5</v>
      </c>
      <c r="E386" s="67">
        <v>1.2949213971862701E-2</v>
      </c>
      <c r="F386" s="67">
        <v>4.8066893190016003E-4</v>
      </c>
      <c r="G386" s="67">
        <v>8.9642241536659902E-5</v>
      </c>
      <c r="H386" s="67">
        <v>0.23710883074621</v>
      </c>
      <c r="I386" s="67">
        <v>8.6816448653993802E-5</v>
      </c>
      <c r="J386" s="67">
        <v>0.17125621348858699</v>
      </c>
      <c r="K386" s="67">
        <v>2.06054234208825</v>
      </c>
      <c r="L386" s="67"/>
      <c r="M386" s="67"/>
      <c r="O386" s="11">
        <f t="shared" ca="1" si="172"/>
        <v>1.0602119134923396E-4</v>
      </c>
      <c r="P386" s="11">
        <f t="shared" ca="1" si="173"/>
        <v>8.6051348423689064E-5</v>
      </c>
      <c r="Q386" s="11">
        <f t="shared" ca="1" si="174"/>
        <v>1.2112722359594416E-2</v>
      </c>
      <c r="R386" s="11">
        <f t="shared" ca="1" si="175"/>
        <v>4.6902244425381292E-4</v>
      </c>
      <c r="S386" s="11">
        <f t="shared" ca="1" si="176"/>
        <v>7.8714589489689774E-5</v>
      </c>
      <c r="T386" s="11">
        <f t="shared" ca="1" si="177"/>
        <v>0.23597027570762771</v>
      </c>
      <c r="U386" s="11">
        <f t="shared" ca="1" si="178"/>
        <v>8.6051348423689064E-5</v>
      </c>
      <c r="V386" s="11">
        <f t="shared" ca="1" si="179"/>
        <v>0.17060601748289322</v>
      </c>
      <c r="W386" s="11">
        <f t="shared" ca="1" si="180"/>
        <v>2.053419493824745</v>
      </c>
      <c r="X386" s="11"/>
      <c r="Y386" s="2">
        <f t="shared" ca="1" si="181"/>
        <v>1.0602119134923396E-4</v>
      </c>
      <c r="Z386" s="11">
        <f t="shared" ca="1" si="182"/>
        <v>8.6051348423689064E-5</v>
      </c>
      <c r="AA386" s="2">
        <f t="shared" ca="1" si="183"/>
        <v>1.2112064002386083E-2</v>
      </c>
      <c r="AB386" s="2">
        <f t="shared" ca="1" si="184"/>
        <v>4.5308720727937083E-4</v>
      </c>
      <c r="AC386" s="2">
        <f t="shared" ca="1" si="185"/>
        <v>7.8714589489689774E-5</v>
      </c>
      <c r="AD386" s="2">
        <f t="shared" ca="1" si="186"/>
        <v>0.23585438987629714</v>
      </c>
      <c r="AE386" s="2">
        <f t="shared" ca="1" si="187"/>
        <v>8.6051348423689064E-5</v>
      </c>
      <c r="AF386" s="2">
        <f t="shared" ca="1" si="188"/>
        <v>0.17043488201538601</v>
      </c>
      <c r="AG386" s="2">
        <f t="shared" ca="1" si="189"/>
        <v>2.0533500510331679</v>
      </c>
      <c r="AI386" s="2">
        <f t="shared" ca="1" si="190"/>
        <v>1.0602119134923396E-4</v>
      </c>
      <c r="AJ386" s="11">
        <f t="shared" ca="1" si="191"/>
        <v>8.6051348423689064E-5</v>
      </c>
      <c r="AK386" s="2">
        <f t="shared" ca="1" si="192"/>
        <v>1.2010539333025504E-2</v>
      </c>
      <c r="AL386" s="2">
        <f t="shared" ca="1" si="193"/>
        <v>4.0556942129794699E-4</v>
      </c>
      <c r="AM386" s="2">
        <f t="shared" ca="1" si="194"/>
        <v>7.8714589489689774E-5</v>
      </c>
      <c r="AN386" s="2">
        <f t="shared" ca="1" si="195"/>
        <v>0.23585438987629714</v>
      </c>
      <c r="AO386" s="2">
        <f t="shared" ca="1" si="196"/>
        <v>8.6051348423689064E-5</v>
      </c>
      <c r="AP386" s="2">
        <f t="shared" ca="1" si="197"/>
        <v>0.17043488201538601</v>
      </c>
      <c r="AQ386" s="2">
        <f t="shared" ca="1" si="198"/>
        <v>2.0533500510331679</v>
      </c>
      <c r="AS386" s="2">
        <f t="shared" ca="1" si="199"/>
        <v>8.7020260821705193</v>
      </c>
      <c r="AT386" s="2">
        <f t="shared" ca="1" si="200"/>
        <v>0.40090109950924335</v>
      </c>
      <c r="AU386" s="2">
        <f t="shared" ca="1" si="201"/>
        <v>1.8803161359586641E-4</v>
      </c>
      <c r="AV386" s="2">
        <f t="shared" ca="1" si="202"/>
        <v>0.17041798586929735</v>
      </c>
      <c r="AW386" s="2">
        <f t="shared" ca="1" si="203"/>
        <v>0.70841219229572672</v>
      </c>
      <c r="AX386" s="2">
        <f t="shared" ca="1" si="204"/>
        <v>5.3382108367523613E-2</v>
      </c>
      <c r="AY386" s="9">
        <f t="shared" ca="1" si="205"/>
        <v>0.70841219229572672</v>
      </c>
      <c r="AZ386" s="9">
        <f t="shared" ca="1" si="206"/>
        <v>0.70841219229572672</v>
      </c>
      <c r="BB386" s="2">
        <f t="shared" ca="1" si="207"/>
        <v>8.706007346779197</v>
      </c>
      <c r="BC386" s="2">
        <f t="shared" ca="1" si="208"/>
        <v>0.40108674093354829</v>
      </c>
      <c r="BD386" s="2">
        <f t="shared" ca="1" si="209"/>
        <v>1.6266851741069877E-4</v>
      </c>
      <c r="BE386" s="2">
        <f t="shared" ca="1" si="210"/>
        <v>0.17027221349797531</v>
      </c>
      <c r="BF386" s="2">
        <f t="shared" ca="1" si="211"/>
        <v>0.70799090473851001</v>
      </c>
      <c r="BG386" s="2">
        <f t="shared" ca="1" si="212"/>
        <v>5.2982576391971035E-2</v>
      </c>
      <c r="BH386" s="2">
        <f t="shared" ca="1" si="213"/>
        <v>0.70799090473851001</v>
      </c>
      <c r="BI386" s="2">
        <f t="shared" ca="1" si="214"/>
        <v>0.70799090473851001</v>
      </c>
    </row>
    <row r="387" spans="1:61" ht="15" x14ac:dyDescent="0.25">
      <c r="A387" s="66">
        <v>321</v>
      </c>
      <c r="B387" s="66">
        <v>1498730288.6010001</v>
      </c>
      <c r="C387" s="67">
        <v>-8.9774587008769295E-6</v>
      </c>
      <c r="D387" s="67">
        <v>3.51292720527474E-6</v>
      </c>
      <c r="E387" s="67">
        <v>1.5215758703544999E-2</v>
      </c>
      <c r="F387" s="67">
        <v>5.0233169455640801E-4</v>
      </c>
      <c r="G387" s="67">
        <v>1.21573148753738E-4</v>
      </c>
      <c r="H387" s="67">
        <v>0.28044580316718298</v>
      </c>
      <c r="I387" s="67">
        <v>3.51292720527474E-6</v>
      </c>
      <c r="J387" s="67">
        <v>0.20219202776984499</v>
      </c>
      <c r="K387" s="67">
        <v>2.4285288051121499</v>
      </c>
      <c r="L387" s="67"/>
      <c r="M387" s="67"/>
      <c r="O387" s="11">
        <f t="shared" ref="O387:O450" ca="1" si="215">C387-AVERAGE(OFFSET(C$67,$J$2,0,$J$3))</f>
        <v>-2.1781389410836957E-5</v>
      </c>
      <c r="P387" s="11">
        <f t="shared" ref="P387:P450" ca="1" si="216">D387-AVERAGE(OFFSET(D$67,$J$2,0,$J$3))</f>
        <v>2.7478269749699997E-6</v>
      </c>
      <c r="Q387" s="11">
        <f t="shared" ref="Q387:Q450" ca="1" si="217">E387-AVERAGE(OFFSET(E$67,$J$2,0,$J$3))</f>
        <v>1.4379267091276715E-2</v>
      </c>
      <c r="R387" s="11">
        <f t="shared" ref="R387:R450" ca="1" si="218">F387-AVERAGE(OFFSET(F$67,$J$2,0,$J$3))</f>
        <v>4.9068520691006084E-4</v>
      </c>
      <c r="S387" s="11">
        <f t="shared" ref="S387:S450" ca="1" si="219">G387-AVERAGE(OFFSET(G$67,$J$2,0,$J$3))</f>
        <v>1.1064549670676787E-4</v>
      </c>
      <c r="T387" s="11">
        <f t="shared" ref="T387:T450" ca="1" si="220">H387-AVERAGE(OFFSET(H$67,$J$2,0,$J$3))</f>
        <v>0.27930724812860069</v>
      </c>
      <c r="U387" s="11">
        <f t="shared" ref="U387:U450" ca="1" si="221">I387-AVERAGE(OFFSET(I$67,$J$2,0,$J$3))</f>
        <v>2.7478269749699997E-6</v>
      </c>
      <c r="V387" s="11">
        <f t="shared" ref="V387:V450" ca="1" si="222">J387-AVERAGE(OFFSET(J$67,$J$2,0,$J$3))</f>
        <v>0.20154183176415122</v>
      </c>
      <c r="W387" s="11">
        <f t="shared" ref="W387:W450" ca="1" si="223">K387-AVERAGE(OFFSET(K$67,$J$2,0,$J$3))</f>
        <v>2.4214059568486448</v>
      </c>
      <c r="X387" s="11"/>
      <c r="Y387" s="2">
        <f t="shared" ref="Y387:Y450" ca="1" si="224">O387</f>
        <v>-2.1781389410836957E-5</v>
      </c>
      <c r="Z387" s="11">
        <f t="shared" ref="Z387:Z450" ca="1" si="225">P387</f>
        <v>2.7478269749699997E-6</v>
      </c>
      <c r="AA387" s="2">
        <f t="shared" ref="AA387:AA450" ca="1" si="226">IF($U387&gt;0,Q387-($B$14/$B$18*$U387), Q387)</f>
        <v>1.4379246068344136E-2</v>
      </c>
      <c r="AB387" s="2">
        <f t="shared" ref="AB387:AB450" ca="1" si="227">IF($U387&gt;0,R387-($B$15/$B$18*$U387), R387)</f>
        <v>4.9017635638286966E-4</v>
      </c>
      <c r="AC387" s="2">
        <f t="shared" ref="AC387:AC450" ca="1" si="228">S387</f>
        <v>1.1064549670676787E-4</v>
      </c>
      <c r="AD387" s="2">
        <f t="shared" ref="AD387:AD450" ca="1" si="229">IF($U387&gt;0,T387-($B$17/$B$18*$U387), T387)</f>
        <v>0.27930354761467291</v>
      </c>
      <c r="AE387" s="2">
        <f t="shared" ref="AE387:AE450" ca="1" si="230">U387</f>
        <v>2.7478269749699997E-6</v>
      </c>
      <c r="AF387" s="2">
        <f t="shared" ref="AF387:AF450" ca="1" si="231">IF($U387&gt;0,V387-($B$19/$B$18*$U387), V387)</f>
        <v>0.20153636699616553</v>
      </c>
      <c r="AG387" s="2">
        <f t="shared" ref="AG387:AG450" ca="1" si="232">IF($U387&gt;0,W387-($B$20/$B$18*$U387), W387)</f>
        <v>2.4214037393729235</v>
      </c>
      <c r="AI387" s="2">
        <f t="shared" ref="AI387:AI450" ca="1" si="233">Y387</f>
        <v>-2.1781389410836957E-5</v>
      </c>
      <c r="AJ387" s="11">
        <f t="shared" ref="AJ387:AJ450" ca="1" si="234">Z387</f>
        <v>2.7478269749699997E-6</v>
      </c>
      <c r="AK387" s="2">
        <f t="shared" ref="AK387:AK450" ca="1" si="235">IF($AJ387&gt;0,AA387-($B$25/$B$24*$AJ387),AA387)</f>
        <v>1.4376004140934465E-2</v>
      </c>
      <c r="AL387" s="2">
        <f t="shared" ref="AL387:AL450" ca="1" si="236">IF($AJ387&gt;0,AB387-($B$26/$B$25*$AJ387),AB387)</f>
        <v>4.8865899893871061E-4</v>
      </c>
      <c r="AM387" s="2">
        <f t="shared" ref="AM387:AM450" ca="1" si="237">AC387</f>
        <v>1.1064549670676787E-4</v>
      </c>
      <c r="AN387" s="2">
        <f t="shared" ref="AN387:AN450" ca="1" si="238">AD387</f>
        <v>0.27930354761467291</v>
      </c>
      <c r="AO387" s="2">
        <f t="shared" ref="AO387:AO450" ca="1" si="239">AE387</f>
        <v>2.7478269749699997E-6</v>
      </c>
      <c r="AP387" s="2">
        <f t="shared" ref="AP387:AP450" ca="1" si="240">AF387</f>
        <v>0.20153636699616553</v>
      </c>
      <c r="AQ387" s="2">
        <f t="shared" ref="AQ387:AQ450" ca="1" si="241">AG387</f>
        <v>2.4214037393729235</v>
      </c>
      <c r="AS387" s="2">
        <f t="shared" ref="AS387:AS450" ca="1" si="242">IF(AND(T387&gt;0,W387&gt;0),W387/T387, #N/A)</f>
        <v>8.6693273199045784</v>
      </c>
      <c r="AT387" s="2">
        <f t="shared" ref="AT387:AT450" ca="1" si="243">$B$8*((AS387/$B$10)^$B$11)</f>
        <v>0.39937643585084692</v>
      </c>
      <c r="AU387" s="2">
        <f t="shared" ref="AU387:AU450" ca="1" si="244">AT387*R387</f>
        <v>1.9596810906047547E-4</v>
      </c>
      <c r="AV387" s="2">
        <f t="shared" ref="AV387:AV450" ca="1" si="245">V387-AU387</f>
        <v>0.20134586365509075</v>
      </c>
      <c r="AW387" s="2">
        <f t="shared" ref="AW387:AW450" ca="1" si="246">(AV387/T387)/((AS387/$B$10)^$B$12)</f>
        <v>0.70845418495477164</v>
      </c>
      <c r="AX387" s="2">
        <f t="shared" ref="AX387:AX450" ca="1" si="247">(Q387/T387)/((AS387/$B$10)^$B$13)</f>
        <v>5.3332606639449172E-2</v>
      </c>
      <c r="AY387" s="9">
        <f t="shared" ref="AY387:AY450" ca="1" si="248">IF(AND(AW387&lt;$M$3,AW387&gt;$M$4),AW387,"rejected")</f>
        <v>0.70845418495477164</v>
      </c>
      <c r="AZ387" s="9">
        <f t="shared" ref="AZ387:AZ450" ca="1" si="249">IF(AND(AW387&lt;$M$3,AW387&gt;$M$4),AW387,#N/A)</f>
        <v>0.70845418495477164</v>
      </c>
      <c r="BB387" s="2">
        <f t="shared" ref="BB387:BB450" ca="1" si="250">IF(AND(AQ387&gt;0, AN387&gt;0),AQ387/AN387, #N/A)</f>
        <v>8.6694342411772425</v>
      </c>
      <c r="BC387" s="2">
        <f t="shared" ref="BC387:BC450" ca="1" si="251">$B$8*((BB387/$B$10)^$B$11)</f>
        <v>0.39938142121590436</v>
      </c>
      <c r="BD387" s="2">
        <f t="shared" ref="BD387:BD450" ca="1" si="252">BC387*AL387</f>
        <v>1.9516132548608335E-4</v>
      </c>
      <c r="BE387" s="2">
        <f t="shared" ref="BE387:BE450" ca="1" si="253">AP387-BD387</f>
        <v>0.20134120567067945</v>
      </c>
      <c r="BF387" s="2">
        <f t="shared" ref="BF387:BF450" ca="1" si="254">(BE387/AN387)/((BB387/$B$10)^$B$12)</f>
        <v>0.70844278145318429</v>
      </c>
      <c r="BG387" s="2">
        <f t="shared" ref="BG387:BG450" ca="1" si="255">(AK387/AN387)/((BB387/$B$10)^$B$13)</f>
        <v>5.3321883741418399E-2</v>
      </c>
      <c r="BH387" s="2">
        <f t="shared" ref="BH387:BH450" ca="1" si="256">IF(AND(BF387&lt;$P$3,BF387&gt;$P$4),BF387,"rejected")</f>
        <v>0.70844278145318429</v>
      </c>
      <c r="BI387" s="2">
        <f t="shared" ref="BI387:BI450" ca="1" si="257">IF(AND(BF387&lt;$P$3,BF387&gt;$P$4),BF387,#N/A)</f>
        <v>0.70844278145318429</v>
      </c>
    </row>
    <row r="388" spans="1:61" ht="15" x14ac:dyDescent="0.25">
      <c r="A388" s="66">
        <v>322</v>
      </c>
      <c r="B388" s="66">
        <v>1498730289.128</v>
      </c>
      <c r="C388" s="67">
        <v>-5.9066100473514298E-6</v>
      </c>
      <c r="D388" s="67">
        <v>-2.65772976428529E-5</v>
      </c>
      <c r="E388" s="67">
        <v>1.3892329259869E-2</v>
      </c>
      <c r="F388" s="67">
        <v>5.4351604441328497E-4</v>
      </c>
      <c r="G388" s="67">
        <v>4.5168237366993897E-5</v>
      </c>
      <c r="H388" s="67">
        <v>0.25559521198795399</v>
      </c>
      <c r="I388" s="67">
        <v>-2.65772976428529E-5</v>
      </c>
      <c r="J388" s="67">
        <v>0.18475683714077501</v>
      </c>
      <c r="K388" s="67">
        <v>2.2260445760479799</v>
      </c>
      <c r="L388" s="67"/>
      <c r="M388" s="67"/>
      <c r="O388" s="11">
        <f t="shared" ca="1" si="215"/>
        <v>-1.8710540757311456E-5</v>
      </c>
      <c r="P388" s="11">
        <f t="shared" ca="1" si="216"/>
        <v>-2.7342397873157642E-5</v>
      </c>
      <c r="Q388" s="11">
        <f t="shared" ca="1" si="217"/>
        <v>1.3055837647600715E-2</v>
      </c>
      <c r="R388" s="11">
        <f t="shared" ca="1" si="218"/>
        <v>5.3186955676693781E-4</v>
      </c>
      <c r="S388" s="11">
        <f t="shared" ca="1" si="219"/>
        <v>3.4240585320023777E-5</v>
      </c>
      <c r="T388" s="11">
        <f t="shared" ca="1" si="220"/>
        <v>0.2544566569493717</v>
      </c>
      <c r="U388" s="11">
        <f t="shared" ca="1" si="221"/>
        <v>-2.7342397873157642E-5</v>
      </c>
      <c r="V388" s="11">
        <f t="shared" ca="1" si="222"/>
        <v>0.18410664113508124</v>
      </c>
      <c r="W388" s="11">
        <f t="shared" ca="1" si="223"/>
        <v>2.2189217277844748</v>
      </c>
      <c r="X388" s="11"/>
      <c r="Y388" s="2">
        <f t="shared" ca="1" si="224"/>
        <v>-1.8710540757311456E-5</v>
      </c>
      <c r="Z388" s="11">
        <f t="shared" ca="1" si="225"/>
        <v>-2.7342397873157642E-5</v>
      </c>
      <c r="AA388" s="2">
        <f t="shared" ca="1" si="226"/>
        <v>1.3055837647600715E-2</v>
      </c>
      <c r="AB388" s="2">
        <f t="shared" ca="1" si="227"/>
        <v>5.3186955676693781E-4</v>
      </c>
      <c r="AC388" s="2">
        <f t="shared" ca="1" si="228"/>
        <v>3.4240585320023777E-5</v>
      </c>
      <c r="AD388" s="2">
        <f t="shared" ca="1" si="229"/>
        <v>0.2544566569493717</v>
      </c>
      <c r="AE388" s="2">
        <f t="shared" ca="1" si="230"/>
        <v>-2.7342397873157642E-5</v>
      </c>
      <c r="AF388" s="2">
        <f t="shared" ca="1" si="231"/>
        <v>0.18410664113508124</v>
      </c>
      <c r="AG388" s="2">
        <f t="shared" ca="1" si="232"/>
        <v>2.2189217277844748</v>
      </c>
      <c r="AI388" s="2">
        <f t="shared" ca="1" si="233"/>
        <v>-1.8710540757311456E-5</v>
      </c>
      <c r="AJ388" s="11">
        <f t="shared" ca="1" si="234"/>
        <v>-2.7342397873157642E-5</v>
      </c>
      <c r="AK388" s="2">
        <f t="shared" ca="1" si="235"/>
        <v>1.3055837647600715E-2</v>
      </c>
      <c r="AL388" s="2">
        <f t="shared" ca="1" si="236"/>
        <v>5.3186955676693781E-4</v>
      </c>
      <c r="AM388" s="2">
        <f t="shared" ca="1" si="237"/>
        <v>3.4240585320023777E-5</v>
      </c>
      <c r="AN388" s="2">
        <f t="shared" ca="1" si="238"/>
        <v>0.2544566569493717</v>
      </c>
      <c r="AO388" s="2">
        <f t="shared" ca="1" si="239"/>
        <v>-2.7342397873157642E-5</v>
      </c>
      <c r="AP388" s="2">
        <f t="shared" ca="1" si="240"/>
        <v>0.18410664113508124</v>
      </c>
      <c r="AQ388" s="2">
        <f t="shared" ca="1" si="241"/>
        <v>2.2189217277844748</v>
      </c>
      <c r="AS388" s="2">
        <f t="shared" ca="1" si="242"/>
        <v>8.7202345357620796</v>
      </c>
      <c r="AT388" s="2">
        <f t="shared" ca="1" si="243"/>
        <v>0.40175014549783594</v>
      </c>
      <c r="AU388" s="2">
        <f t="shared" ca="1" si="244"/>
        <v>2.1367867181698678E-4</v>
      </c>
      <c r="AV388" s="2">
        <f t="shared" ca="1" si="245"/>
        <v>0.18389296246326425</v>
      </c>
      <c r="AW388" s="2">
        <f t="shared" ca="1" si="246"/>
        <v>0.70814474475629263</v>
      </c>
      <c r="AX388" s="2">
        <f t="shared" ca="1" si="247"/>
        <v>5.347257214372135E-2</v>
      </c>
      <c r="AY388" s="9">
        <f t="shared" ca="1" si="248"/>
        <v>0.70814474475629263</v>
      </c>
      <c r="AZ388" s="9">
        <f t="shared" ca="1" si="249"/>
        <v>0.70814474475629263</v>
      </c>
      <c r="BB388" s="2">
        <f t="shared" ca="1" si="250"/>
        <v>8.7202345357620796</v>
      </c>
      <c r="BC388" s="2">
        <f t="shared" ca="1" si="251"/>
        <v>0.40175014549783594</v>
      </c>
      <c r="BD388" s="2">
        <f t="shared" ca="1" si="252"/>
        <v>2.1367867181698678E-4</v>
      </c>
      <c r="BE388" s="2">
        <f t="shared" ca="1" si="253"/>
        <v>0.18389296246326425</v>
      </c>
      <c r="BF388" s="2">
        <f t="shared" ca="1" si="254"/>
        <v>0.70814474475629263</v>
      </c>
      <c r="BG388" s="2">
        <f t="shared" ca="1" si="255"/>
        <v>5.347257214372135E-2</v>
      </c>
      <c r="BH388" s="2">
        <f t="shared" ca="1" si="256"/>
        <v>0.70814474475629263</v>
      </c>
      <c r="BI388" s="2">
        <f t="shared" ca="1" si="257"/>
        <v>0.70814474475629263</v>
      </c>
    </row>
    <row r="389" spans="1:61" ht="15" x14ac:dyDescent="0.25">
      <c r="A389" s="66">
        <v>323</v>
      </c>
      <c r="B389" s="66">
        <v>1498730289.655</v>
      </c>
      <c r="C389" s="67">
        <v>1.5589596658531999E-5</v>
      </c>
      <c r="D389" s="67">
        <v>-1.5548424278391301E-5</v>
      </c>
      <c r="E389" s="67">
        <v>1.25316986274515E-2</v>
      </c>
      <c r="F389" s="67">
        <v>3.86405676691107E-4</v>
      </c>
      <c r="G389" s="67">
        <v>7.0488643130747097E-5</v>
      </c>
      <c r="H389" s="67">
        <v>0.22956742541418099</v>
      </c>
      <c r="I389" s="67">
        <v>-1.5548424278391301E-5</v>
      </c>
      <c r="J389" s="67">
        <v>0.16592350100477801</v>
      </c>
      <c r="K389" s="67">
        <v>1.9963075258113501</v>
      </c>
      <c r="L389" s="67"/>
      <c r="M389" s="67"/>
      <c r="O389" s="11">
        <f t="shared" ca="1" si="215"/>
        <v>2.7856659485719709E-6</v>
      </c>
      <c r="P389" s="11">
        <f t="shared" ca="1" si="216"/>
        <v>-1.6313524508696043E-5</v>
      </c>
      <c r="Q389" s="11">
        <f t="shared" ca="1" si="217"/>
        <v>1.1695207015183215E-2</v>
      </c>
      <c r="R389" s="11">
        <f t="shared" ca="1" si="218"/>
        <v>3.7475918904475989E-4</v>
      </c>
      <c r="S389" s="11">
        <f t="shared" ca="1" si="219"/>
        <v>5.9560991083776976E-5</v>
      </c>
      <c r="T389" s="11">
        <f t="shared" ca="1" si="220"/>
        <v>0.2284288703755987</v>
      </c>
      <c r="U389" s="11">
        <f t="shared" ca="1" si="221"/>
        <v>-1.6313524508696043E-5</v>
      </c>
      <c r="V389" s="11">
        <f t="shared" ca="1" si="222"/>
        <v>0.16527330499908424</v>
      </c>
      <c r="W389" s="11">
        <f t="shared" ca="1" si="223"/>
        <v>1.989184677547845</v>
      </c>
      <c r="X389" s="11"/>
      <c r="Y389" s="2">
        <f t="shared" ca="1" si="224"/>
        <v>2.7856659485719709E-6</v>
      </c>
      <c r="Z389" s="11">
        <f t="shared" ca="1" si="225"/>
        <v>-1.6313524508696043E-5</v>
      </c>
      <c r="AA389" s="2">
        <f t="shared" ca="1" si="226"/>
        <v>1.1695207015183215E-2</v>
      </c>
      <c r="AB389" s="2">
        <f t="shared" ca="1" si="227"/>
        <v>3.7475918904475989E-4</v>
      </c>
      <c r="AC389" s="2">
        <f t="shared" ca="1" si="228"/>
        <v>5.9560991083776976E-5</v>
      </c>
      <c r="AD389" s="2">
        <f t="shared" ca="1" si="229"/>
        <v>0.2284288703755987</v>
      </c>
      <c r="AE389" s="2">
        <f t="shared" ca="1" si="230"/>
        <v>-1.6313524508696043E-5</v>
      </c>
      <c r="AF389" s="2">
        <f t="shared" ca="1" si="231"/>
        <v>0.16527330499908424</v>
      </c>
      <c r="AG389" s="2">
        <f t="shared" ca="1" si="232"/>
        <v>1.989184677547845</v>
      </c>
      <c r="AI389" s="2">
        <f t="shared" ca="1" si="233"/>
        <v>2.7856659485719709E-6</v>
      </c>
      <c r="AJ389" s="11">
        <f t="shared" ca="1" si="234"/>
        <v>-1.6313524508696043E-5</v>
      </c>
      <c r="AK389" s="2">
        <f t="shared" ca="1" si="235"/>
        <v>1.1695207015183215E-2</v>
      </c>
      <c r="AL389" s="2">
        <f t="shared" ca="1" si="236"/>
        <v>3.7475918904475989E-4</v>
      </c>
      <c r="AM389" s="2">
        <f t="shared" ca="1" si="237"/>
        <v>5.9560991083776976E-5</v>
      </c>
      <c r="AN389" s="2">
        <f t="shared" ca="1" si="238"/>
        <v>0.2284288703755987</v>
      </c>
      <c r="AO389" s="2">
        <f t="shared" ca="1" si="239"/>
        <v>-1.6313524508696043E-5</v>
      </c>
      <c r="AP389" s="2">
        <f t="shared" ca="1" si="240"/>
        <v>0.16527330499908424</v>
      </c>
      <c r="AQ389" s="2">
        <f t="shared" ca="1" si="241"/>
        <v>1.989184677547845</v>
      </c>
      <c r="AS389" s="2">
        <f t="shared" ca="1" si="242"/>
        <v>8.7081141463296152</v>
      </c>
      <c r="AT389" s="2">
        <f t="shared" ca="1" si="243"/>
        <v>0.4011849787967513</v>
      </c>
      <c r="AU389" s="2">
        <f t="shared" ca="1" si="244"/>
        <v>1.5034775731080971E-4</v>
      </c>
      <c r="AV389" s="2">
        <f t="shared" ca="1" si="245"/>
        <v>0.16512295724177342</v>
      </c>
      <c r="AW389" s="2">
        <f t="shared" ca="1" si="246"/>
        <v>0.70881256414804572</v>
      </c>
      <c r="AX389" s="2">
        <f t="shared" ca="1" si="247"/>
        <v>5.3281810766030398E-2</v>
      </c>
      <c r="AY389" s="9">
        <f t="shared" ca="1" si="248"/>
        <v>0.70881256414804572</v>
      </c>
      <c r="AZ389" s="9">
        <f t="shared" ca="1" si="249"/>
        <v>0.70881256414804572</v>
      </c>
      <c r="BB389" s="2">
        <f t="shared" ca="1" si="250"/>
        <v>8.7081141463296152</v>
      </c>
      <c r="BC389" s="2">
        <f t="shared" ca="1" si="251"/>
        <v>0.4011849787967513</v>
      </c>
      <c r="BD389" s="2">
        <f t="shared" ca="1" si="252"/>
        <v>1.5034775731080971E-4</v>
      </c>
      <c r="BE389" s="2">
        <f t="shared" ca="1" si="253"/>
        <v>0.16512295724177342</v>
      </c>
      <c r="BF389" s="2">
        <f t="shared" ca="1" si="254"/>
        <v>0.70881256414804572</v>
      </c>
      <c r="BG389" s="2">
        <f t="shared" ca="1" si="255"/>
        <v>5.3281810766030398E-2</v>
      </c>
      <c r="BH389" s="2">
        <f t="shared" ca="1" si="256"/>
        <v>0.70881256414804572</v>
      </c>
      <c r="BI389" s="2">
        <f t="shared" ca="1" si="257"/>
        <v>0.70881256414804572</v>
      </c>
    </row>
    <row r="390" spans="1:61" ht="15" x14ac:dyDescent="0.25">
      <c r="A390" s="66">
        <v>324</v>
      </c>
      <c r="B390" s="66">
        <v>1498730290.181</v>
      </c>
      <c r="C390" s="67">
        <v>5.5512359047851502E-5</v>
      </c>
      <c r="D390" s="67">
        <v>8.6627188578011197E-6</v>
      </c>
      <c r="E390" s="67">
        <v>1.1782626950846699E-2</v>
      </c>
      <c r="F390" s="67">
        <v>3.0857378495611403E-4</v>
      </c>
      <c r="G390" s="67">
        <v>-1.03048355146E-4</v>
      </c>
      <c r="H390" s="67">
        <v>0.21614472879416199</v>
      </c>
      <c r="I390" s="67">
        <v>8.6627188578011197E-6</v>
      </c>
      <c r="J390" s="67">
        <v>0.15601350452983601</v>
      </c>
      <c r="K390" s="67">
        <v>1.8768459239395101</v>
      </c>
      <c r="L390" s="67"/>
      <c r="M390" s="67"/>
      <c r="O390" s="11">
        <f t="shared" ca="1" si="215"/>
        <v>4.2708428337891474E-5</v>
      </c>
      <c r="P390" s="11">
        <f t="shared" ca="1" si="216"/>
        <v>7.8976186274963794E-6</v>
      </c>
      <c r="Q390" s="11">
        <f t="shared" ca="1" si="217"/>
        <v>1.0946135338578415E-2</v>
      </c>
      <c r="R390" s="11">
        <f t="shared" ca="1" si="218"/>
        <v>2.9692729730976692E-4</v>
      </c>
      <c r="S390" s="11">
        <f t="shared" ca="1" si="219"/>
        <v>-1.1397600719297013E-4</v>
      </c>
      <c r="T390" s="11">
        <f t="shared" ca="1" si="220"/>
        <v>0.2150061737555797</v>
      </c>
      <c r="U390" s="11">
        <f t="shared" ca="1" si="221"/>
        <v>7.8976186274963794E-6</v>
      </c>
      <c r="V390" s="11">
        <f t="shared" ca="1" si="222"/>
        <v>0.15536330852414224</v>
      </c>
      <c r="W390" s="11">
        <f t="shared" ca="1" si="223"/>
        <v>1.869723075676005</v>
      </c>
      <c r="X390" s="11"/>
      <c r="Y390" s="2">
        <f t="shared" ca="1" si="224"/>
        <v>4.2708428337891474E-5</v>
      </c>
      <c r="Z390" s="11">
        <f t="shared" ca="1" si="225"/>
        <v>7.8976186274963794E-6</v>
      </c>
      <c r="AA390" s="2">
        <f t="shared" ca="1" si="226"/>
        <v>1.0946074915886065E-2</v>
      </c>
      <c r="AB390" s="2">
        <f t="shared" ca="1" si="227"/>
        <v>2.9546479350630206E-4</v>
      </c>
      <c r="AC390" s="2">
        <f t="shared" ca="1" si="228"/>
        <v>-1.1397600719297013E-4</v>
      </c>
      <c r="AD390" s="2">
        <f t="shared" ca="1" si="229"/>
        <v>0.21499553798848314</v>
      </c>
      <c r="AE390" s="2">
        <f t="shared" ca="1" si="230"/>
        <v>7.8976186274963794E-6</v>
      </c>
      <c r="AF390" s="2">
        <f t="shared" ca="1" si="231"/>
        <v>0.15534760205723883</v>
      </c>
      <c r="AG390" s="2">
        <f t="shared" ca="1" si="232"/>
        <v>1.8697167023571164</v>
      </c>
      <c r="AI390" s="2">
        <f t="shared" ca="1" si="233"/>
        <v>4.2708428337891474E-5</v>
      </c>
      <c r="AJ390" s="11">
        <f t="shared" ca="1" si="234"/>
        <v>7.8976186274963794E-6</v>
      </c>
      <c r="AK390" s="2">
        <f t="shared" ca="1" si="235"/>
        <v>1.0936757187174311E-2</v>
      </c>
      <c r="AL390" s="2">
        <f t="shared" ca="1" si="236"/>
        <v>2.9110370726443942E-4</v>
      </c>
      <c r="AM390" s="2">
        <f t="shared" ca="1" si="237"/>
        <v>-1.1397600719297013E-4</v>
      </c>
      <c r="AN390" s="2">
        <f t="shared" ca="1" si="238"/>
        <v>0.21499553798848314</v>
      </c>
      <c r="AO390" s="2">
        <f t="shared" ca="1" si="239"/>
        <v>7.8976186274963794E-6</v>
      </c>
      <c r="AP390" s="2">
        <f t="shared" ca="1" si="240"/>
        <v>0.15534760205723883</v>
      </c>
      <c r="AQ390" s="2">
        <f t="shared" ca="1" si="241"/>
        <v>1.8697167023571164</v>
      </c>
      <c r="AS390" s="2">
        <f t="shared" ca="1" si="242"/>
        <v>8.6961366876911974</v>
      </c>
      <c r="AT390" s="2">
        <f t="shared" ca="1" si="243"/>
        <v>0.40062648624796382</v>
      </c>
      <c r="AU390" s="2">
        <f t="shared" ca="1" si="244"/>
        <v>1.189569397923164E-4</v>
      </c>
      <c r="AV390" s="2">
        <f t="shared" ca="1" si="245"/>
        <v>0.15524435158434993</v>
      </c>
      <c r="AW390" s="2">
        <f t="shared" ca="1" si="246"/>
        <v>0.70850161443089177</v>
      </c>
      <c r="AX390" s="2">
        <f t="shared" ca="1" si="247"/>
        <v>5.2907870685832074E-2</v>
      </c>
      <c r="AY390" s="9">
        <f t="shared" ca="1" si="248"/>
        <v>0.70850161443089177</v>
      </c>
      <c r="AZ390" s="9">
        <f t="shared" ca="1" si="249"/>
        <v>0.70850161443089177</v>
      </c>
      <c r="BB390" s="2">
        <f t="shared" ca="1" si="250"/>
        <v>8.696537239099694</v>
      </c>
      <c r="BC390" s="2">
        <f t="shared" ca="1" si="251"/>
        <v>0.40064516326273114</v>
      </c>
      <c r="BD390" s="2">
        <f t="shared" ca="1" si="252"/>
        <v>1.1662929232334763E-4</v>
      </c>
      <c r="BE390" s="2">
        <f t="shared" ca="1" si="253"/>
        <v>0.15523097276491549</v>
      </c>
      <c r="BF390" s="2">
        <f t="shared" ca="1" si="254"/>
        <v>0.70845916956114341</v>
      </c>
      <c r="BG390" s="2">
        <f t="shared" ca="1" si="255"/>
        <v>5.2867648351186791E-2</v>
      </c>
      <c r="BH390" s="2">
        <f t="shared" ca="1" si="256"/>
        <v>0.70845916956114341</v>
      </c>
      <c r="BI390" s="2">
        <f t="shared" ca="1" si="257"/>
        <v>0.70845916956114341</v>
      </c>
    </row>
    <row r="391" spans="1:61" ht="15" x14ac:dyDescent="0.25">
      <c r="A391" s="66">
        <v>325</v>
      </c>
      <c r="B391" s="66">
        <v>1498730290.7079999</v>
      </c>
      <c r="C391" s="67">
        <v>-4.7354683851314798E-7</v>
      </c>
      <c r="D391" s="67">
        <v>-4.3248169525449502E-5</v>
      </c>
      <c r="E391" s="67">
        <v>1.22032041543743E-2</v>
      </c>
      <c r="F391" s="67">
        <v>3.2428248558812701E-4</v>
      </c>
      <c r="G391" s="67">
        <v>-3.4523163459331799E-6</v>
      </c>
      <c r="H391" s="67">
        <v>0.22505185561503399</v>
      </c>
      <c r="I391" s="67">
        <v>-4.3248169525449502E-5</v>
      </c>
      <c r="J391" s="67">
        <v>0.162485993772858</v>
      </c>
      <c r="K391" s="67">
        <v>1.9534340588782899</v>
      </c>
      <c r="L391" s="67"/>
      <c r="M391" s="67"/>
      <c r="O391" s="11">
        <f t="shared" ca="1" si="215"/>
        <v>-1.3277477548473176E-5</v>
      </c>
      <c r="P391" s="11">
        <f t="shared" ca="1" si="216"/>
        <v>-4.401326975575424E-5</v>
      </c>
      <c r="Q391" s="11">
        <f t="shared" ca="1" si="217"/>
        <v>1.1366712542106016E-2</v>
      </c>
      <c r="R391" s="11">
        <f t="shared" ca="1" si="218"/>
        <v>3.126359979417799E-4</v>
      </c>
      <c r="S391" s="11">
        <f t="shared" ca="1" si="219"/>
        <v>-1.4379968392903302E-5</v>
      </c>
      <c r="T391" s="11">
        <f t="shared" ca="1" si="220"/>
        <v>0.2239133005764517</v>
      </c>
      <c r="U391" s="11">
        <f t="shared" ca="1" si="221"/>
        <v>-4.401326975575424E-5</v>
      </c>
      <c r="V391" s="11">
        <f t="shared" ca="1" si="222"/>
        <v>0.16183579776716422</v>
      </c>
      <c r="W391" s="11">
        <f t="shared" ca="1" si="223"/>
        <v>1.9463112106147848</v>
      </c>
      <c r="X391" s="11"/>
      <c r="Y391" s="2">
        <f t="shared" ca="1" si="224"/>
        <v>-1.3277477548473176E-5</v>
      </c>
      <c r="Z391" s="11">
        <f t="shared" ca="1" si="225"/>
        <v>-4.401326975575424E-5</v>
      </c>
      <c r="AA391" s="2">
        <f t="shared" ca="1" si="226"/>
        <v>1.1366712542106016E-2</v>
      </c>
      <c r="AB391" s="2">
        <f t="shared" ca="1" si="227"/>
        <v>3.126359979417799E-4</v>
      </c>
      <c r="AC391" s="2">
        <f t="shared" ca="1" si="228"/>
        <v>-1.4379968392903302E-5</v>
      </c>
      <c r="AD391" s="2">
        <f t="shared" ca="1" si="229"/>
        <v>0.2239133005764517</v>
      </c>
      <c r="AE391" s="2">
        <f t="shared" ca="1" si="230"/>
        <v>-4.401326975575424E-5</v>
      </c>
      <c r="AF391" s="2">
        <f t="shared" ca="1" si="231"/>
        <v>0.16183579776716422</v>
      </c>
      <c r="AG391" s="2">
        <f t="shared" ca="1" si="232"/>
        <v>1.9463112106147848</v>
      </c>
      <c r="AI391" s="2">
        <f t="shared" ca="1" si="233"/>
        <v>-1.3277477548473176E-5</v>
      </c>
      <c r="AJ391" s="11">
        <f t="shared" ca="1" si="234"/>
        <v>-4.401326975575424E-5</v>
      </c>
      <c r="AK391" s="2">
        <f t="shared" ca="1" si="235"/>
        <v>1.1366712542106016E-2</v>
      </c>
      <c r="AL391" s="2">
        <f t="shared" ca="1" si="236"/>
        <v>3.126359979417799E-4</v>
      </c>
      <c r="AM391" s="2">
        <f t="shared" ca="1" si="237"/>
        <v>-1.4379968392903302E-5</v>
      </c>
      <c r="AN391" s="2">
        <f t="shared" ca="1" si="238"/>
        <v>0.2239133005764517</v>
      </c>
      <c r="AO391" s="2">
        <f t="shared" ca="1" si="239"/>
        <v>-4.401326975575424E-5</v>
      </c>
      <c r="AP391" s="2">
        <f t="shared" ca="1" si="240"/>
        <v>0.16183579776716422</v>
      </c>
      <c r="AQ391" s="2">
        <f t="shared" ca="1" si="241"/>
        <v>1.9463112106147848</v>
      </c>
      <c r="AS391" s="2">
        <f t="shared" ca="1" si="242"/>
        <v>8.6922536785627305</v>
      </c>
      <c r="AT391" s="2">
        <f t="shared" ca="1" si="243"/>
        <v>0.40044542883404477</v>
      </c>
      <c r="AU391" s="2">
        <f t="shared" ca="1" si="244"/>
        <v>1.251936562647556E-4</v>
      </c>
      <c r="AV391" s="2">
        <f t="shared" ca="1" si="245"/>
        <v>0.16171060411089946</v>
      </c>
      <c r="AW391" s="2">
        <f t="shared" ca="1" si="246"/>
        <v>0.70881394692159494</v>
      </c>
      <c r="AX391" s="2">
        <f t="shared" ca="1" si="247"/>
        <v>5.2731109719859774E-2</v>
      </c>
      <c r="AY391" s="9">
        <f t="shared" ca="1" si="248"/>
        <v>0.70881394692159494</v>
      </c>
      <c r="AZ391" s="9">
        <f t="shared" ca="1" si="249"/>
        <v>0.70881394692159494</v>
      </c>
      <c r="BB391" s="2">
        <f t="shared" ca="1" si="250"/>
        <v>8.6922536785627305</v>
      </c>
      <c r="BC391" s="2">
        <f t="shared" ca="1" si="251"/>
        <v>0.40044542883404477</v>
      </c>
      <c r="BD391" s="2">
        <f t="shared" ca="1" si="252"/>
        <v>1.251936562647556E-4</v>
      </c>
      <c r="BE391" s="2">
        <f t="shared" ca="1" si="253"/>
        <v>0.16171060411089946</v>
      </c>
      <c r="BF391" s="2">
        <f t="shared" ca="1" si="254"/>
        <v>0.70881394692159494</v>
      </c>
      <c r="BG391" s="2">
        <f t="shared" ca="1" si="255"/>
        <v>5.2731109719859774E-2</v>
      </c>
      <c r="BH391" s="2">
        <f t="shared" ca="1" si="256"/>
        <v>0.70881394692159494</v>
      </c>
      <c r="BI391" s="2">
        <f t="shared" ca="1" si="257"/>
        <v>0.70881394692159494</v>
      </c>
    </row>
    <row r="392" spans="1:61" ht="15" x14ac:dyDescent="0.25">
      <c r="A392" s="66">
        <v>326</v>
      </c>
      <c r="B392" s="66">
        <v>1498730291.2349999</v>
      </c>
      <c r="C392" s="67">
        <v>-1.4882910166764201E-5</v>
      </c>
      <c r="D392" s="67">
        <v>-1.0494098165789601E-5</v>
      </c>
      <c r="E392" s="67">
        <v>1.17648158654357E-2</v>
      </c>
      <c r="F392" s="67">
        <v>4.0497197798035399E-4</v>
      </c>
      <c r="G392" s="67">
        <v>-3.3319144809308503E-5</v>
      </c>
      <c r="H392" s="67">
        <v>0.216460470348422</v>
      </c>
      <c r="I392" s="67">
        <v>-1.0494098165789601E-5</v>
      </c>
      <c r="J392" s="67">
        <v>0.156334336843513</v>
      </c>
      <c r="K392" s="67">
        <v>1.8823496442929799</v>
      </c>
      <c r="L392" s="67"/>
      <c r="M392" s="67"/>
      <c r="O392" s="11">
        <f t="shared" ca="1" si="215"/>
        <v>-2.7686840876724227E-5</v>
      </c>
      <c r="P392" s="11">
        <f t="shared" ca="1" si="216"/>
        <v>-1.1259198396094341E-5</v>
      </c>
      <c r="Q392" s="11">
        <f t="shared" ca="1" si="217"/>
        <v>1.0928324253167416E-2</v>
      </c>
      <c r="R392" s="11">
        <f t="shared" ca="1" si="218"/>
        <v>3.9332549033400688E-4</v>
      </c>
      <c r="S392" s="11">
        <f t="shared" ca="1" si="219"/>
        <v>-4.4246796856278624E-5</v>
      </c>
      <c r="T392" s="11">
        <f t="shared" ca="1" si="220"/>
        <v>0.21532191530983971</v>
      </c>
      <c r="U392" s="11">
        <f t="shared" ca="1" si="221"/>
        <v>-1.1259198396094341E-5</v>
      </c>
      <c r="V392" s="11">
        <f t="shared" ca="1" si="222"/>
        <v>0.15568414083781923</v>
      </c>
      <c r="W392" s="11">
        <f t="shared" ca="1" si="223"/>
        <v>1.8752267960294748</v>
      </c>
      <c r="X392" s="11"/>
      <c r="Y392" s="2">
        <f t="shared" ca="1" si="224"/>
        <v>-2.7686840876724227E-5</v>
      </c>
      <c r="Z392" s="11">
        <f t="shared" ca="1" si="225"/>
        <v>-1.1259198396094341E-5</v>
      </c>
      <c r="AA392" s="2">
        <f t="shared" ca="1" si="226"/>
        <v>1.0928324253167416E-2</v>
      </c>
      <c r="AB392" s="2">
        <f t="shared" ca="1" si="227"/>
        <v>3.9332549033400688E-4</v>
      </c>
      <c r="AC392" s="2">
        <f t="shared" ca="1" si="228"/>
        <v>-4.4246796856278624E-5</v>
      </c>
      <c r="AD392" s="2">
        <f t="shared" ca="1" si="229"/>
        <v>0.21532191530983971</v>
      </c>
      <c r="AE392" s="2">
        <f t="shared" ca="1" si="230"/>
        <v>-1.1259198396094341E-5</v>
      </c>
      <c r="AF392" s="2">
        <f t="shared" ca="1" si="231"/>
        <v>0.15568414083781923</v>
      </c>
      <c r="AG392" s="2">
        <f t="shared" ca="1" si="232"/>
        <v>1.8752267960294748</v>
      </c>
      <c r="AI392" s="2">
        <f t="shared" ca="1" si="233"/>
        <v>-2.7686840876724227E-5</v>
      </c>
      <c r="AJ392" s="11">
        <f t="shared" ca="1" si="234"/>
        <v>-1.1259198396094341E-5</v>
      </c>
      <c r="AK392" s="2">
        <f t="shared" ca="1" si="235"/>
        <v>1.0928324253167416E-2</v>
      </c>
      <c r="AL392" s="2">
        <f t="shared" ca="1" si="236"/>
        <v>3.9332549033400688E-4</v>
      </c>
      <c r="AM392" s="2">
        <f t="shared" ca="1" si="237"/>
        <v>-4.4246796856278624E-5</v>
      </c>
      <c r="AN392" s="2">
        <f t="shared" ca="1" si="238"/>
        <v>0.21532191530983971</v>
      </c>
      <c r="AO392" s="2">
        <f t="shared" ca="1" si="239"/>
        <v>-1.1259198396094341E-5</v>
      </c>
      <c r="AP392" s="2">
        <f t="shared" ca="1" si="240"/>
        <v>0.15568414083781923</v>
      </c>
      <c r="AQ392" s="2">
        <f t="shared" ca="1" si="241"/>
        <v>1.8752267960294748</v>
      </c>
      <c r="AS392" s="2">
        <f t="shared" ca="1" si="242"/>
        <v>8.7089453636481817</v>
      </c>
      <c r="AT392" s="2">
        <f t="shared" ca="1" si="243"/>
        <v>0.40122373767169989</v>
      </c>
      <c r="AU392" s="2">
        <f t="shared" ca="1" si="244"/>
        <v>1.5781152335336431E-4</v>
      </c>
      <c r="AV392" s="2">
        <f t="shared" ca="1" si="245"/>
        <v>0.15552632931446586</v>
      </c>
      <c r="AW392" s="2">
        <f t="shared" ca="1" si="246"/>
        <v>0.70822255483822194</v>
      </c>
      <c r="AX392" s="2">
        <f t="shared" ca="1" si="247"/>
        <v>5.2823820570303645E-2</v>
      </c>
      <c r="AY392" s="9">
        <f t="shared" ca="1" si="248"/>
        <v>0.70822255483822194</v>
      </c>
      <c r="AZ392" s="9">
        <f t="shared" ca="1" si="249"/>
        <v>0.70822255483822194</v>
      </c>
      <c r="BB392" s="2">
        <f t="shared" ca="1" si="250"/>
        <v>8.7089453636481817</v>
      </c>
      <c r="BC392" s="2">
        <f t="shared" ca="1" si="251"/>
        <v>0.40122373767169989</v>
      </c>
      <c r="BD392" s="2">
        <f t="shared" ca="1" si="252"/>
        <v>1.5781152335336431E-4</v>
      </c>
      <c r="BE392" s="2">
        <f t="shared" ca="1" si="253"/>
        <v>0.15552632931446586</v>
      </c>
      <c r="BF392" s="2">
        <f t="shared" ca="1" si="254"/>
        <v>0.70822255483822194</v>
      </c>
      <c r="BG392" s="2">
        <f t="shared" ca="1" si="255"/>
        <v>5.2823820570303645E-2</v>
      </c>
      <c r="BH392" s="2">
        <f t="shared" ca="1" si="256"/>
        <v>0.70822255483822194</v>
      </c>
      <c r="BI392" s="2">
        <f t="shared" ca="1" si="257"/>
        <v>0.70822255483822194</v>
      </c>
    </row>
    <row r="393" spans="1:61" ht="15" x14ac:dyDescent="0.25">
      <c r="A393" s="66">
        <v>327</v>
      </c>
      <c r="B393" s="66">
        <v>1498730291.7620001</v>
      </c>
      <c r="C393" s="67">
        <v>-4.5590691183799E-5</v>
      </c>
      <c r="D393" s="67">
        <v>1.9302467912645201E-6</v>
      </c>
      <c r="E393" s="67">
        <v>1.12984696800916E-2</v>
      </c>
      <c r="F393" s="67">
        <v>3.53082411766427E-4</v>
      </c>
      <c r="G393" s="67">
        <v>4.7994379883040303E-5</v>
      </c>
      <c r="H393" s="67">
        <v>0.204572660350235</v>
      </c>
      <c r="I393" s="67">
        <v>1.9302467912645201E-6</v>
      </c>
      <c r="J393" s="67">
        <v>0.147744674626201</v>
      </c>
      <c r="K393" s="67">
        <v>1.77594111581943</v>
      </c>
      <c r="L393" s="67"/>
      <c r="M393" s="67"/>
      <c r="O393" s="11">
        <f t="shared" ca="1" si="215"/>
        <v>-5.8394621893759028E-5</v>
      </c>
      <c r="P393" s="11">
        <f t="shared" ca="1" si="216"/>
        <v>1.1651465609597798E-6</v>
      </c>
      <c r="Q393" s="11">
        <f t="shared" ca="1" si="217"/>
        <v>1.0461978067823315E-2</v>
      </c>
      <c r="R393" s="11">
        <f t="shared" ca="1" si="218"/>
        <v>3.414359241200799E-4</v>
      </c>
      <c r="S393" s="11">
        <f t="shared" ca="1" si="219"/>
        <v>3.7066727836070182E-5</v>
      </c>
      <c r="T393" s="11">
        <f t="shared" ca="1" si="220"/>
        <v>0.20343410531165271</v>
      </c>
      <c r="U393" s="11">
        <f t="shared" ca="1" si="221"/>
        <v>1.1651465609597798E-6</v>
      </c>
      <c r="V393" s="11">
        <f t="shared" ca="1" si="222"/>
        <v>0.14709447862050723</v>
      </c>
      <c r="W393" s="11">
        <f t="shared" ca="1" si="223"/>
        <v>1.768818267555925</v>
      </c>
      <c r="X393" s="11"/>
      <c r="Y393" s="2">
        <f t="shared" ca="1" si="224"/>
        <v>-5.8394621893759028E-5</v>
      </c>
      <c r="Z393" s="11">
        <f t="shared" ca="1" si="225"/>
        <v>1.1651465609597798E-6</v>
      </c>
      <c r="AA393" s="2">
        <f t="shared" ca="1" si="226"/>
        <v>1.0461969153580235E-2</v>
      </c>
      <c r="AB393" s="2">
        <f t="shared" ca="1" si="227"/>
        <v>3.4122015891826769E-4</v>
      </c>
      <c r="AC393" s="2">
        <f t="shared" ca="1" si="228"/>
        <v>3.7066727836070182E-5</v>
      </c>
      <c r="AD393" s="2">
        <f t="shared" ca="1" si="229"/>
        <v>0.20343253620227428</v>
      </c>
      <c r="AE393" s="2">
        <f t="shared" ca="1" si="230"/>
        <v>1.1651465609597798E-6</v>
      </c>
      <c r="AF393" s="2">
        <f t="shared" ca="1" si="231"/>
        <v>0.14709216142379763</v>
      </c>
      <c r="AG393" s="2">
        <f t="shared" ca="1" si="232"/>
        <v>1.7688173272914054</v>
      </c>
      <c r="AI393" s="2">
        <f t="shared" ca="1" si="233"/>
        <v>-5.8394621893759028E-5</v>
      </c>
      <c r="AJ393" s="11">
        <f t="shared" ca="1" si="234"/>
        <v>1.1651465609597798E-6</v>
      </c>
      <c r="AK393" s="2">
        <f t="shared" ca="1" si="235"/>
        <v>1.0460594496221286E-2</v>
      </c>
      <c r="AL393" s="2">
        <f t="shared" ca="1" si="236"/>
        <v>3.405767618543649E-4</v>
      </c>
      <c r="AM393" s="2">
        <f t="shared" ca="1" si="237"/>
        <v>3.7066727836070182E-5</v>
      </c>
      <c r="AN393" s="2">
        <f t="shared" ca="1" si="238"/>
        <v>0.20343253620227428</v>
      </c>
      <c r="AO393" s="2">
        <f t="shared" ca="1" si="239"/>
        <v>1.1651465609597798E-6</v>
      </c>
      <c r="AP393" s="2">
        <f t="shared" ca="1" si="240"/>
        <v>0.14709216142379763</v>
      </c>
      <c r="AQ393" s="2">
        <f t="shared" ca="1" si="241"/>
        <v>1.7688173272914054</v>
      </c>
      <c r="AS393" s="2">
        <f t="shared" ca="1" si="242"/>
        <v>8.6947970933692158</v>
      </c>
      <c r="AT393" s="2">
        <f t="shared" ca="1" si="243"/>
        <v>0.40056402337293628</v>
      </c>
      <c r="AU393" s="2">
        <f t="shared" ca="1" si="244"/>
        <v>1.3676694748959579E-4</v>
      </c>
      <c r="AV393" s="2">
        <f t="shared" ca="1" si="245"/>
        <v>0.14695771167301763</v>
      </c>
      <c r="AW393" s="2">
        <f t="shared" ca="1" si="246"/>
        <v>0.70888906622580017</v>
      </c>
      <c r="AX393" s="2">
        <f t="shared" ca="1" si="247"/>
        <v>5.3435758808996987E-2</v>
      </c>
      <c r="AY393" s="9">
        <f t="shared" ca="1" si="248"/>
        <v>0.70888906622580017</v>
      </c>
      <c r="AZ393" s="9">
        <f t="shared" ca="1" si="249"/>
        <v>0.70888906622580017</v>
      </c>
      <c r="BB393" s="2">
        <f t="shared" ca="1" si="250"/>
        <v>8.6948595358053193</v>
      </c>
      <c r="BC393" s="2">
        <f t="shared" ca="1" si="251"/>
        <v>0.40056693494888473</v>
      </c>
      <c r="BD393" s="2">
        <f t="shared" ca="1" si="252"/>
        <v>1.3642378961081919E-4</v>
      </c>
      <c r="BE393" s="2">
        <f t="shared" ca="1" si="253"/>
        <v>0.14695573763418682</v>
      </c>
      <c r="BF393" s="2">
        <f t="shared" ca="1" si="254"/>
        <v>0.70888244790015509</v>
      </c>
      <c r="BG393" s="2">
        <f t="shared" ca="1" si="255"/>
        <v>5.3429496789158322E-2</v>
      </c>
      <c r="BH393" s="2">
        <f t="shared" ca="1" si="256"/>
        <v>0.70888244790015509</v>
      </c>
      <c r="BI393" s="2">
        <f t="shared" ca="1" si="257"/>
        <v>0.70888244790015509</v>
      </c>
    </row>
    <row r="394" spans="1:61" ht="15" x14ac:dyDescent="0.25">
      <c r="A394" s="66">
        <v>328</v>
      </c>
      <c r="B394" s="66">
        <v>1498730292.289</v>
      </c>
      <c r="C394" s="67">
        <v>2.1259003513172599E-5</v>
      </c>
      <c r="D394" s="67">
        <v>-6.4873622775817204E-5</v>
      </c>
      <c r="E394" s="67">
        <v>1.1753503582245899E-2</v>
      </c>
      <c r="F394" s="67">
        <v>2.8524920039840198E-4</v>
      </c>
      <c r="G394" s="67">
        <v>-4.1390348013054499E-5</v>
      </c>
      <c r="H394" s="67">
        <v>0.21527283805703201</v>
      </c>
      <c r="I394" s="67">
        <v>-6.4873622775817204E-5</v>
      </c>
      <c r="J394" s="67">
        <v>0.155285369159159</v>
      </c>
      <c r="K394" s="67">
        <v>1.8673873768976701</v>
      </c>
      <c r="L394" s="67"/>
      <c r="M394" s="67"/>
      <c r="O394" s="11">
        <f t="shared" ca="1" si="215"/>
        <v>8.4550728032125717E-6</v>
      </c>
      <c r="P394" s="11">
        <f t="shared" ca="1" si="216"/>
        <v>-6.5638723006121943E-5</v>
      </c>
      <c r="Q394" s="11">
        <f t="shared" ca="1" si="217"/>
        <v>1.0917011969977615E-2</v>
      </c>
      <c r="R394" s="11">
        <f t="shared" ca="1" si="218"/>
        <v>2.7360271275205487E-4</v>
      </c>
      <c r="S394" s="11">
        <f t="shared" ca="1" si="219"/>
        <v>-5.231800006002462E-5</v>
      </c>
      <c r="T394" s="11">
        <f t="shared" ca="1" si="220"/>
        <v>0.21413428301844972</v>
      </c>
      <c r="U394" s="11">
        <f t="shared" ca="1" si="221"/>
        <v>-6.5638723006121943E-5</v>
      </c>
      <c r="V394" s="11">
        <f t="shared" ca="1" si="222"/>
        <v>0.15463517315346523</v>
      </c>
      <c r="W394" s="11">
        <f t="shared" ca="1" si="223"/>
        <v>1.860264528634165</v>
      </c>
      <c r="X394" s="11"/>
      <c r="Y394" s="2">
        <f t="shared" ca="1" si="224"/>
        <v>8.4550728032125717E-6</v>
      </c>
      <c r="Z394" s="11">
        <f t="shared" ca="1" si="225"/>
        <v>-6.5638723006121943E-5</v>
      </c>
      <c r="AA394" s="2">
        <f t="shared" ca="1" si="226"/>
        <v>1.0917011969977615E-2</v>
      </c>
      <c r="AB394" s="2">
        <f t="shared" ca="1" si="227"/>
        <v>2.7360271275205487E-4</v>
      </c>
      <c r="AC394" s="2">
        <f t="shared" ca="1" si="228"/>
        <v>-5.231800006002462E-5</v>
      </c>
      <c r="AD394" s="2">
        <f t="shared" ca="1" si="229"/>
        <v>0.21413428301844972</v>
      </c>
      <c r="AE394" s="2">
        <f t="shared" ca="1" si="230"/>
        <v>-6.5638723006121943E-5</v>
      </c>
      <c r="AF394" s="2">
        <f t="shared" ca="1" si="231"/>
        <v>0.15463517315346523</v>
      </c>
      <c r="AG394" s="2">
        <f t="shared" ca="1" si="232"/>
        <v>1.860264528634165</v>
      </c>
      <c r="AI394" s="2">
        <f t="shared" ca="1" si="233"/>
        <v>8.4550728032125717E-6</v>
      </c>
      <c r="AJ394" s="11">
        <f t="shared" ca="1" si="234"/>
        <v>-6.5638723006121943E-5</v>
      </c>
      <c r="AK394" s="2">
        <f t="shared" ca="1" si="235"/>
        <v>1.0917011969977615E-2</v>
      </c>
      <c r="AL394" s="2">
        <f t="shared" ca="1" si="236"/>
        <v>2.7360271275205487E-4</v>
      </c>
      <c r="AM394" s="2">
        <f t="shared" ca="1" si="237"/>
        <v>-5.231800006002462E-5</v>
      </c>
      <c r="AN394" s="2">
        <f t="shared" ca="1" si="238"/>
        <v>0.21413428301844972</v>
      </c>
      <c r="AO394" s="2">
        <f t="shared" ca="1" si="239"/>
        <v>-6.5638723006121943E-5</v>
      </c>
      <c r="AP394" s="2">
        <f t="shared" ca="1" si="240"/>
        <v>0.15463517315346523</v>
      </c>
      <c r="AQ394" s="2">
        <f t="shared" ca="1" si="241"/>
        <v>1.860264528634165</v>
      </c>
      <c r="AS394" s="2">
        <f t="shared" ca="1" si="242"/>
        <v>8.6873736536334327</v>
      </c>
      <c r="AT394" s="2">
        <f t="shared" ca="1" si="243"/>
        <v>0.4002178838393714</v>
      </c>
      <c r="AU394" s="2">
        <f t="shared" ca="1" si="244"/>
        <v>1.0950069871033879E-4</v>
      </c>
      <c r="AV394" s="2">
        <f t="shared" ca="1" si="245"/>
        <v>0.15452567245475488</v>
      </c>
      <c r="AW394" s="2">
        <f t="shared" ca="1" si="246"/>
        <v>0.70845277690885389</v>
      </c>
      <c r="AX394" s="2">
        <f t="shared" ca="1" si="247"/>
        <v>5.2927325248494417E-2</v>
      </c>
      <c r="AY394" s="9">
        <f t="shared" ca="1" si="248"/>
        <v>0.70845277690885389</v>
      </c>
      <c r="AZ394" s="9">
        <f t="shared" ca="1" si="249"/>
        <v>0.70845277690885389</v>
      </c>
      <c r="BB394" s="2">
        <f t="shared" ca="1" si="250"/>
        <v>8.6873736536334327</v>
      </c>
      <c r="BC394" s="2">
        <f t="shared" ca="1" si="251"/>
        <v>0.4002178838393714</v>
      </c>
      <c r="BD394" s="2">
        <f t="shared" ca="1" si="252"/>
        <v>1.0950069871033879E-4</v>
      </c>
      <c r="BE394" s="2">
        <f t="shared" ca="1" si="253"/>
        <v>0.15452567245475488</v>
      </c>
      <c r="BF394" s="2">
        <f t="shared" ca="1" si="254"/>
        <v>0.70845277690885389</v>
      </c>
      <c r="BG394" s="2">
        <f t="shared" ca="1" si="255"/>
        <v>5.2927325248494417E-2</v>
      </c>
      <c r="BH394" s="2">
        <f t="shared" ca="1" si="256"/>
        <v>0.70845277690885389</v>
      </c>
      <c r="BI394" s="2">
        <f t="shared" ca="1" si="257"/>
        <v>0.70845277690885389</v>
      </c>
    </row>
    <row r="395" spans="1:61" ht="15" x14ac:dyDescent="0.25">
      <c r="A395" s="66">
        <v>329</v>
      </c>
      <c r="B395" s="66">
        <v>1498730292.816</v>
      </c>
      <c r="C395" s="67">
        <v>-3.0945560325549701E-5</v>
      </c>
      <c r="D395" s="67">
        <v>3.1958235940558697E-5</v>
      </c>
      <c r="E395" s="67">
        <v>1.2127838876006001E-2</v>
      </c>
      <c r="F395" s="67">
        <v>3.89023980329121E-4</v>
      </c>
      <c r="G395" s="67">
        <v>3.38173785098413E-5</v>
      </c>
      <c r="H395" s="67">
        <v>0.22263328210539199</v>
      </c>
      <c r="I395" s="67">
        <v>3.1958235940558697E-5</v>
      </c>
      <c r="J395" s="67">
        <v>0.16074995164105399</v>
      </c>
      <c r="K395" s="67">
        <v>1.93309974243592</v>
      </c>
      <c r="L395" s="67"/>
      <c r="M395" s="67"/>
      <c r="O395" s="11">
        <f t="shared" ca="1" si="215"/>
        <v>-4.3749491035509729E-5</v>
      </c>
      <c r="P395" s="11">
        <f t="shared" ca="1" si="216"/>
        <v>3.1193135710253959E-5</v>
      </c>
      <c r="Q395" s="11">
        <f t="shared" ca="1" si="217"/>
        <v>1.1291347263737716E-2</v>
      </c>
      <c r="R395" s="11">
        <f t="shared" ca="1" si="218"/>
        <v>3.7737749268277389E-4</v>
      </c>
      <c r="S395" s="11">
        <f t="shared" ca="1" si="219"/>
        <v>2.2889726462871179E-5</v>
      </c>
      <c r="T395" s="11">
        <f t="shared" ca="1" si="220"/>
        <v>0.2214947270668097</v>
      </c>
      <c r="U395" s="11">
        <f t="shared" ca="1" si="221"/>
        <v>3.1193135710253959E-5</v>
      </c>
      <c r="V395" s="11">
        <f t="shared" ca="1" si="222"/>
        <v>0.16009975563536022</v>
      </c>
      <c r="W395" s="11">
        <f t="shared" ca="1" si="223"/>
        <v>1.9259768941724149</v>
      </c>
      <c r="X395" s="11"/>
      <c r="Y395" s="2">
        <f t="shared" ca="1" si="224"/>
        <v>-4.3749491035509729E-5</v>
      </c>
      <c r="Z395" s="11">
        <f t="shared" ca="1" si="225"/>
        <v>3.1193135710253959E-5</v>
      </c>
      <c r="AA395" s="2">
        <f t="shared" ca="1" si="226"/>
        <v>1.1291108612907467E-2</v>
      </c>
      <c r="AB395" s="2">
        <f t="shared" ca="1" si="227"/>
        <v>3.7160105781424151E-4</v>
      </c>
      <c r="AC395" s="2">
        <f t="shared" ca="1" si="228"/>
        <v>2.2889726462871179E-5</v>
      </c>
      <c r="AD395" s="2">
        <f t="shared" ca="1" si="229"/>
        <v>0.22145271909680334</v>
      </c>
      <c r="AE395" s="2">
        <f t="shared" ca="1" si="230"/>
        <v>3.1193135710253959E-5</v>
      </c>
      <c r="AF395" s="2">
        <f t="shared" ca="1" si="231"/>
        <v>0.16003771997920169</v>
      </c>
      <c r="AG395" s="2">
        <f t="shared" ca="1" si="232"/>
        <v>1.925951721546286</v>
      </c>
      <c r="AI395" s="2">
        <f t="shared" ca="1" si="233"/>
        <v>-4.3749491035509729E-5</v>
      </c>
      <c r="AJ395" s="11">
        <f t="shared" ca="1" si="234"/>
        <v>3.1193135710253959E-5</v>
      </c>
      <c r="AK395" s="2">
        <f t="shared" ca="1" si="235"/>
        <v>1.125430648432593E-2</v>
      </c>
      <c r="AL395" s="2">
        <f t="shared" ca="1" si="236"/>
        <v>3.5437612440039959E-4</v>
      </c>
      <c r="AM395" s="2">
        <f t="shared" ca="1" si="237"/>
        <v>2.2889726462871179E-5</v>
      </c>
      <c r="AN395" s="2">
        <f t="shared" ca="1" si="238"/>
        <v>0.22145271909680334</v>
      </c>
      <c r="AO395" s="2">
        <f t="shared" ca="1" si="239"/>
        <v>3.1193135710253959E-5</v>
      </c>
      <c r="AP395" s="2">
        <f t="shared" ca="1" si="240"/>
        <v>0.16003771997920169</v>
      </c>
      <c r="AQ395" s="2">
        <f t="shared" ca="1" si="241"/>
        <v>1.925951721546286</v>
      </c>
      <c r="AS395" s="2">
        <f t="shared" ca="1" si="242"/>
        <v>8.6953622764639462</v>
      </c>
      <c r="AT395" s="2">
        <f t="shared" ca="1" si="243"/>
        <v>0.40059037683037318</v>
      </c>
      <c r="AU395" s="2">
        <f t="shared" ca="1" si="244"/>
        <v>1.511737920010938E-4</v>
      </c>
      <c r="AV395" s="2">
        <f t="shared" ca="1" si="245"/>
        <v>0.15994858184335914</v>
      </c>
      <c r="AW395" s="2">
        <f t="shared" ca="1" si="246"/>
        <v>0.70861843475037967</v>
      </c>
      <c r="AX395" s="2">
        <f t="shared" ca="1" si="247"/>
        <v>5.297283267169544E-2</v>
      </c>
      <c r="AY395" s="9">
        <f t="shared" ca="1" si="248"/>
        <v>0.70861843475037967</v>
      </c>
      <c r="AZ395" s="9">
        <f t="shared" ca="1" si="249"/>
        <v>0.70861843475037967</v>
      </c>
      <c r="BB395" s="2">
        <f t="shared" ca="1" si="250"/>
        <v>8.6968980530078621</v>
      </c>
      <c r="BC395" s="2">
        <f t="shared" ca="1" si="251"/>
        <v>0.40066198739597858</v>
      </c>
      <c r="BD395" s="2">
        <f t="shared" ca="1" si="252"/>
        <v>1.4198504228794863E-4</v>
      </c>
      <c r="BE395" s="2">
        <f t="shared" ca="1" si="253"/>
        <v>0.15989573493691372</v>
      </c>
      <c r="BF395" s="2">
        <f t="shared" ca="1" si="254"/>
        <v>0.70845567238926099</v>
      </c>
      <c r="BG395" s="2">
        <f t="shared" ca="1" si="255"/>
        <v>5.2818617196729124E-2</v>
      </c>
      <c r="BH395" s="2">
        <f t="shared" ca="1" si="256"/>
        <v>0.70845567238926099</v>
      </c>
      <c r="BI395" s="2">
        <f t="shared" ca="1" si="257"/>
        <v>0.70845567238926099</v>
      </c>
    </row>
    <row r="396" spans="1:61" ht="15" x14ac:dyDescent="0.25">
      <c r="A396" s="66">
        <v>330</v>
      </c>
      <c r="B396" s="66">
        <v>1498730293.3429999</v>
      </c>
      <c r="C396" s="67">
        <v>6.7560372106029702E-5</v>
      </c>
      <c r="D396" s="67">
        <v>4.3869555722361603E-6</v>
      </c>
      <c r="E396" s="67">
        <v>1.1692852648246099E-2</v>
      </c>
      <c r="F396" s="67">
        <v>4.2925150809640199E-4</v>
      </c>
      <c r="G396" s="67">
        <v>3.3652541608852401E-5</v>
      </c>
      <c r="H396" s="67">
        <v>0.21591345311430801</v>
      </c>
      <c r="I396" s="67">
        <v>4.3869555722361603E-6</v>
      </c>
      <c r="J396" s="67">
        <v>0.156010171565857</v>
      </c>
      <c r="K396" s="67">
        <v>1.87526988245474</v>
      </c>
      <c r="L396" s="67"/>
      <c r="M396" s="67"/>
      <c r="O396" s="11">
        <f t="shared" ca="1" si="215"/>
        <v>5.4756441396069674E-5</v>
      </c>
      <c r="P396" s="11">
        <f t="shared" ca="1" si="216"/>
        <v>3.62185534193142E-6</v>
      </c>
      <c r="Q396" s="11">
        <f t="shared" ca="1" si="217"/>
        <v>1.0856361035977815E-2</v>
      </c>
      <c r="R396" s="11">
        <f t="shared" ca="1" si="218"/>
        <v>4.1760502045005488E-4</v>
      </c>
      <c r="S396" s="11">
        <f t="shared" ca="1" si="219"/>
        <v>2.272488956188228E-5</v>
      </c>
      <c r="T396" s="11">
        <f t="shared" ca="1" si="220"/>
        <v>0.21477489807572572</v>
      </c>
      <c r="U396" s="11">
        <f t="shared" ca="1" si="221"/>
        <v>3.62185534193142E-6</v>
      </c>
      <c r="V396" s="11">
        <f t="shared" ca="1" si="222"/>
        <v>0.15535997556016323</v>
      </c>
      <c r="W396" s="11">
        <f t="shared" ca="1" si="223"/>
        <v>1.868147034191235</v>
      </c>
      <c r="X396" s="11"/>
      <c r="Y396" s="2">
        <f t="shared" ca="1" si="224"/>
        <v>5.4756441396069674E-5</v>
      </c>
      <c r="Z396" s="11">
        <f t="shared" ca="1" si="225"/>
        <v>3.62185534193142E-6</v>
      </c>
      <c r="AA396" s="2">
        <f t="shared" ca="1" si="226"/>
        <v>1.0856333326074186E-2</v>
      </c>
      <c r="AB396" s="2">
        <f t="shared" ca="1" si="227"/>
        <v>4.1693431482814347E-4</v>
      </c>
      <c r="AC396" s="2">
        <f t="shared" ca="1" si="228"/>
        <v>2.272488956188228E-5</v>
      </c>
      <c r="AD396" s="2">
        <f t="shared" ca="1" si="229"/>
        <v>0.2147700205029166</v>
      </c>
      <c r="AE396" s="2">
        <f t="shared" ca="1" si="230"/>
        <v>3.62185534193142E-6</v>
      </c>
      <c r="AF396" s="2">
        <f t="shared" ca="1" si="231"/>
        <v>0.15535277255964622</v>
      </c>
      <c r="AG396" s="2">
        <f t="shared" ca="1" si="232"/>
        <v>1.8681441113811892</v>
      </c>
      <c r="AI396" s="2">
        <f t="shared" ca="1" si="233"/>
        <v>5.4756441396069674E-5</v>
      </c>
      <c r="AJ396" s="11">
        <f t="shared" ca="1" si="234"/>
        <v>3.62185534193142E-6</v>
      </c>
      <c r="AK396" s="2">
        <f t="shared" ca="1" si="235"/>
        <v>1.0852060206909906E-2</v>
      </c>
      <c r="AL396" s="2">
        <f t="shared" ca="1" si="236"/>
        <v>4.1493431656958982E-4</v>
      </c>
      <c r="AM396" s="2">
        <f t="shared" ca="1" si="237"/>
        <v>2.272488956188228E-5</v>
      </c>
      <c r="AN396" s="2">
        <f t="shared" ca="1" si="238"/>
        <v>0.2147700205029166</v>
      </c>
      <c r="AO396" s="2">
        <f t="shared" ca="1" si="239"/>
        <v>3.62185534193142E-6</v>
      </c>
      <c r="AP396" s="2">
        <f t="shared" ca="1" si="240"/>
        <v>0.15535277255964622</v>
      </c>
      <c r="AQ396" s="2">
        <f t="shared" ca="1" si="241"/>
        <v>1.8681441113811892</v>
      </c>
      <c r="AS396" s="2">
        <f t="shared" ca="1" si="242"/>
        <v>8.6981628250269747</v>
      </c>
      <c r="AT396" s="2">
        <f t="shared" ca="1" si="243"/>
        <v>0.40072096161125886</v>
      </c>
      <c r="AU396" s="2">
        <f t="shared" ca="1" si="244"/>
        <v>1.6734308536843541E-4</v>
      </c>
      <c r="AV396" s="2">
        <f t="shared" ca="1" si="245"/>
        <v>0.15519263247479478</v>
      </c>
      <c r="AW396" s="2">
        <f t="shared" ca="1" si="246"/>
        <v>0.70894508172163351</v>
      </c>
      <c r="AX396" s="2">
        <f t="shared" ca="1" si="247"/>
        <v>5.2542978096041609E-2</v>
      </c>
      <c r="AY396" s="9">
        <f t="shared" ca="1" si="248"/>
        <v>0.70894508172163351</v>
      </c>
      <c r="AZ396" s="9">
        <f t="shared" ca="1" si="249"/>
        <v>0.70894508172163351</v>
      </c>
      <c r="BB396" s="2">
        <f t="shared" ca="1" si="250"/>
        <v>8.6983467571807562</v>
      </c>
      <c r="BC396" s="2">
        <f t="shared" ca="1" si="251"/>
        <v>0.40072953807027822</v>
      </c>
      <c r="BD396" s="2">
        <f t="shared" ca="1" si="252"/>
        <v>1.6627643700843831E-4</v>
      </c>
      <c r="BE396" s="2">
        <f t="shared" ca="1" si="253"/>
        <v>0.15518649612263777</v>
      </c>
      <c r="BF396" s="2">
        <f t="shared" ca="1" si="254"/>
        <v>0.70892560052747644</v>
      </c>
      <c r="BG396" s="2">
        <f t="shared" ca="1" si="255"/>
        <v>5.2524492101517946E-2</v>
      </c>
      <c r="BH396" s="2">
        <f t="shared" ca="1" si="256"/>
        <v>0.70892560052747644</v>
      </c>
      <c r="BI396" s="2">
        <f t="shared" ca="1" si="257"/>
        <v>0.70892560052747644</v>
      </c>
    </row>
    <row r="397" spans="1:61" ht="15" x14ac:dyDescent="0.25">
      <c r="A397" s="66">
        <v>331</v>
      </c>
      <c r="B397" s="66">
        <v>1498730293.8699999</v>
      </c>
      <c r="C397" s="67">
        <v>4.9370291045424099E-5</v>
      </c>
      <c r="D397" s="67">
        <v>2.7894120931678999E-5</v>
      </c>
      <c r="E397" s="67">
        <v>1.2009625427241001E-2</v>
      </c>
      <c r="F397" s="67">
        <v>3.8235922093275303E-4</v>
      </c>
      <c r="G397" s="67">
        <v>-4.0072645559971899E-5</v>
      </c>
      <c r="H397" s="67">
        <v>0.21989645081088999</v>
      </c>
      <c r="I397" s="67">
        <v>2.7894120931678999E-5</v>
      </c>
      <c r="J397" s="67">
        <v>0.15867395397244299</v>
      </c>
      <c r="K397" s="67">
        <v>1.9066736735947301</v>
      </c>
      <c r="L397" s="67"/>
      <c r="M397" s="67"/>
      <c r="O397" s="11">
        <f t="shared" ca="1" si="215"/>
        <v>3.6566360335464072E-5</v>
      </c>
      <c r="P397" s="11">
        <f t="shared" ca="1" si="216"/>
        <v>2.7129020701374257E-5</v>
      </c>
      <c r="Q397" s="11">
        <f t="shared" ca="1" si="217"/>
        <v>1.1173133814972716E-2</v>
      </c>
      <c r="R397" s="11">
        <f t="shared" ca="1" si="218"/>
        <v>3.7071273328640592E-4</v>
      </c>
      <c r="S397" s="11">
        <f t="shared" ca="1" si="219"/>
        <v>-5.1000297606942019E-5</v>
      </c>
      <c r="T397" s="11">
        <f t="shared" ca="1" si="220"/>
        <v>0.2187578957723077</v>
      </c>
      <c r="U397" s="11">
        <f t="shared" ca="1" si="221"/>
        <v>2.7129020701374257E-5</v>
      </c>
      <c r="V397" s="11">
        <f t="shared" ca="1" si="222"/>
        <v>0.15802375796674922</v>
      </c>
      <c r="W397" s="11">
        <f t="shared" ca="1" si="223"/>
        <v>1.899550825331225</v>
      </c>
      <c r="X397" s="11"/>
      <c r="Y397" s="2">
        <f t="shared" ca="1" si="224"/>
        <v>3.6566360335464072E-5</v>
      </c>
      <c r="Z397" s="11">
        <f t="shared" ca="1" si="225"/>
        <v>2.7129020701374257E-5</v>
      </c>
      <c r="AA397" s="2">
        <f t="shared" ca="1" si="226"/>
        <v>1.1172926257663494E-2</v>
      </c>
      <c r="AB397" s="2">
        <f t="shared" ca="1" si="227"/>
        <v>3.6568890296090768E-4</v>
      </c>
      <c r="AC397" s="2">
        <f t="shared" ca="1" si="228"/>
        <v>-5.1000297606942019E-5</v>
      </c>
      <c r="AD397" s="2">
        <f t="shared" ca="1" si="229"/>
        <v>0.21872136096867298</v>
      </c>
      <c r="AE397" s="2">
        <f t="shared" ca="1" si="230"/>
        <v>2.7129020701374257E-5</v>
      </c>
      <c r="AF397" s="2">
        <f t="shared" ca="1" si="231"/>
        <v>0.15796980485938031</v>
      </c>
      <c r="AG397" s="2">
        <f t="shared" ca="1" si="232"/>
        <v>1.8995289324153699</v>
      </c>
      <c r="AI397" s="2">
        <f t="shared" ca="1" si="233"/>
        <v>3.6566360335464072E-5</v>
      </c>
      <c r="AJ397" s="11">
        <f t="shared" ca="1" si="234"/>
        <v>2.7129020701374257E-5</v>
      </c>
      <c r="AK397" s="2">
        <f t="shared" ca="1" si="235"/>
        <v>1.1140919032823481E-2</v>
      </c>
      <c r="AL397" s="2">
        <f t="shared" ca="1" si="236"/>
        <v>3.5070818478289204E-4</v>
      </c>
      <c r="AM397" s="2">
        <f t="shared" ca="1" si="237"/>
        <v>-5.1000297606942019E-5</v>
      </c>
      <c r="AN397" s="2">
        <f t="shared" ca="1" si="238"/>
        <v>0.21872136096867298</v>
      </c>
      <c r="AO397" s="2">
        <f t="shared" ca="1" si="239"/>
        <v>2.7129020701374257E-5</v>
      </c>
      <c r="AP397" s="2">
        <f t="shared" ca="1" si="240"/>
        <v>0.15796980485938031</v>
      </c>
      <c r="AQ397" s="2">
        <f t="shared" ca="1" si="241"/>
        <v>1.8995289324153699</v>
      </c>
      <c r="AS397" s="2">
        <f t="shared" ca="1" si="242"/>
        <v>8.6833474907271757</v>
      </c>
      <c r="AT397" s="2">
        <f t="shared" ca="1" si="243"/>
        <v>0.40003015374888906</v>
      </c>
      <c r="AU397" s="2">
        <f t="shared" ca="1" si="244"/>
        <v>1.4829627169323187E-4</v>
      </c>
      <c r="AV397" s="2">
        <f t="shared" ca="1" si="245"/>
        <v>0.15787546169505598</v>
      </c>
      <c r="AW397" s="2">
        <f t="shared" ca="1" si="246"/>
        <v>0.70867766957434064</v>
      </c>
      <c r="AX397" s="2">
        <f t="shared" ca="1" si="247"/>
        <v>5.2998993952501273E-2</v>
      </c>
      <c r="AY397" s="9">
        <f t="shared" ca="1" si="248"/>
        <v>0.70867766957434064</v>
      </c>
      <c r="AZ397" s="9">
        <f t="shared" ca="1" si="249"/>
        <v>0.70867766957434064</v>
      </c>
      <c r="BB397" s="2">
        <f t="shared" ca="1" si="250"/>
        <v>8.6846978457098913</v>
      </c>
      <c r="BC397" s="2">
        <f t="shared" ca="1" si="251"/>
        <v>0.40009311736843256</v>
      </c>
      <c r="BD397" s="2">
        <f t="shared" ca="1" si="252"/>
        <v>1.4031593093641155E-4</v>
      </c>
      <c r="BE397" s="2">
        <f t="shared" ca="1" si="253"/>
        <v>0.1578294889284439</v>
      </c>
      <c r="BF397" s="2">
        <f t="shared" ca="1" si="254"/>
        <v>0.70853416072761988</v>
      </c>
      <c r="BG397" s="2">
        <f t="shared" ca="1" si="255"/>
        <v>5.2863423322408648E-2</v>
      </c>
      <c r="BH397" s="2">
        <f t="shared" ca="1" si="256"/>
        <v>0.70853416072761988</v>
      </c>
      <c r="BI397" s="2">
        <f t="shared" ca="1" si="257"/>
        <v>0.70853416072761988</v>
      </c>
    </row>
    <row r="398" spans="1:61" ht="15" x14ac:dyDescent="0.25">
      <c r="A398" s="66">
        <v>332</v>
      </c>
      <c r="B398" s="66">
        <v>1498730294.3970001</v>
      </c>
      <c r="C398" s="67">
        <v>-4.4892920784146004E-6</v>
      </c>
      <c r="D398" s="67">
        <v>-7.9432189556162993E-6</v>
      </c>
      <c r="E398" s="67">
        <v>1.2046941825499599E-2</v>
      </c>
      <c r="F398" s="67">
        <v>3.8688173138760201E-4</v>
      </c>
      <c r="G398" s="67">
        <v>5.7368330687322499E-5</v>
      </c>
      <c r="H398" s="67">
        <v>0.220343267512529</v>
      </c>
      <c r="I398" s="67">
        <v>-7.9432189556162993E-6</v>
      </c>
      <c r="J398" s="67">
        <v>0.15910994239291501</v>
      </c>
      <c r="K398" s="67">
        <v>1.9137435344357201</v>
      </c>
      <c r="L398" s="67"/>
      <c r="M398" s="67"/>
      <c r="O398" s="11">
        <f t="shared" ca="1" si="215"/>
        <v>-1.7293222788374627E-5</v>
      </c>
      <c r="P398" s="11">
        <f t="shared" ca="1" si="216"/>
        <v>-8.7083191859210396E-6</v>
      </c>
      <c r="Q398" s="11">
        <f t="shared" ca="1" si="217"/>
        <v>1.1210450213231315E-2</v>
      </c>
      <c r="R398" s="11">
        <f t="shared" ca="1" si="218"/>
        <v>3.752352437412549E-4</v>
      </c>
      <c r="S398" s="11">
        <f t="shared" ca="1" si="219"/>
        <v>4.6440678640352379E-5</v>
      </c>
      <c r="T398" s="11">
        <f t="shared" ca="1" si="220"/>
        <v>0.21920471247394671</v>
      </c>
      <c r="U398" s="11">
        <f t="shared" ca="1" si="221"/>
        <v>-8.7083191859210396E-6</v>
      </c>
      <c r="V398" s="11">
        <f t="shared" ca="1" si="222"/>
        <v>0.15845974638722124</v>
      </c>
      <c r="W398" s="11">
        <f t="shared" ca="1" si="223"/>
        <v>1.906620686172215</v>
      </c>
      <c r="X398" s="11"/>
      <c r="Y398" s="2">
        <f t="shared" ca="1" si="224"/>
        <v>-1.7293222788374627E-5</v>
      </c>
      <c r="Z398" s="11">
        <f t="shared" ca="1" si="225"/>
        <v>-8.7083191859210396E-6</v>
      </c>
      <c r="AA398" s="2">
        <f t="shared" ca="1" si="226"/>
        <v>1.1210450213231315E-2</v>
      </c>
      <c r="AB398" s="2">
        <f t="shared" ca="1" si="227"/>
        <v>3.752352437412549E-4</v>
      </c>
      <c r="AC398" s="2">
        <f t="shared" ca="1" si="228"/>
        <v>4.6440678640352379E-5</v>
      </c>
      <c r="AD398" s="2">
        <f t="shared" ca="1" si="229"/>
        <v>0.21920471247394671</v>
      </c>
      <c r="AE398" s="2">
        <f t="shared" ca="1" si="230"/>
        <v>-8.7083191859210396E-6</v>
      </c>
      <c r="AF398" s="2">
        <f t="shared" ca="1" si="231"/>
        <v>0.15845974638722124</v>
      </c>
      <c r="AG398" s="2">
        <f t="shared" ca="1" si="232"/>
        <v>1.906620686172215</v>
      </c>
      <c r="AI398" s="2">
        <f t="shared" ca="1" si="233"/>
        <v>-1.7293222788374627E-5</v>
      </c>
      <c r="AJ398" s="11">
        <f t="shared" ca="1" si="234"/>
        <v>-8.7083191859210396E-6</v>
      </c>
      <c r="AK398" s="2">
        <f t="shared" ca="1" si="235"/>
        <v>1.1210450213231315E-2</v>
      </c>
      <c r="AL398" s="2">
        <f t="shared" ca="1" si="236"/>
        <v>3.752352437412549E-4</v>
      </c>
      <c r="AM398" s="2">
        <f t="shared" ca="1" si="237"/>
        <v>4.6440678640352379E-5</v>
      </c>
      <c r="AN398" s="2">
        <f t="shared" ca="1" si="238"/>
        <v>0.21920471247394671</v>
      </c>
      <c r="AO398" s="2">
        <f t="shared" ca="1" si="239"/>
        <v>-8.7083191859210396E-6</v>
      </c>
      <c r="AP398" s="2">
        <f t="shared" ca="1" si="240"/>
        <v>0.15845974638722124</v>
      </c>
      <c r="AQ398" s="2">
        <f t="shared" ca="1" si="241"/>
        <v>1.906620686172215</v>
      </c>
      <c r="AS398" s="2">
        <f t="shared" ca="1" si="242"/>
        <v>8.6979000800396751</v>
      </c>
      <c r="AT398" s="2">
        <f t="shared" ca="1" si="243"/>
        <v>0.4007087102410225</v>
      </c>
      <c r="AU398" s="2">
        <f t="shared" ca="1" si="244"/>
        <v>1.5036003055653396E-4</v>
      </c>
      <c r="AV398" s="2">
        <f t="shared" ca="1" si="245"/>
        <v>0.15830938635666469</v>
      </c>
      <c r="AW398" s="2">
        <f t="shared" ca="1" si="246"/>
        <v>0.70857920259752549</v>
      </c>
      <c r="AX398" s="2">
        <f t="shared" ca="1" si="247"/>
        <v>5.3158616866774339E-2</v>
      </c>
      <c r="AY398" s="9">
        <f t="shared" ca="1" si="248"/>
        <v>0.70857920259752549</v>
      </c>
      <c r="AZ398" s="9">
        <f t="shared" ca="1" si="249"/>
        <v>0.70857920259752549</v>
      </c>
      <c r="BB398" s="2">
        <f t="shared" ca="1" si="250"/>
        <v>8.6979000800396751</v>
      </c>
      <c r="BC398" s="2">
        <f t="shared" ca="1" si="251"/>
        <v>0.4007087102410225</v>
      </c>
      <c r="BD398" s="2">
        <f t="shared" ca="1" si="252"/>
        <v>1.5036003055653396E-4</v>
      </c>
      <c r="BE398" s="2">
        <f t="shared" ca="1" si="253"/>
        <v>0.15830938635666469</v>
      </c>
      <c r="BF398" s="2">
        <f t="shared" ca="1" si="254"/>
        <v>0.70857920259752549</v>
      </c>
      <c r="BG398" s="2">
        <f t="shared" ca="1" si="255"/>
        <v>5.3158616866774339E-2</v>
      </c>
      <c r="BH398" s="2">
        <f t="shared" ca="1" si="256"/>
        <v>0.70857920259752549</v>
      </c>
      <c r="BI398" s="2">
        <f t="shared" ca="1" si="257"/>
        <v>0.70857920259752549</v>
      </c>
    </row>
    <row r="399" spans="1:61" ht="15" x14ac:dyDescent="0.25">
      <c r="A399" s="66">
        <v>333</v>
      </c>
      <c r="B399" s="66">
        <v>1498730294.924</v>
      </c>
      <c r="C399" s="67">
        <v>4.9606523726923902E-5</v>
      </c>
      <c r="D399" s="67">
        <v>-2.2940502786949499E-5</v>
      </c>
      <c r="E399" s="67">
        <v>1.19499220547195E-2</v>
      </c>
      <c r="F399" s="67">
        <v>3.67125652161752E-4</v>
      </c>
      <c r="G399" s="67">
        <v>3.0544240056997099E-5</v>
      </c>
      <c r="H399" s="67">
        <v>0.21775523897133001</v>
      </c>
      <c r="I399" s="67">
        <v>-2.2940502786949499E-5</v>
      </c>
      <c r="J399" s="67">
        <v>0.15716232159561599</v>
      </c>
      <c r="K399" s="67">
        <v>1.8899753607854</v>
      </c>
      <c r="L399" s="67"/>
      <c r="M399" s="67"/>
      <c r="O399" s="11">
        <f t="shared" ca="1" si="215"/>
        <v>3.6802593016963874E-5</v>
      </c>
      <c r="P399" s="11">
        <f t="shared" ca="1" si="216"/>
        <v>-2.3705603017254241E-5</v>
      </c>
      <c r="Q399" s="11">
        <f t="shared" ca="1" si="217"/>
        <v>1.1113430442451215E-2</v>
      </c>
      <c r="R399" s="11">
        <f t="shared" ca="1" si="218"/>
        <v>3.554791645154049E-4</v>
      </c>
      <c r="S399" s="11">
        <f t="shared" ca="1" si="219"/>
        <v>1.9616588010026978E-5</v>
      </c>
      <c r="T399" s="11">
        <f t="shared" ca="1" si="220"/>
        <v>0.21661668393274772</v>
      </c>
      <c r="U399" s="11">
        <f t="shared" ca="1" si="221"/>
        <v>-2.3705603017254241E-5</v>
      </c>
      <c r="V399" s="11">
        <f t="shared" ca="1" si="222"/>
        <v>0.15651212558992222</v>
      </c>
      <c r="W399" s="11">
        <f t="shared" ca="1" si="223"/>
        <v>1.8828525125218949</v>
      </c>
      <c r="X399" s="11"/>
      <c r="Y399" s="2">
        <f t="shared" ca="1" si="224"/>
        <v>3.6802593016963874E-5</v>
      </c>
      <c r="Z399" s="11">
        <f t="shared" ca="1" si="225"/>
        <v>-2.3705603017254241E-5</v>
      </c>
      <c r="AA399" s="2">
        <f t="shared" ca="1" si="226"/>
        <v>1.1113430442451215E-2</v>
      </c>
      <c r="AB399" s="2">
        <f t="shared" ca="1" si="227"/>
        <v>3.554791645154049E-4</v>
      </c>
      <c r="AC399" s="2">
        <f t="shared" ca="1" si="228"/>
        <v>1.9616588010026978E-5</v>
      </c>
      <c r="AD399" s="2">
        <f t="shared" ca="1" si="229"/>
        <v>0.21661668393274772</v>
      </c>
      <c r="AE399" s="2">
        <f t="shared" ca="1" si="230"/>
        <v>-2.3705603017254241E-5</v>
      </c>
      <c r="AF399" s="2">
        <f t="shared" ca="1" si="231"/>
        <v>0.15651212558992222</v>
      </c>
      <c r="AG399" s="2">
        <f t="shared" ca="1" si="232"/>
        <v>1.8828525125218949</v>
      </c>
      <c r="AI399" s="2">
        <f t="shared" ca="1" si="233"/>
        <v>3.6802593016963874E-5</v>
      </c>
      <c r="AJ399" s="11">
        <f t="shared" ca="1" si="234"/>
        <v>-2.3705603017254241E-5</v>
      </c>
      <c r="AK399" s="2">
        <f t="shared" ca="1" si="235"/>
        <v>1.1113430442451215E-2</v>
      </c>
      <c r="AL399" s="2">
        <f t="shared" ca="1" si="236"/>
        <v>3.554791645154049E-4</v>
      </c>
      <c r="AM399" s="2">
        <f t="shared" ca="1" si="237"/>
        <v>1.9616588010026978E-5</v>
      </c>
      <c r="AN399" s="2">
        <f t="shared" ca="1" si="238"/>
        <v>0.21661668393274772</v>
      </c>
      <c r="AO399" s="2">
        <f t="shared" ca="1" si="239"/>
        <v>-2.3705603017254241E-5</v>
      </c>
      <c r="AP399" s="2">
        <f t="shared" ca="1" si="240"/>
        <v>0.15651212558992222</v>
      </c>
      <c r="AQ399" s="2">
        <f t="shared" ca="1" si="241"/>
        <v>1.8828525125218949</v>
      </c>
      <c r="AS399" s="2">
        <f t="shared" ca="1" si="242"/>
        <v>8.6920936944379505</v>
      </c>
      <c r="AT399" s="2">
        <f t="shared" ca="1" si="243"/>
        <v>0.40043796909618457</v>
      </c>
      <c r="AU399" s="2">
        <f t="shared" ca="1" si="244"/>
        <v>1.4234735469455722E-4</v>
      </c>
      <c r="AV399" s="2">
        <f t="shared" ca="1" si="245"/>
        <v>0.15636977823522766</v>
      </c>
      <c r="AW399" s="2">
        <f t="shared" ca="1" si="246"/>
        <v>0.70849793532401517</v>
      </c>
      <c r="AX399" s="2">
        <f t="shared" ca="1" si="247"/>
        <v>5.3291749637483857E-2</v>
      </c>
      <c r="AY399" s="9">
        <f t="shared" ca="1" si="248"/>
        <v>0.70849793532401517</v>
      </c>
      <c r="AZ399" s="9">
        <f t="shared" ca="1" si="249"/>
        <v>0.70849793532401517</v>
      </c>
      <c r="BB399" s="2">
        <f t="shared" ca="1" si="250"/>
        <v>8.6920936944379505</v>
      </c>
      <c r="BC399" s="2">
        <f t="shared" ca="1" si="251"/>
        <v>0.40043796909618457</v>
      </c>
      <c r="BD399" s="2">
        <f t="shared" ca="1" si="252"/>
        <v>1.4234735469455722E-4</v>
      </c>
      <c r="BE399" s="2">
        <f t="shared" ca="1" si="253"/>
        <v>0.15636977823522766</v>
      </c>
      <c r="BF399" s="2">
        <f t="shared" ca="1" si="254"/>
        <v>0.70849793532401517</v>
      </c>
      <c r="BG399" s="2">
        <f t="shared" ca="1" si="255"/>
        <v>5.3291749637483857E-2</v>
      </c>
      <c r="BH399" s="2">
        <f t="shared" ca="1" si="256"/>
        <v>0.70849793532401517</v>
      </c>
      <c r="BI399" s="2">
        <f t="shared" ca="1" si="257"/>
        <v>0.70849793532401517</v>
      </c>
    </row>
    <row r="400" spans="1:61" ht="15" x14ac:dyDescent="0.25">
      <c r="A400" s="66">
        <v>334</v>
      </c>
      <c r="B400" s="66">
        <v>1498730295.451</v>
      </c>
      <c r="C400" s="67">
        <v>6.1181994028088705E-5</v>
      </c>
      <c r="D400" s="67">
        <v>-3.2664366559538699E-6</v>
      </c>
      <c r="E400" s="67">
        <v>1.19655697751335E-2</v>
      </c>
      <c r="F400" s="67">
        <v>4.6257731431609099E-4</v>
      </c>
      <c r="G400" s="67">
        <v>7.3150606489668805E-5</v>
      </c>
      <c r="H400" s="67">
        <v>0.218575645483748</v>
      </c>
      <c r="I400" s="67">
        <v>-3.2664366559538699E-6</v>
      </c>
      <c r="J400" s="67">
        <v>0.157810453450132</v>
      </c>
      <c r="K400" s="67">
        <v>1.8967104903135401</v>
      </c>
      <c r="L400" s="67"/>
      <c r="M400" s="67"/>
      <c r="O400" s="11">
        <f t="shared" ca="1" si="215"/>
        <v>4.8378063318128677E-5</v>
      </c>
      <c r="P400" s="11">
        <f t="shared" ca="1" si="216"/>
        <v>-4.0315368862586106E-6</v>
      </c>
      <c r="Q400" s="11">
        <f t="shared" ca="1" si="217"/>
        <v>1.1129078162865215E-2</v>
      </c>
      <c r="R400" s="11">
        <f t="shared" ca="1" si="218"/>
        <v>4.5093082666974388E-4</v>
      </c>
      <c r="S400" s="11">
        <f t="shared" ca="1" si="219"/>
        <v>6.2222954442698678E-5</v>
      </c>
      <c r="T400" s="11">
        <f t="shared" ca="1" si="220"/>
        <v>0.21743709044516571</v>
      </c>
      <c r="U400" s="11">
        <f t="shared" ca="1" si="221"/>
        <v>-4.0315368862586106E-6</v>
      </c>
      <c r="V400" s="11">
        <f t="shared" ca="1" si="222"/>
        <v>0.15716025744443823</v>
      </c>
      <c r="W400" s="11">
        <f t="shared" ca="1" si="223"/>
        <v>1.889587642050035</v>
      </c>
      <c r="X400" s="11"/>
      <c r="Y400" s="2">
        <f t="shared" ca="1" si="224"/>
        <v>4.8378063318128677E-5</v>
      </c>
      <c r="Z400" s="11">
        <f t="shared" ca="1" si="225"/>
        <v>-4.0315368862586106E-6</v>
      </c>
      <c r="AA400" s="2">
        <f t="shared" ca="1" si="226"/>
        <v>1.1129078162865215E-2</v>
      </c>
      <c r="AB400" s="2">
        <f t="shared" ca="1" si="227"/>
        <v>4.5093082666974388E-4</v>
      </c>
      <c r="AC400" s="2">
        <f t="shared" ca="1" si="228"/>
        <v>6.2222954442698678E-5</v>
      </c>
      <c r="AD400" s="2">
        <f t="shared" ca="1" si="229"/>
        <v>0.21743709044516571</v>
      </c>
      <c r="AE400" s="2">
        <f t="shared" ca="1" si="230"/>
        <v>-4.0315368862586106E-6</v>
      </c>
      <c r="AF400" s="2">
        <f t="shared" ca="1" si="231"/>
        <v>0.15716025744443823</v>
      </c>
      <c r="AG400" s="2">
        <f t="shared" ca="1" si="232"/>
        <v>1.889587642050035</v>
      </c>
      <c r="AI400" s="2">
        <f t="shared" ca="1" si="233"/>
        <v>4.8378063318128677E-5</v>
      </c>
      <c r="AJ400" s="11">
        <f t="shared" ca="1" si="234"/>
        <v>-4.0315368862586106E-6</v>
      </c>
      <c r="AK400" s="2">
        <f t="shared" ca="1" si="235"/>
        <v>1.1129078162865215E-2</v>
      </c>
      <c r="AL400" s="2">
        <f t="shared" ca="1" si="236"/>
        <v>4.5093082666974388E-4</v>
      </c>
      <c r="AM400" s="2">
        <f t="shared" ca="1" si="237"/>
        <v>6.2222954442698678E-5</v>
      </c>
      <c r="AN400" s="2">
        <f t="shared" ca="1" si="238"/>
        <v>0.21743709044516571</v>
      </c>
      <c r="AO400" s="2">
        <f t="shared" ca="1" si="239"/>
        <v>-4.0315368862586106E-6</v>
      </c>
      <c r="AP400" s="2">
        <f t="shared" ca="1" si="240"/>
        <v>0.15716025744443823</v>
      </c>
      <c r="AQ400" s="2">
        <f t="shared" ca="1" si="241"/>
        <v>1.889587642050035</v>
      </c>
      <c r="AS400" s="2">
        <f t="shared" ca="1" si="242"/>
        <v>8.6902728425100957</v>
      </c>
      <c r="AT400" s="2">
        <f t="shared" ca="1" si="243"/>
        <v>0.40035306655157565</v>
      </c>
      <c r="AU400" s="2">
        <f t="shared" ca="1" si="244"/>
        <v>1.8053153925986899E-4</v>
      </c>
      <c r="AV400" s="2">
        <f t="shared" ca="1" si="245"/>
        <v>0.15697972590517836</v>
      </c>
      <c r="AW400" s="2">
        <f t="shared" ca="1" si="246"/>
        <v>0.7086526749510732</v>
      </c>
      <c r="AX400" s="2">
        <f t="shared" ca="1" si="247"/>
        <v>5.3154031365164049E-2</v>
      </c>
      <c r="AY400" s="9">
        <f t="shared" ca="1" si="248"/>
        <v>0.7086526749510732</v>
      </c>
      <c r="AZ400" s="9">
        <f t="shared" ca="1" si="249"/>
        <v>0.7086526749510732</v>
      </c>
      <c r="BB400" s="2">
        <f t="shared" ca="1" si="250"/>
        <v>8.6902728425100957</v>
      </c>
      <c r="BC400" s="2">
        <f t="shared" ca="1" si="251"/>
        <v>0.40035306655157565</v>
      </c>
      <c r="BD400" s="2">
        <f t="shared" ca="1" si="252"/>
        <v>1.8053153925986899E-4</v>
      </c>
      <c r="BE400" s="2">
        <f t="shared" ca="1" si="253"/>
        <v>0.15697972590517836</v>
      </c>
      <c r="BF400" s="2">
        <f t="shared" ca="1" si="254"/>
        <v>0.7086526749510732</v>
      </c>
      <c r="BG400" s="2">
        <f t="shared" ca="1" si="255"/>
        <v>5.3154031365164049E-2</v>
      </c>
      <c r="BH400" s="2">
        <f t="shared" ca="1" si="256"/>
        <v>0.7086526749510732</v>
      </c>
      <c r="BI400" s="2">
        <f t="shared" ca="1" si="257"/>
        <v>0.7086526749510732</v>
      </c>
    </row>
    <row r="401" spans="1:61" ht="15" x14ac:dyDescent="0.25">
      <c r="A401" s="66">
        <v>335</v>
      </c>
      <c r="B401" s="66">
        <v>1498730295.9779999</v>
      </c>
      <c r="C401" s="67">
        <v>-2.3633113290010599E-6</v>
      </c>
      <c r="D401" s="67">
        <v>-2.22556368844774E-5</v>
      </c>
      <c r="E401" s="67">
        <v>1.27485056264201E-2</v>
      </c>
      <c r="F401" s="67">
        <v>4.2139630141721903E-4</v>
      </c>
      <c r="G401" s="67">
        <v>1.10731980479811E-4</v>
      </c>
      <c r="H401" s="67">
        <v>0.23382818469876801</v>
      </c>
      <c r="I401" s="67">
        <v>-2.22556368844774E-5</v>
      </c>
      <c r="J401" s="67">
        <v>0.168800926473333</v>
      </c>
      <c r="K401" s="67">
        <v>2.0268628935601498</v>
      </c>
      <c r="L401" s="67"/>
      <c r="M401" s="67"/>
      <c r="O401" s="11">
        <f t="shared" ca="1" si="215"/>
        <v>-1.5167242038961087E-5</v>
      </c>
      <c r="P401" s="11">
        <f t="shared" ca="1" si="216"/>
        <v>-2.3020737114782142E-5</v>
      </c>
      <c r="Q401" s="11">
        <f t="shared" ca="1" si="217"/>
        <v>1.1912014014151815E-2</v>
      </c>
      <c r="R401" s="11">
        <f t="shared" ca="1" si="218"/>
        <v>4.0974981377087192E-4</v>
      </c>
      <c r="S401" s="11">
        <f t="shared" ca="1" si="219"/>
        <v>9.9804328432840869E-5</v>
      </c>
      <c r="T401" s="11">
        <f t="shared" ca="1" si="220"/>
        <v>0.23268962966018572</v>
      </c>
      <c r="U401" s="11">
        <f t="shared" ca="1" si="221"/>
        <v>-2.3020737114782142E-5</v>
      </c>
      <c r="V401" s="11">
        <f t="shared" ca="1" si="222"/>
        <v>0.16815073046763923</v>
      </c>
      <c r="W401" s="11">
        <f t="shared" ca="1" si="223"/>
        <v>2.0197400452966447</v>
      </c>
      <c r="X401" s="11"/>
      <c r="Y401" s="2">
        <f t="shared" ca="1" si="224"/>
        <v>-1.5167242038961087E-5</v>
      </c>
      <c r="Z401" s="11">
        <f t="shared" ca="1" si="225"/>
        <v>-2.3020737114782142E-5</v>
      </c>
      <c r="AA401" s="2">
        <f t="shared" ca="1" si="226"/>
        <v>1.1912014014151815E-2</v>
      </c>
      <c r="AB401" s="2">
        <f t="shared" ca="1" si="227"/>
        <v>4.0974981377087192E-4</v>
      </c>
      <c r="AC401" s="2">
        <f t="shared" ca="1" si="228"/>
        <v>9.9804328432840869E-5</v>
      </c>
      <c r="AD401" s="2">
        <f t="shared" ca="1" si="229"/>
        <v>0.23268962966018572</v>
      </c>
      <c r="AE401" s="2">
        <f t="shared" ca="1" si="230"/>
        <v>-2.3020737114782142E-5</v>
      </c>
      <c r="AF401" s="2">
        <f t="shared" ca="1" si="231"/>
        <v>0.16815073046763923</v>
      </c>
      <c r="AG401" s="2">
        <f t="shared" ca="1" si="232"/>
        <v>2.0197400452966447</v>
      </c>
      <c r="AI401" s="2">
        <f t="shared" ca="1" si="233"/>
        <v>-1.5167242038961087E-5</v>
      </c>
      <c r="AJ401" s="11">
        <f t="shared" ca="1" si="234"/>
        <v>-2.3020737114782142E-5</v>
      </c>
      <c r="AK401" s="2">
        <f t="shared" ca="1" si="235"/>
        <v>1.1912014014151815E-2</v>
      </c>
      <c r="AL401" s="2">
        <f t="shared" ca="1" si="236"/>
        <v>4.0974981377087192E-4</v>
      </c>
      <c r="AM401" s="2">
        <f t="shared" ca="1" si="237"/>
        <v>9.9804328432840869E-5</v>
      </c>
      <c r="AN401" s="2">
        <f t="shared" ca="1" si="238"/>
        <v>0.23268962966018572</v>
      </c>
      <c r="AO401" s="2">
        <f t="shared" ca="1" si="239"/>
        <v>-2.3020737114782142E-5</v>
      </c>
      <c r="AP401" s="2">
        <f t="shared" ca="1" si="240"/>
        <v>0.16815073046763923</v>
      </c>
      <c r="AQ401" s="2">
        <f t="shared" ca="1" si="241"/>
        <v>2.0197400452966447</v>
      </c>
      <c r="AS401" s="2">
        <f t="shared" ca="1" si="242"/>
        <v>8.6799744717726526</v>
      </c>
      <c r="AT401" s="2">
        <f t="shared" ca="1" si="243"/>
        <v>0.39987287896985269</v>
      </c>
      <c r="AU401" s="2">
        <f t="shared" ca="1" si="244"/>
        <v>1.6384783768991955E-4</v>
      </c>
      <c r="AV401" s="2">
        <f t="shared" ca="1" si="245"/>
        <v>0.16798688262994932</v>
      </c>
      <c r="AW401" s="2">
        <f t="shared" ca="1" si="246"/>
        <v>0.70905703014084809</v>
      </c>
      <c r="AX401" s="2">
        <f t="shared" ca="1" si="247"/>
        <v>5.3099676339923081E-2</v>
      </c>
      <c r="AY401" s="9">
        <f t="shared" ca="1" si="248"/>
        <v>0.70905703014084809</v>
      </c>
      <c r="AZ401" s="9">
        <f t="shared" ca="1" si="249"/>
        <v>0.70905703014084809</v>
      </c>
      <c r="BB401" s="2">
        <f t="shared" ca="1" si="250"/>
        <v>8.6799744717726526</v>
      </c>
      <c r="BC401" s="2">
        <f t="shared" ca="1" si="251"/>
        <v>0.39987287896985269</v>
      </c>
      <c r="BD401" s="2">
        <f t="shared" ca="1" si="252"/>
        <v>1.6384783768991955E-4</v>
      </c>
      <c r="BE401" s="2">
        <f t="shared" ca="1" si="253"/>
        <v>0.16798688262994932</v>
      </c>
      <c r="BF401" s="2">
        <f t="shared" ca="1" si="254"/>
        <v>0.70905703014084809</v>
      </c>
      <c r="BG401" s="2">
        <f t="shared" ca="1" si="255"/>
        <v>5.3099676339923081E-2</v>
      </c>
      <c r="BH401" s="2">
        <f t="shared" ca="1" si="256"/>
        <v>0.70905703014084809</v>
      </c>
      <c r="BI401" s="2">
        <f t="shared" ca="1" si="257"/>
        <v>0.70905703014084809</v>
      </c>
    </row>
    <row r="402" spans="1:61" ht="15" x14ac:dyDescent="0.25">
      <c r="A402" s="66">
        <v>336</v>
      </c>
      <c r="B402" s="66">
        <v>1498730296.5050001</v>
      </c>
      <c r="C402" s="67">
        <v>-1.13396435052362E-5</v>
      </c>
      <c r="D402" s="67">
        <v>-2.33419737031845E-5</v>
      </c>
      <c r="E402" s="67">
        <v>1.2897406684021199E-2</v>
      </c>
      <c r="F402" s="67">
        <v>3.9354652096088602E-4</v>
      </c>
      <c r="G402" s="67">
        <v>-5.7248460543760203E-5</v>
      </c>
      <c r="H402" s="67">
        <v>0.237322553040614</v>
      </c>
      <c r="I402" s="67">
        <v>-2.33419737031845E-5</v>
      </c>
      <c r="J402" s="67">
        <v>0.171541300797455</v>
      </c>
      <c r="K402" s="67">
        <v>2.06136515843458</v>
      </c>
      <c r="L402" s="67"/>
      <c r="M402" s="67"/>
      <c r="O402" s="11">
        <f t="shared" ca="1" si="215"/>
        <v>-2.4143574215196228E-5</v>
      </c>
      <c r="P402" s="11">
        <f t="shared" ca="1" si="216"/>
        <v>-2.4107073933489242E-5</v>
      </c>
      <c r="Q402" s="11">
        <f t="shared" ca="1" si="217"/>
        <v>1.2060915071752915E-2</v>
      </c>
      <c r="R402" s="11">
        <f t="shared" ca="1" si="218"/>
        <v>3.8190003331453891E-4</v>
      </c>
      <c r="S402" s="11">
        <f t="shared" ca="1" si="219"/>
        <v>-6.8176112590730324E-5</v>
      </c>
      <c r="T402" s="11">
        <f t="shared" ca="1" si="220"/>
        <v>0.23618399800203171</v>
      </c>
      <c r="U402" s="11">
        <f t="shared" ca="1" si="221"/>
        <v>-2.4107073933489242E-5</v>
      </c>
      <c r="V402" s="11">
        <f t="shared" ca="1" si="222"/>
        <v>0.17089110479176123</v>
      </c>
      <c r="W402" s="11">
        <f t="shared" ca="1" si="223"/>
        <v>2.0542423101710749</v>
      </c>
      <c r="X402" s="11"/>
      <c r="Y402" s="2">
        <f t="shared" ca="1" si="224"/>
        <v>-2.4143574215196228E-5</v>
      </c>
      <c r="Z402" s="11">
        <f t="shared" ca="1" si="225"/>
        <v>-2.4107073933489242E-5</v>
      </c>
      <c r="AA402" s="2">
        <f t="shared" ca="1" si="226"/>
        <v>1.2060915071752915E-2</v>
      </c>
      <c r="AB402" s="2">
        <f t="shared" ca="1" si="227"/>
        <v>3.8190003331453891E-4</v>
      </c>
      <c r="AC402" s="2">
        <f t="shared" ca="1" si="228"/>
        <v>-6.8176112590730324E-5</v>
      </c>
      <c r="AD402" s="2">
        <f t="shared" ca="1" si="229"/>
        <v>0.23618399800203171</v>
      </c>
      <c r="AE402" s="2">
        <f t="shared" ca="1" si="230"/>
        <v>-2.4107073933489242E-5</v>
      </c>
      <c r="AF402" s="2">
        <f t="shared" ca="1" si="231"/>
        <v>0.17089110479176123</v>
      </c>
      <c r="AG402" s="2">
        <f t="shared" ca="1" si="232"/>
        <v>2.0542423101710749</v>
      </c>
      <c r="AI402" s="2">
        <f t="shared" ca="1" si="233"/>
        <v>-2.4143574215196228E-5</v>
      </c>
      <c r="AJ402" s="11">
        <f t="shared" ca="1" si="234"/>
        <v>-2.4107073933489242E-5</v>
      </c>
      <c r="AK402" s="2">
        <f t="shared" ca="1" si="235"/>
        <v>1.2060915071752915E-2</v>
      </c>
      <c r="AL402" s="2">
        <f t="shared" ca="1" si="236"/>
        <v>3.8190003331453891E-4</v>
      </c>
      <c r="AM402" s="2">
        <f t="shared" ca="1" si="237"/>
        <v>-6.8176112590730324E-5</v>
      </c>
      <c r="AN402" s="2">
        <f t="shared" ca="1" si="238"/>
        <v>0.23618399800203171</v>
      </c>
      <c r="AO402" s="2">
        <f t="shared" ca="1" si="239"/>
        <v>-2.4107073933489242E-5</v>
      </c>
      <c r="AP402" s="2">
        <f t="shared" ca="1" si="240"/>
        <v>0.17089110479176123</v>
      </c>
      <c r="AQ402" s="2">
        <f t="shared" ca="1" si="241"/>
        <v>2.0542423101710749</v>
      </c>
      <c r="AS402" s="2">
        <f t="shared" ca="1" si="242"/>
        <v>8.6976354348672</v>
      </c>
      <c r="AT402" s="2">
        <f t="shared" ca="1" si="243"/>
        <v>0.40069637027278815</v>
      </c>
      <c r="AU402" s="2">
        <f t="shared" ca="1" si="244"/>
        <v>1.5302595715619262E-4</v>
      </c>
      <c r="AV402" s="2">
        <f t="shared" ca="1" si="245"/>
        <v>0.17073807883460504</v>
      </c>
      <c r="AW402" s="2">
        <f t="shared" ca="1" si="246"/>
        <v>0.70928078939595662</v>
      </c>
      <c r="AX402" s="2">
        <f t="shared" ca="1" si="247"/>
        <v>5.3078271639499075E-2</v>
      </c>
      <c r="AY402" s="9">
        <f t="shared" ca="1" si="248"/>
        <v>0.70928078939595662</v>
      </c>
      <c r="AZ402" s="9">
        <f t="shared" ca="1" si="249"/>
        <v>0.70928078939595662</v>
      </c>
      <c r="BB402" s="2">
        <f t="shared" ca="1" si="250"/>
        <v>8.6976354348672</v>
      </c>
      <c r="BC402" s="2">
        <f t="shared" ca="1" si="251"/>
        <v>0.40069637027278815</v>
      </c>
      <c r="BD402" s="2">
        <f t="shared" ca="1" si="252"/>
        <v>1.5302595715619262E-4</v>
      </c>
      <c r="BE402" s="2">
        <f t="shared" ca="1" si="253"/>
        <v>0.17073807883460504</v>
      </c>
      <c r="BF402" s="2">
        <f t="shared" ca="1" si="254"/>
        <v>0.70928078939595662</v>
      </c>
      <c r="BG402" s="2">
        <f t="shared" ca="1" si="255"/>
        <v>5.3078271639499075E-2</v>
      </c>
      <c r="BH402" s="2">
        <f t="shared" ca="1" si="256"/>
        <v>0.70928078939595662</v>
      </c>
      <c r="BI402" s="2">
        <f t="shared" ca="1" si="257"/>
        <v>0.70928078939595662</v>
      </c>
    </row>
    <row r="403" spans="1:61" ht="15" x14ac:dyDescent="0.25">
      <c r="A403" s="66">
        <v>337</v>
      </c>
      <c r="B403" s="66">
        <v>1498730297.0320001</v>
      </c>
      <c r="C403" s="67">
        <v>8.0553491323702602E-5</v>
      </c>
      <c r="D403" s="67">
        <v>3.0233329580691999E-5</v>
      </c>
      <c r="E403" s="67">
        <v>1.28272903484168E-2</v>
      </c>
      <c r="F403" s="67">
        <v>4.8781045009656698E-4</v>
      </c>
      <c r="G403" s="67">
        <v>-1.5715518076729501E-5</v>
      </c>
      <c r="H403" s="67">
        <v>0.236373107031216</v>
      </c>
      <c r="I403" s="67">
        <v>3.0233329580691999E-5</v>
      </c>
      <c r="J403" s="67">
        <v>0.17076212955807399</v>
      </c>
      <c r="K403" s="67">
        <v>2.0539629523143499</v>
      </c>
      <c r="L403" s="67"/>
      <c r="M403" s="67"/>
      <c r="O403" s="11">
        <f t="shared" ca="1" si="215"/>
        <v>6.7749560613742581E-5</v>
      </c>
      <c r="P403" s="11">
        <f t="shared" ca="1" si="216"/>
        <v>2.9468229350387257E-5</v>
      </c>
      <c r="Q403" s="11">
        <f t="shared" ca="1" si="217"/>
        <v>1.1990798736148516E-2</v>
      </c>
      <c r="R403" s="11">
        <f t="shared" ca="1" si="218"/>
        <v>4.7616396245021988E-4</v>
      </c>
      <c r="S403" s="11">
        <f t="shared" ca="1" si="219"/>
        <v>-2.6643170123699622E-5</v>
      </c>
      <c r="T403" s="11">
        <f t="shared" ca="1" si="220"/>
        <v>0.23523455199263371</v>
      </c>
      <c r="U403" s="11">
        <f t="shared" ca="1" si="221"/>
        <v>2.9468229350387257E-5</v>
      </c>
      <c r="V403" s="11">
        <f t="shared" ca="1" si="222"/>
        <v>0.17011193355238022</v>
      </c>
      <c r="W403" s="11">
        <f t="shared" ca="1" si="223"/>
        <v>2.0468401040508448</v>
      </c>
      <c r="X403" s="11"/>
      <c r="Y403" s="2">
        <f t="shared" ca="1" si="224"/>
        <v>6.7749560613742581E-5</v>
      </c>
      <c r="Z403" s="11">
        <f t="shared" ca="1" si="225"/>
        <v>2.9468229350387257E-5</v>
      </c>
      <c r="AA403" s="2">
        <f t="shared" ca="1" si="226"/>
        <v>1.199057328214268E-2</v>
      </c>
      <c r="AB403" s="2">
        <f t="shared" ca="1" si="227"/>
        <v>4.7070695071806719E-4</v>
      </c>
      <c r="AC403" s="2">
        <f t="shared" ca="1" si="228"/>
        <v>-2.6643170123699622E-5</v>
      </c>
      <c r="AD403" s="2">
        <f t="shared" ca="1" si="229"/>
        <v>0.23519486696365199</v>
      </c>
      <c r="AE403" s="2">
        <f t="shared" ca="1" si="230"/>
        <v>2.9468229350387257E-5</v>
      </c>
      <c r="AF403" s="2">
        <f t="shared" ca="1" si="231"/>
        <v>0.17005332832074971</v>
      </c>
      <c r="AG403" s="2">
        <f t="shared" ca="1" si="232"/>
        <v>2.0468163234111869</v>
      </c>
      <c r="AI403" s="2">
        <f t="shared" ca="1" si="233"/>
        <v>6.7749560613742581E-5</v>
      </c>
      <c r="AJ403" s="11">
        <f t="shared" ca="1" si="234"/>
        <v>2.9468229350387257E-5</v>
      </c>
      <c r="AK403" s="2">
        <f t="shared" ca="1" si="235"/>
        <v>1.1955806223912409E-2</v>
      </c>
      <c r="AL403" s="2">
        <f t="shared" ca="1" si="236"/>
        <v>4.5443451523421215E-4</v>
      </c>
      <c r="AM403" s="2">
        <f t="shared" ca="1" si="237"/>
        <v>-2.6643170123699622E-5</v>
      </c>
      <c r="AN403" s="2">
        <f t="shared" ca="1" si="238"/>
        <v>0.23519486696365199</v>
      </c>
      <c r="AO403" s="2">
        <f t="shared" ca="1" si="239"/>
        <v>2.9468229350387257E-5</v>
      </c>
      <c r="AP403" s="2">
        <f t="shared" ca="1" si="240"/>
        <v>0.17005332832074971</v>
      </c>
      <c r="AQ403" s="2">
        <f t="shared" ca="1" si="241"/>
        <v>2.0468163234111869</v>
      </c>
      <c r="AS403" s="2">
        <f t="shared" ca="1" si="242"/>
        <v>8.7012732046053376</v>
      </c>
      <c r="AT403" s="2">
        <f t="shared" ca="1" si="243"/>
        <v>0.40086599387919614</v>
      </c>
      <c r="AU403" s="2">
        <f t="shared" ca="1" si="244"/>
        <v>1.9087794005706363E-4</v>
      </c>
      <c r="AV403" s="2">
        <f t="shared" ca="1" si="245"/>
        <v>0.16992105561232315</v>
      </c>
      <c r="AW403" s="2">
        <f t="shared" ca="1" si="246"/>
        <v>0.7085865532790907</v>
      </c>
      <c r="AX403" s="2">
        <f t="shared" ca="1" si="247"/>
        <v>5.3005362788881426E-2</v>
      </c>
      <c r="AY403" s="9">
        <f t="shared" ca="1" si="248"/>
        <v>0.7085865532790907</v>
      </c>
      <c r="AZ403" s="9">
        <f t="shared" ca="1" si="249"/>
        <v>0.7085865532790907</v>
      </c>
      <c r="BB403" s="2">
        <f t="shared" ca="1" si="250"/>
        <v>8.7026402822282272</v>
      </c>
      <c r="BC403" s="2">
        <f t="shared" ca="1" si="251"/>
        <v>0.40092973882795896</v>
      </c>
      <c r="BD403" s="2">
        <f t="shared" ca="1" si="252"/>
        <v>1.821963115072628E-4</v>
      </c>
      <c r="BE403" s="2">
        <f t="shared" ca="1" si="253"/>
        <v>0.16987113200924245</v>
      </c>
      <c r="BF403" s="2">
        <f t="shared" ca="1" si="254"/>
        <v>0.70844184345969763</v>
      </c>
      <c r="BG403" s="2">
        <f t="shared" ca="1" si="255"/>
        <v>5.2868093914640327E-2</v>
      </c>
      <c r="BH403" s="2">
        <f t="shared" ca="1" si="256"/>
        <v>0.70844184345969763</v>
      </c>
      <c r="BI403" s="2">
        <f t="shared" ca="1" si="257"/>
        <v>0.70844184345969763</v>
      </c>
    </row>
    <row r="404" spans="1:61" ht="15" x14ac:dyDescent="0.25">
      <c r="A404" s="66">
        <v>338</v>
      </c>
      <c r="B404" s="66">
        <v>1498730297.559</v>
      </c>
      <c r="C404" s="67">
        <v>7.7482375062191999E-5</v>
      </c>
      <c r="D404" s="67">
        <v>-2.6199455035348198E-5</v>
      </c>
      <c r="E404" s="67">
        <v>1.25485597272179E-2</v>
      </c>
      <c r="F404" s="67">
        <v>5.2470910752038002E-4</v>
      </c>
      <c r="G404" s="67">
        <v>2.2075425245760699E-4</v>
      </c>
      <c r="H404" s="67">
        <v>0.22865581821278999</v>
      </c>
      <c r="I404" s="67">
        <v>-2.6199455035348198E-5</v>
      </c>
      <c r="J404" s="67">
        <v>0.16527225954204</v>
      </c>
      <c r="K404" s="67">
        <v>1.98526485408502</v>
      </c>
      <c r="L404" s="67"/>
      <c r="M404" s="67"/>
      <c r="O404" s="11">
        <f t="shared" ca="1" si="215"/>
        <v>6.4678444352231964E-5</v>
      </c>
      <c r="P404" s="11">
        <f t="shared" ca="1" si="216"/>
        <v>-2.696455526565294E-5</v>
      </c>
      <c r="Q404" s="11">
        <f t="shared" ca="1" si="217"/>
        <v>1.1712068114949615E-2</v>
      </c>
      <c r="R404" s="11">
        <f t="shared" ca="1" si="218"/>
        <v>5.1306261987403286E-4</v>
      </c>
      <c r="S404" s="11">
        <f t="shared" ca="1" si="219"/>
        <v>2.0982660041063688E-4</v>
      </c>
      <c r="T404" s="11">
        <f t="shared" ca="1" si="220"/>
        <v>0.2275172631742077</v>
      </c>
      <c r="U404" s="11">
        <f t="shared" ca="1" si="221"/>
        <v>-2.696455526565294E-5</v>
      </c>
      <c r="V404" s="11">
        <f t="shared" ca="1" si="222"/>
        <v>0.16462206353634623</v>
      </c>
      <c r="W404" s="11">
        <f t="shared" ca="1" si="223"/>
        <v>1.9781420058215149</v>
      </c>
      <c r="X404" s="11"/>
      <c r="Y404" s="2">
        <f t="shared" ca="1" si="224"/>
        <v>6.4678444352231964E-5</v>
      </c>
      <c r="Z404" s="11">
        <f t="shared" ca="1" si="225"/>
        <v>-2.696455526565294E-5</v>
      </c>
      <c r="AA404" s="2">
        <f t="shared" ca="1" si="226"/>
        <v>1.1712068114949615E-2</v>
      </c>
      <c r="AB404" s="2">
        <f t="shared" ca="1" si="227"/>
        <v>5.1306261987403286E-4</v>
      </c>
      <c r="AC404" s="2">
        <f t="shared" ca="1" si="228"/>
        <v>2.0982660041063688E-4</v>
      </c>
      <c r="AD404" s="2">
        <f t="shared" ca="1" si="229"/>
        <v>0.2275172631742077</v>
      </c>
      <c r="AE404" s="2">
        <f t="shared" ca="1" si="230"/>
        <v>-2.696455526565294E-5</v>
      </c>
      <c r="AF404" s="2">
        <f t="shared" ca="1" si="231"/>
        <v>0.16462206353634623</v>
      </c>
      <c r="AG404" s="2">
        <f t="shared" ca="1" si="232"/>
        <v>1.9781420058215149</v>
      </c>
      <c r="AI404" s="2">
        <f t="shared" ca="1" si="233"/>
        <v>6.4678444352231964E-5</v>
      </c>
      <c r="AJ404" s="11">
        <f t="shared" ca="1" si="234"/>
        <v>-2.696455526565294E-5</v>
      </c>
      <c r="AK404" s="2">
        <f t="shared" ca="1" si="235"/>
        <v>1.1712068114949615E-2</v>
      </c>
      <c r="AL404" s="2">
        <f t="shared" ca="1" si="236"/>
        <v>5.1306261987403286E-4</v>
      </c>
      <c r="AM404" s="2">
        <f t="shared" ca="1" si="237"/>
        <v>2.0982660041063688E-4</v>
      </c>
      <c r="AN404" s="2">
        <f t="shared" ca="1" si="238"/>
        <v>0.2275172631742077</v>
      </c>
      <c r="AO404" s="2">
        <f t="shared" ca="1" si="239"/>
        <v>-2.696455526565294E-5</v>
      </c>
      <c r="AP404" s="2">
        <f t="shared" ca="1" si="240"/>
        <v>0.16462206353634623</v>
      </c>
      <c r="AQ404" s="2">
        <f t="shared" ca="1" si="241"/>
        <v>1.9781420058215149</v>
      </c>
      <c r="AS404" s="2">
        <f t="shared" ca="1" si="242"/>
        <v>8.6944699414165836</v>
      </c>
      <c r="AT404" s="2">
        <f t="shared" ca="1" si="243"/>
        <v>0.40054876888324326</v>
      </c>
      <c r="AU404" s="2">
        <f t="shared" ca="1" si="244"/>
        <v>2.0550660075055528E-4</v>
      </c>
      <c r="AV404" s="2">
        <f t="shared" ca="1" si="245"/>
        <v>0.16441655693559568</v>
      </c>
      <c r="AW404" s="2">
        <f t="shared" ca="1" si="246"/>
        <v>0.70916792416020813</v>
      </c>
      <c r="AX404" s="2">
        <f t="shared" ca="1" si="247"/>
        <v>5.3486533568817371E-2</v>
      </c>
      <c r="AY404" s="9">
        <f t="shared" ca="1" si="248"/>
        <v>0.70916792416020813</v>
      </c>
      <c r="AZ404" s="9">
        <f t="shared" ca="1" si="249"/>
        <v>0.70916792416020813</v>
      </c>
      <c r="BB404" s="2">
        <f t="shared" ca="1" si="250"/>
        <v>8.6944699414165836</v>
      </c>
      <c r="BC404" s="2">
        <f t="shared" ca="1" si="251"/>
        <v>0.40054876888324326</v>
      </c>
      <c r="BD404" s="2">
        <f t="shared" ca="1" si="252"/>
        <v>2.0550660075055528E-4</v>
      </c>
      <c r="BE404" s="2">
        <f t="shared" ca="1" si="253"/>
        <v>0.16441655693559568</v>
      </c>
      <c r="BF404" s="2">
        <f t="shared" ca="1" si="254"/>
        <v>0.70916792416020813</v>
      </c>
      <c r="BG404" s="2">
        <f t="shared" ca="1" si="255"/>
        <v>5.3486533568817371E-2</v>
      </c>
      <c r="BH404" s="2">
        <f t="shared" ca="1" si="256"/>
        <v>0.70916792416020813</v>
      </c>
      <c r="BI404" s="2">
        <f t="shared" ca="1" si="257"/>
        <v>0.70916792416020813</v>
      </c>
    </row>
    <row r="405" spans="1:61" ht="15" x14ac:dyDescent="0.25">
      <c r="A405" s="66">
        <v>339</v>
      </c>
      <c r="B405" s="66">
        <v>1498730298.086</v>
      </c>
      <c r="C405" s="67">
        <v>-6.3790489202687803E-6</v>
      </c>
      <c r="D405" s="67">
        <v>-3.7604944539125897E-5</v>
      </c>
      <c r="E405" s="67">
        <v>1.1889018618006101E-2</v>
      </c>
      <c r="F405" s="67">
        <v>3.4498978663782798E-4</v>
      </c>
      <c r="G405" s="67">
        <v>-5.6001549782086598E-5</v>
      </c>
      <c r="H405" s="67">
        <v>0.21831188662690099</v>
      </c>
      <c r="I405" s="67">
        <v>-3.7604944539125897E-5</v>
      </c>
      <c r="J405" s="67">
        <v>0.157755594433198</v>
      </c>
      <c r="K405" s="67">
        <v>1.8959385396075299</v>
      </c>
      <c r="L405" s="67"/>
      <c r="M405" s="67"/>
      <c r="O405" s="11">
        <f t="shared" ca="1" si="215"/>
        <v>-1.9182979630228808E-5</v>
      </c>
      <c r="P405" s="11">
        <f t="shared" ca="1" si="216"/>
        <v>-3.8370044769430635E-5</v>
      </c>
      <c r="Q405" s="11">
        <f t="shared" ca="1" si="217"/>
        <v>1.1052527005737816E-2</v>
      </c>
      <c r="R405" s="11">
        <f t="shared" ca="1" si="218"/>
        <v>3.3334329899148088E-4</v>
      </c>
      <c r="S405" s="11">
        <f t="shared" ca="1" si="219"/>
        <v>-6.6929201829056718E-5</v>
      </c>
      <c r="T405" s="11">
        <f t="shared" ca="1" si="220"/>
        <v>0.2171733315883187</v>
      </c>
      <c r="U405" s="11">
        <f t="shared" ca="1" si="221"/>
        <v>-3.8370044769430635E-5</v>
      </c>
      <c r="V405" s="11">
        <f t="shared" ca="1" si="222"/>
        <v>0.15710539842750423</v>
      </c>
      <c r="W405" s="11">
        <f t="shared" ca="1" si="223"/>
        <v>1.8888156913440248</v>
      </c>
      <c r="X405" s="11"/>
      <c r="Y405" s="2">
        <f t="shared" ca="1" si="224"/>
        <v>-1.9182979630228808E-5</v>
      </c>
      <c r="Z405" s="11">
        <f t="shared" ca="1" si="225"/>
        <v>-3.8370044769430635E-5</v>
      </c>
      <c r="AA405" s="2">
        <f t="shared" ca="1" si="226"/>
        <v>1.1052527005737816E-2</v>
      </c>
      <c r="AB405" s="2">
        <f t="shared" ca="1" si="227"/>
        <v>3.3334329899148088E-4</v>
      </c>
      <c r="AC405" s="2">
        <f t="shared" ca="1" si="228"/>
        <v>-6.6929201829056718E-5</v>
      </c>
      <c r="AD405" s="2">
        <f t="shared" ca="1" si="229"/>
        <v>0.2171733315883187</v>
      </c>
      <c r="AE405" s="2">
        <f t="shared" ca="1" si="230"/>
        <v>-3.8370044769430635E-5</v>
      </c>
      <c r="AF405" s="2">
        <f t="shared" ca="1" si="231"/>
        <v>0.15710539842750423</v>
      </c>
      <c r="AG405" s="2">
        <f t="shared" ca="1" si="232"/>
        <v>1.8888156913440248</v>
      </c>
      <c r="AI405" s="2">
        <f t="shared" ca="1" si="233"/>
        <v>-1.9182979630228808E-5</v>
      </c>
      <c r="AJ405" s="11">
        <f t="shared" ca="1" si="234"/>
        <v>-3.8370044769430635E-5</v>
      </c>
      <c r="AK405" s="2">
        <f t="shared" ca="1" si="235"/>
        <v>1.1052527005737816E-2</v>
      </c>
      <c r="AL405" s="2">
        <f t="shared" ca="1" si="236"/>
        <v>3.3334329899148088E-4</v>
      </c>
      <c r="AM405" s="2">
        <f t="shared" ca="1" si="237"/>
        <v>-6.6929201829056718E-5</v>
      </c>
      <c r="AN405" s="2">
        <f t="shared" ca="1" si="238"/>
        <v>0.2171733315883187</v>
      </c>
      <c r="AO405" s="2">
        <f t="shared" ca="1" si="239"/>
        <v>-3.8370044769430635E-5</v>
      </c>
      <c r="AP405" s="2">
        <f t="shared" ca="1" si="240"/>
        <v>0.15710539842750423</v>
      </c>
      <c r="AQ405" s="2">
        <f t="shared" ca="1" si="241"/>
        <v>1.8888156913440248</v>
      </c>
      <c r="AS405" s="2">
        <f t="shared" ca="1" si="242"/>
        <v>8.6972727154387872</v>
      </c>
      <c r="AT405" s="2">
        <f t="shared" ca="1" si="243"/>
        <v>0.40067945727103244</v>
      </c>
      <c r="AU405" s="2">
        <f t="shared" ca="1" si="244"/>
        <v>1.3356381212484205E-4</v>
      </c>
      <c r="AV405" s="2">
        <f t="shared" ca="1" si="245"/>
        <v>0.15697183461537939</v>
      </c>
      <c r="AW405" s="2">
        <f t="shared" ca="1" si="246"/>
        <v>0.70919005712330929</v>
      </c>
      <c r="AX405" s="2">
        <f t="shared" ca="1" si="247"/>
        <v>5.2896086393376673E-2</v>
      </c>
      <c r="AY405" s="9">
        <f t="shared" ca="1" si="248"/>
        <v>0.70919005712330929</v>
      </c>
      <c r="AZ405" s="9">
        <f t="shared" ca="1" si="249"/>
        <v>0.70919005712330929</v>
      </c>
      <c r="BB405" s="2">
        <f t="shared" ca="1" si="250"/>
        <v>8.6972727154387872</v>
      </c>
      <c r="BC405" s="2">
        <f t="shared" ca="1" si="251"/>
        <v>0.40067945727103244</v>
      </c>
      <c r="BD405" s="2">
        <f t="shared" ca="1" si="252"/>
        <v>1.3356381212484205E-4</v>
      </c>
      <c r="BE405" s="2">
        <f t="shared" ca="1" si="253"/>
        <v>0.15697183461537939</v>
      </c>
      <c r="BF405" s="2">
        <f t="shared" ca="1" si="254"/>
        <v>0.70919005712330929</v>
      </c>
      <c r="BG405" s="2">
        <f t="shared" ca="1" si="255"/>
        <v>5.2896086393376673E-2</v>
      </c>
      <c r="BH405" s="2">
        <f t="shared" ca="1" si="256"/>
        <v>0.70919005712330929</v>
      </c>
      <c r="BI405" s="2">
        <f t="shared" ca="1" si="257"/>
        <v>0.70919005712330929</v>
      </c>
    </row>
    <row r="406" spans="1:61" ht="15" x14ac:dyDescent="0.25">
      <c r="A406" s="66">
        <v>340</v>
      </c>
      <c r="B406" s="66">
        <v>1498730298.6129999</v>
      </c>
      <c r="C406" s="67">
        <v>3.4015287382993798E-5</v>
      </c>
      <c r="D406" s="67">
        <v>-6.0766093870673801E-5</v>
      </c>
      <c r="E406" s="67">
        <v>1.1839672674245899E-2</v>
      </c>
      <c r="F406" s="67">
        <v>3.9330849199614698E-4</v>
      </c>
      <c r="G406" s="67">
        <v>-1.9034088522670901E-5</v>
      </c>
      <c r="H406" s="67">
        <v>0.219737426420619</v>
      </c>
      <c r="I406" s="67">
        <v>-6.0766093870673801E-5</v>
      </c>
      <c r="J406" s="67">
        <v>0.15859134392473101</v>
      </c>
      <c r="K406" s="67">
        <v>1.90625622446121</v>
      </c>
      <c r="L406" s="67"/>
      <c r="M406" s="67"/>
      <c r="O406" s="11">
        <f t="shared" ca="1" si="215"/>
        <v>2.121135667303377E-5</v>
      </c>
      <c r="P406" s="11">
        <f t="shared" ca="1" si="216"/>
        <v>-6.153119410097854E-5</v>
      </c>
      <c r="Q406" s="11">
        <f t="shared" ca="1" si="217"/>
        <v>1.1003181061977615E-2</v>
      </c>
      <c r="R406" s="11">
        <f t="shared" ca="1" si="218"/>
        <v>3.8166200434979988E-4</v>
      </c>
      <c r="S406" s="11">
        <f t="shared" ca="1" si="219"/>
        <v>-2.9961740569641025E-5</v>
      </c>
      <c r="T406" s="11">
        <f t="shared" ca="1" si="220"/>
        <v>0.21859887138203671</v>
      </c>
      <c r="U406" s="11">
        <f t="shared" ca="1" si="221"/>
        <v>-6.153119410097854E-5</v>
      </c>
      <c r="V406" s="11">
        <f t="shared" ca="1" si="222"/>
        <v>0.15794114791903724</v>
      </c>
      <c r="W406" s="11">
        <f t="shared" ca="1" si="223"/>
        <v>1.8991333761977049</v>
      </c>
      <c r="X406" s="11"/>
      <c r="Y406" s="2">
        <f t="shared" ca="1" si="224"/>
        <v>2.121135667303377E-5</v>
      </c>
      <c r="Z406" s="11">
        <f t="shared" ca="1" si="225"/>
        <v>-6.153119410097854E-5</v>
      </c>
      <c r="AA406" s="2">
        <f t="shared" ca="1" si="226"/>
        <v>1.1003181061977615E-2</v>
      </c>
      <c r="AB406" s="2">
        <f t="shared" ca="1" si="227"/>
        <v>3.8166200434979988E-4</v>
      </c>
      <c r="AC406" s="2">
        <f t="shared" ca="1" si="228"/>
        <v>-2.9961740569641025E-5</v>
      </c>
      <c r="AD406" s="2">
        <f t="shared" ca="1" si="229"/>
        <v>0.21859887138203671</v>
      </c>
      <c r="AE406" s="2">
        <f t="shared" ca="1" si="230"/>
        <v>-6.153119410097854E-5</v>
      </c>
      <c r="AF406" s="2">
        <f t="shared" ca="1" si="231"/>
        <v>0.15794114791903724</v>
      </c>
      <c r="AG406" s="2">
        <f t="shared" ca="1" si="232"/>
        <v>1.8991333761977049</v>
      </c>
      <c r="AI406" s="2">
        <f t="shared" ca="1" si="233"/>
        <v>2.121135667303377E-5</v>
      </c>
      <c r="AJ406" s="11">
        <f t="shared" ca="1" si="234"/>
        <v>-6.153119410097854E-5</v>
      </c>
      <c r="AK406" s="2">
        <f t="shared" ca="1" si="235"/>
        <v>1.1003181061977615E-2</v>
      </c>
      <c r="AL406" s="2">
        <f t="shared" ca="1" si="236"/>
        <v>3.8166200434979988E-4</v>
      </c>
      <c r="AM406" s="2">
        <f t="shared" ca="1" si="237"/>
        <v>-2.9961740569641025E-5</v>
      </c>
      <c r="AN406" s="2">
        <f t="shared" ca="1" si="238"/>
        <v>0.21859887138203671</v>
      </c>
      <c r="AO406" s="2">
        <f t="shared" ca="1" si="239"/>
        <v>-6.153119410097854E-5</v>
      </c>
      <c r="AP406" s="2">
        <f t="shared" ca="1" si="240"/>
        <v>0.15794114791903724</v>
      </c>
      <c r="AQ406" s="2">
        <f t="shared" ca="1" si="241"/>
        <v>1.8991333761977049</v>
      </c>
      <c r="AS406" s="2">
        <f t="shared" ca="1" si="242"/>
        <v>8.6877547179951531</v>
      </c>
      <c r="AT406" s="2">
        <f t="shared" ca="1" si="243"/>
        <v>0.40023565198956546</v>
      </c>
      <c r="AU406" s="2">
        <f t="shared" ca="1" si="244"/>
        <v>1.5275474115058652E-4</v>
      </c>
      <c r="AV406" s="2">
        <f t="shared" ca="1" si="245"/>
        <v>0.15778839317788665</v>
      </c>
      <c r="AW406" s="2">
        <f t="shared" ca="1" si="246"/>
        <v>0.70862099162600334</v>
      </c>
      <c r="AX406" s="2">
        <f t="shared" ca="1" si="247"/>
        <v>5.2257929743411827E-2</v>
      </c>
      <c r="AY406" s="9">
        <f t="shared" ca="1" si="248"/>
        <v>0.70862099162600334</v>
      </c>
      <c r="AZ406" s="9">
        <f t="shared" ca="1" si="249"/>
        <v>0.70862099162600334</v>
      </c>
      <c r="BB406" s="2">
        <f t="shared" ca="1" si="250"/>
        <v>8.6877547179951531</v>
      </c>
      <c r="BC406" s="2">
        <f t="shared" ca="1" si="251"/>
        <v>0.40023565198956546</v>
      </c>
      <c r="BD406" s="2">
        <f t="shared" ca="1" si="252"/>
        <v>1.5275474115058652E-4</v>
      </c>
      <c r="BE406" s="2">
        <f t="shared" ca="1" si="253"/>
        <v>0.15778839317788665</v>
      </c>
      <c r="BF406" s="2">
        <f t="shared" ca="1" si="254"/>
        <v>0.70862099162600334</v>
      </c>
      <c r="BG406" s="2">
        <f t="shared" ca="1" si="255"/>
        <v>5.2257929743411827E-2</v>
      </c>
      <c r="BH406" s="2">
        <f t="shared" ca="1" si="256"/>
        <v>0.70862099162600334</v>
      </c>
      <c r="BI406" s="2">
        <f t="shared" ca="1" si="257"/>
        <v>0.70862099162600334</v>
      </c>
    </row>
    <row r="407" spans="1:61" ht="15" x14ac:dyDescent="0.25">
      <c r="A407" s="66">
        <v>341</v>
      </c>
      <c r="B407" s="66">
        <v>1498730299.1400001</v>
      </c>
      <c r="C407" s="67">
        <v>-9.3776370149656997E-5</v>
      </c>
      <c r="D407" s="67">
        <v>1.7356551838099601E-5</v>
      </c>
      <c r="E407" s="67">
        <v>1.2560844419784001E-2</v>
      </c>
      <c r="F407" s="67">
        <v>4.6638604868190102E-4</v>
      </c>
      <c r="G407" s="67">
        <v>1.9454051135497201E-5</v>
      </c>
      <c r="H407" s="67">
        <v>0.23163871780738901</v>
      </c>
      <c r="I407" s="67">
        <v>1.7356551838099601E-5</v>
      </c>
      <c r="J407" s="67">
        <v>0.16698882177731</v>
      </c>
      <c r="K407" s="67">
        <v>2.0062982768395998</v>
      </c>
      <c r="L407" s="67"/>
      <c r="M407" s="67"/>
      <c r="O407" s="11">
        <f t="shared" ca="1" si="215"/>
        <v>-1.0658030085961703E-4</v>
      </c>
      <c r="P407" s="11">
        <f t="shared" ca="1" si="216"/>
        <v>1.6591451607794859E-5</v>
      </c>
      <c r="Q407" s="11">
        <f t="shared" ca="1" si="217"/>
        <v>1.1724352807515716E-2</v>
      </c>
      <c r="R407" s="11">
        <f t="shared" ca="1" si="218"/>
        <v>4.5473956103555391E-4</v>
      </c>
      <c r="S407" s="11">
        <f t="shared" ca="1" si="219"/>
        <v>8.5263990885270784E-6</v>
      </c>
      <c r="T407" s="11">
        <f t="shared" ca="1" si="220"/>
        <v>0.23050016276880672</v>
      </c>
      <c r="U407" s="11">
        <f t="shared" ca="1" si="221"/>
        <v>1.6591451607794859E-5</v>
      </c>
      <c r="V407" s="11">
        <f t="shared" ca="1" si="222"/>
        <v>0.16633862577161623</v>
      </c>
      <c r="W407" s="11">
        <f t="shared" ca="1" si="223"/>
        <v>1.9991754285760948</v>
      </c>
      <c r="X407" s="11"/>
      <c r="Y407" s="2">
        <f t="shared" ca="1" si="224"/>
        <v>-1.0658030085961703E-4</v>
      </c>
      <c r="Z407" s="11">
        <f t="shared" ca="1" si="225"/>
        <v>1.6591451607794859E-5</v>
      </c>
      <c r="AA407" s="2">
        <f t="shared" ca="1" si="226"/>
        <v>1.1724225870495405E-2</v>
      </c>
      <c r="AB407" s="2">
        <f t="shared" ca="1" si="227"/>
        <v>4.5166710815755328E-4</v>
      </c>
      <c r="AC407" s="2">
        <f t="shared" ca="1" si="228"/>
        <v>8.5263990885270784E-6</v>
      </c>
      <c r="AD407" s="2">
        <f t="shared" ca="1" si="229"/>
        <v>0.23047781896829958</v>
      </c>
      <c r="AE407" s="2">
        <f t="shared" ca="1" si="230"/>
        <v>1.6591451607794859E-5</v>
      </c>
      <c r="AF407" s="2">
        <f t="shared" ca="1" si="231"/>
        <v>0.16630562935866589</v>
      </c>
      <c r="AG407" s="2">
        <f t="shared" ca="1" si="232"/>
        <v>1.9991620393993175</v>
      </c>
      <c r="AI407" s="2">
        <f t="shared" ca="1" si="233"/>
        <v>-1.0658030085961703E-4</v>
      </c>
      <c r="AJ407" s="11">
        <f t="shared" ca="1" si="234"/>
        <v>1.6591451607794859E-5</v>
      </c>
      <c r="AK407" s="2">
        <f t="shared" ca="1" si="235"/>
        <v>1.1704651027456341E-2</v>
      </c>
      <c r="AL407" s="2">
        <f t="shared" ca="1" si="236"/>
        <v>4.4250526396728476E-4</v>
      </c>
      <c r="AM407" s="2">
        <f t="shared" ca="1" si="237"/>
        <v>8.5263990885270784E-6</v>
      </c>
      <c r="AN407" s="2">
        <f t="shared" ca="1" si="238"/>
        <v>0.23047781896829958</v>
      </c>
      <c r="AO407" s="2">
        <f t="shared" ca="1" si="239"/>
        <v>1.6591451607794859E-5</v>
      </c>
      <c r="AP407" s="2">
        <f t="shared" ca="1" si="240"/>
        <v>0.16630562935866589</v>
      </c>
      <c r="AQ407" s="2">
        <f t="shared" ca="1" si="241"/>
        <v>1.9991620393993175</v>
      </c>
      <c r="AS407" s="2">
        <f t="shared" ca="1" si="242"/>
        <v>8.673206146848937</v>
      </c>
      <c r="AT407" s="2">
        <f t="shared" ca="1" si="243"/>
        <v>0.39955729246473509</v>
      </c>
      <c r="AU407" s="2">
        <f t="shared" ca="1" si="244"/>
        <v>1.8169450778396807E-4</v>
      </c>
      <c r="AV407" s="2">
        <f t="shared" ca="1" si="245"/>
        <v>0.16615693126383227</v>
      </c>
      <c r="AW407" s="2">
        <f t="shared" ca="1" si="246"/>
        <v>0.70827295351123787</v>
      </c>
      <c r="AX407" s="2">
        <f t="shared" ca="1" si="247"/>
        <v>5.2717486220341711E-2</v>
      </c>
      <c r="AY407" s="9">
        <f t="shared" ca="1" si="248"/>
        <v>0.70827295351123787</v>
      </c>
      <c r="AZ407" s="9">
        <f t="shared" ca="1" si="249"/>
        <v>0.70827295351123787</v>
      </c>
      <c r="BB407" s="2">
        <f t="shared" ca="1" si="250"/>
        <v>8.6739888825236005</v>
      </c>
      <c r="BC407" s="2">
        <f t="shared" ca="1" si="251"/>
        <v>0.39959378890739344</v>
      </c>
      <c r="BD407" s="2">
        <f t="shared" ca="1" si="252"/>
        <v>1.7682235504015359E-4</v>
      </c>
      <c r="BE407" s="2">
        <f t="shared" ca="1" si="253"/>
        <v>0.16612880700362573</v>
      </c>
      <c r="BF407" s="2">
        <f t="shared" ca="1" si="254"/>
        <v>0.70818953610824009</v>
      </c>
      <c r="BG407" s="2">
        <f t="shared" ca="1" si="255"/>
        <v>5.2638861632827286E-2</v>
      </c>
      <c r="BH407" s="2">
        <f t="shared" ca="1" si="256"/>
        <v>0.70818953610824009</v>
      </c>
      <c r="BI407" s="2">
        <f t="shared" ca="1" si="257"/>
        <v>0.70818953610824009</v>
      </c>
    </row>
    <row r="408" spans="1:61" ht="15" x14ac:dyDescent="0.25">
      <c r="A408" s="66">
        <v>342</v>
      </c>
      <c r="B408" s="66">
        <v>1498730299.6659999</v>
      </c>
      <c r="C408" s="67">
        <v>-5.0078671881992599E-5</v>
      </c>
      <c r="D408" s="67">
        <v>-2.8726250094258798E-5</v>
      </c>
      <c r="E408" s="67">
        <v>1.276344293098E-2</v>
      </c>
      <c r="F408" s="67">
        <v>4.19253983044242E-4</v>
      </c>
      <c r="G408" s="67">
        <v>-1.6652406697251299E-4</v>
      </c>
      <c r="H408" s="67">
        <v>0.23614518952115099</v>
      </c>
      <c r="I408" s="67">
        <v>-2.8726250094258798E-5</v>
      </c>
      <c r="J408" s="67">
        <v>0.17067748157943499</v>
      </c>
      <c r="K408" s="67">
        <v>2.0529281032325501</v>
      </c>
      <c r="L408" s="67"/>
      <c r="M408" s="67"/>
      <c r="O408" s="11">
        <f t="shared" ca="1" si="215"/>
        <v>-6.2882602591952626E-5</v>
      </c>
      <c r="P408" s="11">
        <f t="shared" ca="1" si="216"/>
        <v>-2.949135032456354E-5</v>
      </c>
      <c r="Q408" s="11">
        <f t="shared" ca="1" si="217"/>
        <v>1.1926951318711715E-2</v>
      </c>
      <c r="R408" s="11">
        <f t="shared" ca="1" si="218"/>
        <v>4.076074953978949E-4</v>
      </c>
      <c r="S408" s="11">
        <f t="shared" ca="1" si="219"/>
        <v>-1.7745171901948311E-4</v>
      </c>
      <c r="T408" s="11">
        <f t="shared" ca="1" si="220"/>
        <v>0.2350066344825687</v>
      </c>
      <c r="U408" s="11">
        <f t="shared" ca="1" si="221"/>
        <v>-2.949135032456354E-5</v>
      </c>
      <c r="V408" s="11">
        <f t="shared" ca="1" si="222"/>
        <v>0.17002728557374122</v>
      </c>
      <c r="W408" s="11">
        <f t="shared" ca="1" si="223"/>
        <v>2.0458052549690451</v>
      </c>
      <c r="X408" s="11"/>
      <c r="Y408" s="2">
        <f t="shared" ca="1" si="224"/>
        <v>-6.2882602591952626E-5</v>
      </c>
      <c r="Z408" s="11">
        <f t="shared" ca="1" si="225"/>
        <v>-2.949135032456354E-5</v>
      </c>
      <c r="AA408" s="2">
        <f t="shared" ca="1" si="226"/>
        <v>1.1926951318711715E-2</v>
      </c>
      <c r="AB408" s="2">
        <f t="shared" ca="1" si="227"/>
        <v>4.076074953978949E-4</v>
      </c>
      <c r="AC408" s="2">
        <f t="shared" ca="1" si="228"/>
        <v>-1.7745171901948311E-4</v>
      </c>
      <c r="AD408" s="2">
        <f t="shared" ca="1" si="229"/>
        <v>0.2350066344825687</v>
      </c>
      <c r="AE408" s="2">
        <f t="shared" ca="1" si="230"/>
        <v>-2.949135032456354E-5</v>
      </c>
      <c r="AF408" s="2">
        <f t="shared" ca="1" si="231"/>
        <v>0.17002728557374122</v>
      </c>
      <c r="AG408" s="2">
        <f t="shared" ca="1" si="232"/>
        <v>2.0458052549690451</v>
      </c>
      <c r="AI408" s="2">
        <f t="shared" ca="1" si="233"/>
        <v>-6.2882602591952626E-5</v>
      </c>
      <c r="AJ408" s="11">
        <f t="shared" ca="1" si="234"/>
        <v>-2.949135032456354E-5</v>
      </c>
      <c r="AK408" s="2">
        <f t="shared" ca="1" si="235"/>
        <v>1.1926951318711715E-2</v>
      </c>
      <c r="AL408" s="2">
        <f t="shared" ca="1" si="236"/>
        <v>4.076074953978949E-4</v>
      </c>
      <c r="AM408" s="2">
        <f t="shared" ca="1" si="237"/>
        <v>-1.7745171901948311E-4</v>
      </c>
      <c r="AN408" s="2">
        <f t="shared" ca="1" si="238"/>
        <v>0.2350066344825687</v>
      </c>
      <c r="AO408" s="2">
        <f t="shared" ca="1" si="239"/>
        <v>-2.949135032456354E-5</v>
      </c>
      <c r="AP408" s="2">
        <f t="shared" ca="1" si="240"/>
        <v>0.17002728557374122</v>
      </c>
      <c r="AQ408" s="2">
        <f t="shared" ca="1" si="241"/>
        <v>2.0458052549690451</v>
      </c>
      <c r="AS408" s="2">
        <f t="shared" ca="1" si="242"/>
        <v>8.7053085095807798</v>
      </c>
      <c r="AT408" s="2">
        <f t="shared" ca="1" si="243"/>
        <v>0.40105415494836372</v>
      </c>
      <c r="AU408" s="2">
        <f t="shared" ca="1" si="244"/>
        <v>1.6347267961742178E-4</v>
      </c>
      <c r="AV408" s="2">
        <f t="shared" ca="1" si="245"/>
        <v>0.16986381289412381</v>
      </c>
      <c r="AW408" s="2">
        <f t="shared" ca="1" si="246"/>
        <v>0.70886929098066553</v>
      </c>
      <c r="AX408" s="2">
        <f t="shared" ca="1" si="247"/>
        <v>5.2799301567797885E-2</v>
      </c>
      <c r="AY408" s="9">
        <f t="shared" ca="1" si="248"/>
        <v>0.70886929098066553</v>
      </c>
      <c r="AZ408" s="9">
        <f t="shared" ca="1" si="249"/>
        <v>0.70886929098066553</v>
      </c>
      <c r="BB408" s="2">
        <f t="shared" ca="1" si="250"/>
        <v>8.7053085095807798</v>
      </c>
      <c r="BC408" s="2">
        <f t="shared" ca="1" si="251"/>
        <v>0.40105415494836372</v>
      </c>
      <c r="BD408" s="2">
        <f t="shared" ca="1" si="252"/>
        <v>1.6347267961742178E-4</v>
      </c>
      <c r="BE408" s="2">
        <f t="shared" ca="1" si="253"/>
        <v>0.16986381289412381</v>
      </c>
      <c r="BF408" s="2">
        <f t="shared" ca="1" si="254"/>
        <v>0.70886929098066553</v>
      </c>
      <c r="BG408" s="2">
        <f t="shared" ca="1" si="255"/>
        <v>5.2799301567797885E-2</v>
      </c>
      <c r="BH408" s="2">
        <f t="shared" ca="1" si="256"/>
        <v>0.70886929098066553</v>
      </c>
      <c r="BI408" s="2">
        <f t="shared" ca="1" si="257"/>
        <v>0.70886929098066553</v>
      </c>
    </row>
    <row r="409" spans="1:61" ht="15" x14ac:dyDescent="0.25">
      <c r="A409" s="66">
        <v>343</v>
      </c>
      <c r="B409" s="66">
        <v>1498730300.1930001</v>
      </c>
      <c r="C409" s="67">
        <v>1.0181532615134299E-4</v>
      </c>
      <c r="D409" s="67">
        <v>-8.6281837057244092E-6</v>
      </c>
      <c r="E409" s="67">
        <v>1.28181346221494E-2</v>
      </c>
      <c r="F409" s="67">
        <v>4.7709819194886101E-4</v>
      </c>
      <c r="G409" s="67">
        <v>1.3732847631364E-5</v>
      </c>
      <c r="H409" s="67">
        <v>0.23677447194478099</v>
      </c>
      <c r="I409" s="67">
        <v>-8.6281837057244092E-6</v>
      </c>
      <c r="J409" s="67">
        <v>0.170806262683495</v>
      </c>
      <c r="K409" s="67">
        <v>2.05370950056815</v>
      </c>
      <c r="L409" s="67"/>
      <c r="M409" s="67"/>
      <c r="O409" s="11">
        <f t="shared" ca="1" si="215"/>
        <v>8.9011395441382959E-5</v>
      </c>
      <c r="P409" s="11">
        <f t="shared" ca="1" si="216"/>
        <v>-9.3932839360291495E-6</v>
      </c>
      <c r="Q409" s="11">
        <f t="shared" ca="1" si="217"/>
        <v>1.1981643009881115E-2</v>
      </c>
      <c r="R409" s="11">
        <f t="shared" ca="1" si="218"/>
        <v>4.6545170430251391E-4</v>
      </c>
      <c r="S409" s="11">
        <f t="shared" ca="1" si="219"/>
        <v>2.8051955843938779E-6</v>
      </c>
      <c r="T409" s="11">
        <f t="shared" ca="1" si="220"/>
        <v>0.2356359169061987</v>
      </c>
      <c r="U409" s="11">
        <f t="shared" ca="1" si="221"/>
        <v>-9.3932839360291495E-6</v>
      </c>
      <c r="V409" s="11">
        <f t="shared" ca="1" si="222"/>
        <v>0.17015606667780123</v>
      </c>
      <c r="W409" s="11">
        <f t="shared" ca="1" si="223"/>
        <v>2.046586652304645</v>
      </c>
      <c r="X409" s="11"/>
      <c r="Y409" s="2">
        <f t="shared" ca="1" si="224"/>
        <v>8.9011395441382959E-5</v>
      </c>
      <c r="Z409" s="11">
        <f t="shared" ca="1" si="225"/>
        <v>-9.3932839360291495E-6</v>
      </c>
      <c r="AA409" s="2">
        <f t="shared" ca="1" si="226"/>
        <v>1.1981643009881115E-2</v>
      </c>
      <c r="AB409" s="2">
        <f t="shared" ca="1" si="227"/>
        <v>4.6545170430251391E-4</v>
      </c>
      <c r="AC409" s="2">
        <f t="shared" ca="1" si="228"/>
        <v>2.8051955843938779E-6</v>
      </c>
      <c r="AD409" s="2">
        <f t="shared" ca="1" si="229"/>
        <v>0.2356359169061987</v>
      </c>
      <c r="AE409" s="2">
        <f t="shared" ca="1" si="230"/>
        <v>-9.3932839360291495E-6</v>
      </c>
      <c r="AF409" s="2">
        <f t="shared" ca="1" si="231"/>
        <v>0.17015606667780123</v>
      </c>
      <c r="AG409" s="2">
        <f t="shared" ca="1" si="232"/>
        <v>2.046586652304645</v>
      </c>
      <c r="AI409" s="2">
        <f t="shared" ca="1" si="233"/>
        <v>8.9011395441382959E-5</v>
      </c>
      <c r="AJ409" s="11">
        <f t="shared" ca="1" si="234"/>
        <v>-9.3932839360291495E-6</v>
      </c>
      <c r="AK409" s="2">
        <f t="shared" ca="1" si="235"/>
        <v>1.1981643009881115E-2</v>
      </c>
      <c r="AL409" s="2">
        <f t="shared" ca="1" si="236"/>
        <v>4.6545170430251391E-4</v>
      </c>
      <c r="AM409" s="2">
        <f t="shared" ca="1" si="237"/>
        <v>2.8051955843938779E-6</v>
      </c>
      <c r="AN409" s="2">
        <f t="shared" ca="1" si="238"/>
        <v>0.2356359169061987</v>
      </c>
      <c r="AO409" s="2">
        <f t="shared" ca="1" si="239"/>
        <v>-9.3932839360291495E-6</v>
      </c>
      <c r="AP409" s="2">
        <f t="shared" ca="1" si="240"/>
        <v>0.17015606667780123</v>
      </c>
      <c r="AQ409" s="2">
        <f t="shared" ca="1" si="241"/>
        <v>2.046586652304645</v>
      </c>
      <c r="AS409" s="2">
        <f t="shared" ca="1" si="242"/>
        <v>8.6853764874874511</v>
      </c>
      <c r="AT409" s="2">
        <f t="shared" ca="1" si="243"/>
        <v>0.40012476075389591</v>
      </c>
      <c r="AU409" s="2">
        <f t="shared" ca="1" si="244"/>
        <v>1.8623875182653649E-4</v>
      </c>
      <c r="AV409" s="2">
        <f t="shared" ca="1" si="245"/>
        <v>0.1699698279259747</v>
      </c>
      <c r="AW409" s="2">
        <f t="shared" ca="1" si="246"/>
        <v>0.70823453427143446</v>
      </c>
      <c r="AX409" s="2">
        <f t="shared" ca="1" si="247"/>
        <v>5.2775830564569359E-2</v>
      </c>
      <c r="AY409" s="9">
        <f t="shared" ca="1" si="248"/>
        <v>0.70823453427143446</v>
      </c>
      <c r="AZ409" s="9">
        <f t="shared" ca="1" si="249"/>
        <v>0.70823453427143446</v>
      </c>
      <c r="BB409" s="2">
        <f t="shared" ca="1" si="250"/>
        <v>8.6853764874874511</v>
      </c>
      <c r="BC409" s="2">
        <f t="shared" ca="1" si="251"/>
        <v>0.40012476075389591</v>
      </c>
      <c r="BD409" s="2">
        <f t="shared" ca="1" si="252"/>
        <v>1.8623875182653649E-4</v>
      </c>
      <c r="BE409" s="2">
        <f t="shared" ca="1" si="253"/>
        <v>0.1699698279259747</v>
      </c>
      <c r="BF409" s="2">
        <f t="shared" ca="1" si="254"/>
        <v>0.70823453427143446</v>
      </c>
      <c r="BG409" s="2">
        <f t="shared" ca="1" si="255"/>
        <v>5.2775830564569359E-2</v>
      </c>
      <c r="BH409" s="2">
        <f t="shared" ca="1" si="256"/>
        <v>0.70823453427143446</v>
      </c>
      <c r="BI409" s="2">
        <f t="shared" ca="1" si="257"/>
        <v>0.70823453427143446</v>
      </c>
    </row>
    <row r="410" spans="1:61" ht="15" x14ac:dyDescent="0.25">
      <c r="A410" s="66">
        <v>344</v>
      </c>
      <c r="B410" s="66">
        <v>1498730300.72</v>
      </c>
      <c r="C410" s="67">
        <v>-5.3621800197996E-5</v>
      </c>
      <c r="D410" s="67">
        <v>8.4973544201547898E-6</v>
      </c>
      <c r="E410" s="67">
        <v>1.2590231936880501E-2</v>
      </c>
      <c r="F410" s="67">
        <v>3.9259440544203098E-4</v>
      </c>
      <c r="G410" s="67">
        <v>-1.36442970895719E-5</v>
      </c>
      <c r="H410" s="67">
        <v>0.23220036436650601</v>
      </c>
      <c r="I410" s="67">
        <v>8.4973544201547898E-6</v>
      </c>
      <c r="J410" s="67">
        <v>0.16772925989756499</v>
      </c>
      <c r="K410" s="67">
        <v>2.0175959637929899</v>
      </c>
      <c r="L410" s="67"/>
      <c r="M410" s="67"/>
      <c r="O410" s="11">
        <f t="shared" ca="1" si="215"/>
        <v>-6.6425730907956028E-5</v>
      </c>
      <c r="P410" s="11">
        <f t="shared" ca="1" si="216"/>
        <v>7.7322541898500495E-6</v>
      </c>
      <c r="Q410" s="11">
        <f t="shared" ca="1" si="217"/>
        <v>1.1753740324612216E-2</v>
      </c>
      <c r="R410" s="11">
        <f t="shared" ca="1" si="218"/>
        <v>3.8094791779568388E-4</v>
      </c>
      <c r="S410" s="11">
        <f t="shared" ca="1" si="219"/>
        <v>-2.4571949136542025E-5</v>
      </c>
      <c r="T410" s="11">
        <f t="shared" ca="1" si="220"/>
        <v>0.23106180932792372</v>
      </c>
      <c r="U410" s="11">
        <f t="shared" ca="1" si="221"/>
        <v>7.7322541898500495E-6</v>
      </c>
      <c r="V410" s="11">
        <f t="shared" ca="1" si="222"/>
        <v>0.16707906389187122</v>
      </c>
      <c r="W410" s="11">
        <f t="shared" ca="1" si="223"/>
        <v>2.0104731155294848</v>
      </c>
      <c r="X410" s="11"/>
      <c r="Y410" s="2">
        <f t="shared" ca="1" si="224"/>
        <v>-6.6425730907956028E-5</v>
      </c>
      <c r="Z410" s="11">
        <f t="shared" ca="1" si="225"/>
        <v>7.7322541898500495E-6</v>
      </c>
      <c r="AA410" s="2">
        <f t="shared" ca="1" si="226"/>
        <v>1.1753681167081557E-2</v>
      </c>
      <c r="AB410" s="2">
        <f t="shared" ca="1" si="227"/>
        <v>3.79516036655888E-4</v>
      </c>
      <c r="AC410" s="2">
        <f t="shared" ca="1" si="228"/>
        <v>-2.4571949136542025E-5</v>
      </c>
      <c r="AD410" s="2">
        <f t="shared" ca="1" si="229"/>
        <v>0.23105139625803853</v>
      </c>
      <c r="AE410" s="2">
        <f t="shared" ca="1" si="230"/>
        <v>7.7322541898500495E-6</v>
      </c>
      <c r="AF410" s="2">
        <f t="shared" ca="1" si="231"/>
        <v>0.16706368629512341</v>
      </c>
      <c r="AG410" s="2">
        <f t="shared" ca="1" si="232"/>
        <v>2.0104668756584547</v>
      </c>
      <c r="AI410" s="2">
        <f t="shared" ca="1" si="233"/>
        <v>-6.6425730907956028E-5</v>
      </c>
      <c r="AJ410" s="11">
        <f t="shared" ca="1" si="234"/>
        <v>7.7322541898500495E-6</v>
      </c>
      <c r="AK410" s="2">
        <f t="shared" ca="1" si="235"/>
        <v>1.1744558537809424E-2</v>
      </c>
      <c r="AL410" s="2">
        <f t="shared" ca="1" si="236"/>
        <v>3.7524626510113899E-4</v>
      </c>
      <c r="AM410" s="2">
        <f t="shared" ca="1" si="237"/>
        <v>-2.4571949136542025E-5</v>
      </c>
      <c r="AN410" s="2">
        <f t="shared" ca="1" si="238"/>
        <v>0.23105139625803853</v>
      </c>
      <c r="AO410" s="2">
        <f t="shared" ca="1" si="239"/>
        <v>7.7322541898500495E-6</v>
      </c>
      <c r="AP410" s="2">
        <f t="shared" ca="1" si="240"/>
        <v>0.16706368629512341</v>
      </c>
      <c r="AQ410" s="2">
        <f t="shared" ca="1" si="241"/>
        <v>2.0104668756584547</v>
      </c>
      <c r="AS410" s="2">
        <f t="shared" ca="1" si="242"/>
        <v>8.7010186641281528</v>
      </c>
      <c r="AT410" s="2">
        <f t="shared" ca="1" si="243"/>
        <v>0.40085412502034928</v>
      </c>
      <c r="AU410" s="2">
        <f t="shared" ca="1" si="244"/>
        <v>1.527045442663128E-4</v>
      </c>
      <c r="AV410" s="2">
        <f t="shared" ca="1" si="245"/>
        <v>0.16692635934760491</v>
      </c>
      <c r="AW410" s="2">
        <f t="shared" ca="1" si="246"/>
        <v>0.708679665594943</v>
      </c>
      <c r="AX410" s="2">
        <f t="shared" ca="1" si="247"/>
        <v>5.2894160933096082E-2</v>
      </c>
      <c r="AY410" s="9">
        <f t="shared" ca="1" si="248"/>
        <v>0.708679665594943</v>
      </c>
      <c r="AZ410" s="9">
        <f t="shared" ca="1" si="249"/>
        <v>0.708679665594943</v>
      </c>
      <c r="BB410" s="2">
        <f t="shared" ca="1" si="250"/>
        <v>8.7013837969330527</v>
      </c>
      <c r="BC410" s="2">
        <f t="shared" ca="1" si="251"/>
        <v>0.40087115064277168</v>
      </c>
      <c r="BD410" s="2">
        <f t="shared" ca="1" si="252"/>
        <v>1.5042540206549611E-4</v>
      </c>
      <c r="BE410" s="2">
        <f t="shared" ca="1" si="253"/>
        <v>0.16691326089305791</v>
      </c>
      <c r="BF410" s="2">
        <f t="shared" ca="1" si="254"/>
        <v>0.70864101746212782</v>
      </c>
      <c r="BG410" s="2">
        <f t="shared" ca="1" si="255"/>
        <v>5.2857492662869675E-2</v>
      </c>
      <c r="BH410" s="2">
        <f t="shared" ca="1" si="256"/>
        <v>0.70864101746212782</v>
      </c>
      <c r="BI410" s="2">
        <f t="shared" ca="1" si="257"/>
        <v>0.70864101746212782</v>
      </c>
    </row>
    <row r="411" spans="1:61" ht="15" x14ac:dyDescent="0.25">
      <c r="A411" s="66">
        <v>345</v>
      </c>
      <c r="B411" s="66">
        <v>1498730301.247</v>
      </c>
      <c r="C411" s="67">
        <v>-7.4171694913683703E-5</v>
      </c>
      <c r="D411" s="67">
        <v>-2.47353013330061E-5</v>
      </c>
      <c r="E411" s="67">
        <v>1.2785126507572299E-2</v>
      </c>
      <c r="F411" s="67">
        <v>4.7471770573936499E-4</v>
      </c>
      <c r="G411" s="67">
        <v>-9.0159808516851101E-5</v>
      </c>
      <c r="H411" s="67">
        <v>0.23532150619961201</v>
      </c>
      <c r="I411" s="67">
        <v>-2.47353013330061E-5</v>
      </c>
      <c r="J411" s="67">
        <v>0.16987081911383101</v>
      </c>
      <c r="K411" s="67">
        <v>2.0419794978799302</v>
      </c>
      <c r="L411" s="67"/>
      <c r="M411" s="67"/>
      <c r="O411" s="11">
        <f t="shared" ca="1" si="215"/>
        <v>-8.6975625623643725E-5</v>
      </c>
      <c r="P411" s="11">
        <f t="shared" ca="1" si="216"/>
        <v>-2.5500401563310842E-5</v>
      </c>
      <c r="Q411" s="11">
        <f t="shared" ca="1" si="217"/>
        <v>1.1948634895304015E-2</v>
      </c>
      <c r="R411" s="11">
        <f t="shared" ca="1" si="218"/>
        <v>4.6307121809301789E-4</v>
      </c>
      <c r="S411" s="11">
        <f t="shared" ca="1" si="219"/>
        <v>-1.0108746056382123E-4</v>
      </c>
      <c r="T411" s="11">
        <f t="shared" ca="1" si="220"/>
        <v>0.23418295116102972</v>
      </c>
      <c r="U411" s="11">
        <f t="shared" ca="1" si="221"/>
        <v>-2.5500401563310842E-5</v>
      </c>
      <c r="V411" s="11">
        <f t="shared" ca="1" si="222"/>
        <v>0.16922062310813724</v>
      </c>
      <c r="W411" s="11">
        <f t="shared" ca="1" si="223"/>
        <v>2.0348566496164251</v>
      </c>
      <c r="X411" s="11"/>
      <c r="Y411" s="2">
        <f t="shared" ca="1" si="224"/>
        <v>-8.6975625623643725E-5</v>
      </c>
      <c r="Z411" s="11">
        <f t="shared" ca="1" si="225"/>
        <v>-2.5500401563310842E-5</v>
      </c>
      <c r="AA411" s="2">
        <f t="shared" ca="1" si="226"/>
        <v>1.1948634895304015E-2</v>
      </c>
      <c r="AB411" s="2">
        <f t="shared" ca="1" si="227"/>
        <v>4.6307121809301789E-4</v>
      </c>
      <c r="AC411" s="2">
        <f t="shared" ca="1" si="228"/>
        <v>-1.0108746056382123E-4</v>
      </c>
      <c r="AD411" s="2">
        <f t="shared" ca="1" si="229"/>
        <v>0.23418295116102972</v>
      </c>
      <c r="AE411" s="2">
        <f t="shared" ca="1" si="230"/>
        <v>-2.5500401563310842E-5</v>
      </c>
      <c r="AF411" s="2">
        <f t="shared" ca="1" si="231"/>
        <v>0.16922062310813724</v>
      </c>
      <c r="AG411" s="2">
        <f t="shared" ca="1" si="232"/>
        <v>2.0348566496164251</v>
      </c>
      <c r="AI411" s="2">
        <f t="shared" ca="1" si="233"/>
        <v>-8.6975625623643725E-5</v>
      </c>
      <c r="AJ411" s="11">
        <f t="shared" ca="1" si="234"/>
        <v>-2.5500401563310842E-5</v>
      </c>
      <c r="AK411" s="2">
        <f t="shared" ca="1" si="235"/>
        <v>1.1948634895304015E-2</v>
      </c>
      <c r="AL411" s="2">
        <f t="shared" ca="1" si="236"/>
        <v>4.6307121809301789E-4</v>
      </c>
      <c r="AM411" s="2">
        <f t="shared" ca="1" si="237"/>
        <v>-1.0108746056382123E-4</v>
      </c>
      <c r="AN411" s="2">
        <f t="shared" ca="1" si="238"/>
        <v>0.23418295116102972</v>
      </c>
      <c r="AO411" s="2">
        <f t="shared" ca="1" si="239"/>
        <v>-2.5500401563310842E-5</v>
      </c>
      <c r="AP411" s="2">
        <f t="shared" ca="1" si="240"/>
        <v>0.16922062310813724</v>
      </c>
      <c r="AQ411" s="2">
        <f t="shared" ca="1" si="241"/>
        <v>2.0348566496164251</v>
      </c>
      <c r="AS411" s="2">
        <f t="shared" ca="1" si="242"/>
        <v>8.6891750211876424</v>
      </c>
      <c r="AT411" s="2">
        <f t="shared" ca="1" si="243"/>
        <v>0.4003018775270647</v>
      </c>
      <c r="AU411" s="2">
        <f t="shared" ca="1" si="244"/>
        <v>1.8536827803137992E-4</v>
      </c>
      <c r="AV411" s="2">
        <f t="shared" ca="1" si="245"/>
        <v>0.16903525483010587</v>
      </c>
      <c r="AW411" s="2">
        <f t="shared" ca="1" si="246"/>
        <v>0.70855430494599292</v>
      </c>
      <c r="AX411" s="2">
        <f t="shared" ca="1" si="247"/>
        <v>5.2980678715063907E-2</v>
      </c>
      <c r="AY411" s="9">
        <f t="shared" ca="1" si="248"/>
        <v>0.70855430494599292</v>
      </c>
      <c r="AZ411" s="9">
        <f t="shared" ca="1" si="249"/>
        <v>0.70855430494599292</v>
      </c>
      <c r="BB411" s="2">
        <f t="shared" ca="1" si="250"/>
        <v>8.6891750211876424</v>
      </c>
      <c r="BC411" s="2">
        <f t="shared" ca="1" si="251"/>
        <v>0.4003018775270647</v>
      </c>
      <c r="BD411" s="2">
        <f t="shared" ca="1" si="252"/>
        <v>1.8536827803137992E-4</v>
      </c>
      <c r="BE411" s="2">
        <f t="shared" ca="1" si="253"/>
        <v>0.16903525483010587</v>
      </c>
      <c r="BF411" s="2">
        <f t="shared" ca="1" si="254"/>
        <v>0.70855430494599292</v>
      </c>
      <c r="BG411" s="2">
        <f t="shared" ca="1" si="255"/>
        <v>5.2980678715063907E-2</v>
      </c>
      <c r="BH411" s="2">
        <f t="shared" ca="1" si="256"/>
        <v>0.70855430494599292</v>
      </c>
      <c r="BI411" s="2">
        <f t="shared" ca="1" si="257"/>
        <v>0.70855430494599292</v>
      </c>
    </row>
    <row r="412" spans="1:61" ht="15" x14ac:dyDescent="0.25">
      <c r="A412" s="66">
        <v>346</v>
      </c>
      <c r="B412" s="66">
        <v>1498730301.7739999</v>
      </c>
      <c r="C412" s="67">
        <v>-6.1652844203332604E-5</v>
      </c>
      <c r="D412" s="67">
        <v>-3.04737155582298E-5</v>
      </c>
      <c r="E412" s="67">
        <v>1.28383737068934E-2</v>
      </c>
      <c r="F412" s="67">
        <v>5.0066531151879195E-4</v>
      </c>
      <c r="G412" s="67">
        <v>-1.0154045844907E-4</v>
      </c>
      <c r="H412" s="67">
        <v>0.23585503470452701</v>
      </c>
      <c r="I412" s="67">
        <v>-3.04737155582298E-5</v>
      </c>
      <c r="J412" s="67">
        <v>0.17034875920063899</v>
      </c>
      <c r="K412" s="67">
        <v>2.04768314066557</v>
      </c>
      <c r="L412" s="67"/>
      <c r="M412" s="67"/>
      <c r="O412" s="11">
        <f t="shared" ca="1" si="215"/>
        <v>-7.4456774913292639E-5</v>
      </c>
      <c r="P412" s="11">
        <f t="shared" ca="1" si="216"/>
        <v>-3.1238815788534539E-5</v>
      </c>
      <c r="Q412" s="11">
        <f t="shared" ca="1" si="217"/>
        <v>1.2001882094625115E-2</v>
      </c>
      <c r="R412" s="11">
        <f t="shared" ca="1" si="218"/>
        <v>4.8901882387244479E-4</v>
      </c>
      <c r="S412" s="11">
        <f t="shared" ca="1" si="219"/>
        <v>-1.1246811049604013E-4</v>
      </c>
      <c r="T412" s="11">
        <f t="shared" ca="1" si="220"/>
        <v>0.23471647966594472</v>
      </c>
      <c r="U412" s="11">
        <f t="shared" ca="1" si="221"/>
        <v>-3.1238815788534539E-5</v>
      </c>
      <c r="V412" s="11">
        <f t="shared" ca="1" si="222"/>
        <v>0.16969856319494522</v>
      </c>
      <c r="W412" s="11">
        <f t="shared" ca="1" si="223"/>
        <v>2.0405602924020649</v>
      </c>
      <c r="X412" s="11"/>
      <c r="Y412" s="2">
        <f t="shared" ca="1" si="224"/>
        <v>-7.4456774913292639E-5</v>
      </c>
      <c r="Z412" s="11">
        <f t="shared" ca="1" si="225"/>
        <v>-3.1238815788534539E-5</v>
      </c>
      <c r="AA412" s="2">
        <f t="shared" ca="1" si="226"/>
        <v>1.2001882094625115E-2</v>
      </c>
      <c r="AB412" s="2">
        <f t="shared" ca="1" si="227"/>
        <v>4.8901882387244479E-4</v>
      </c>
      <c r="AC412" s="2">
        <f t="shared" ca="1" si="228"/>
        <v>-1.1246811049604013E-4</v>
      </c>
      <c r="AD412" s="2">
        <f t="shared" ca="1" si="229"/>
        <v>0.23471647966594472</v>
      </c>
      <c r="AE412" s="2">
        <f t="shared" ca="1" si="230"/>
        <v>-3.1238815788534539E-5</v>
      </c>
      <c r="AF412" s="2">
        <f t="shared" ca="1" si="231"/>
        <v>0.16969856319494522</v>
      </c>
      <c r="AG412" s="2">
        <f t="shared" ca="1" si="232"/>
        <v>2.0405602924020649</v>
      </c>
      <c r="AI412" s="2">
        <f t="shared" ca="1" si="233"/>
        <v>-7.4456774913292639E-5</v>
      </c>
      <c r="AJ412" s="11">
        <f t="shared" ca="1" si="234"/>
        <v>-3.1238815788534539E-5</v>
      </c>
      <c r="AK412" s="2">
        <f t="shared" ca="1" si="235"/>
        <v>1.2001882094625115E-2</v>
      </c>
      <c r="AL412" s="2">
        <f t="shared" ca="1" si="236"/>
        <v>4.8901882387244479E-4</v>
      </c>
      <c r="AM412" s="2">
        <f t="shared" ca="1" si="237"/>
        <v>-1.1246811049604013E-4</v>
      </c>
      <c r="AN412" s="2">
        <f t="shared" ca="1" si="238"/>
        <v>0.23471647966594472</v>
      </c>
      <c r="AO412" s="2">
        <f t="shared" ca="1" si="239"/>
        <v>-3.1238815788534539E-5</v>
      </c>
      <c r="AP412" s="2">
        <f t="shared" ca="1" si="240"/>
        <v>0.16969856319494522</v>
      </c>
      <c r="AQ412" s="2">
        <f t="shared" ca="1" si="241"/>
        <v>2.0405602924020649</v>
      </c>
      <c r="AS412" s="2">
        <f t="shared" ca="1" si="242"/>
        <v>8.6937239997219162</v>
      </c>
      <c r="AT412" s="2">
        <f t="shared" ca="1" si="243"/>
        <v>0.40051398702947705</v>
      </c>
      <c r="AU412" s="2">
        <f t="shared" ca="1" si="244"/>
        <v>1.9585887888161848E-4</v>
      </c>
      <c r="AV412" s="2">
        <f t="shared" ca="1" si="245"/>
        <v>0.1695027043160636</v>
      </c>
      <c r="AW412" s="2">
        <f t="shared" ca="1" si="246"/>
        <v>0.70871186418486343</v>
      </c>
      <c r="AX412" s="2">
        <f t="shared" ca="1" si="247"/>
        <v>5.3124256228160104E-2</v>
      </c>
      <c r="AY412" s="9">
        <f t="shared" ca="1" si="248"/>
        <v>0.70871186418486343</v>
      </c>
      <c r="AZ412" s="9">
        <f t="shared" ca="1" si="249"/>
        <v>0.70871186418486343</v>
      </c>
      <c r="BB412" s="2">
        <f t="shared" ca="1" si="250"/>
        <v>8.6937239997219162</v>
      </c>
      <c r="BC412" s="2">
        <f t="shared" ca="1" si="251"/>
        <v>0.40051398702947705</v>
      </c>
      <c r="BD412" s="2">
        <f t="shared" ca="1" si="252"/>
        <v>1.9585887888161848E-4</v>
      </c>
      <c r="BE412" s="2">
        <f t="shared" ca="1" si="253"/>
        <v>0.1695027043160636</v>
      </c>
      <c r="BF412" s="2">
        <f t="shared" ca="1" si="254"/>
        <v>0.70871186418486343</v>
      </c>
      <c r="BG412" s="2">
        <f t="shared" ca="1" si="255"/>
        <v>5.3124256228160104E-2</v>
      </c>
      <c r="BH412" s="2">
        <f t="shared" ca="1" si="256"/>
        <v>0.70871186418486343</v>
      </c>
      <c r="BI412" s="2">
        <f t="shared" ca="1" si="257"/>
        <v>0.70871186418486343</v>
      </c>
    </row>
    <row r="413" spans="1:61" ht="15" x14ac:dyDescent="0.25">
      <c r="A413" s="66">
        <v>347</v>
      </c>
      <c r="B413" s="66">
        <v>1498730302.3</v>
      </c>
      <c r="C413" s="67">
        <v>8.6459510851840098E-5</v>
      </c>
      <c r="D413" s="67">
        <v>-4.5183242411191502E-6</v>
      </c>
      <c r="E413" s="67">
        <v>1.55542539018286E-2</v>
      </c>
      <c r="F413" s="67">
        <v>5.5280061216450398E-4</v>
      </c>
      <c r="G413" s="67">
        <v>6.5117820102687305E-5</v>
      </c>
      <c r="H413" s="67">
        <v>0.28933491559119501</v>
      </c>
      <c r="I413" s="67">
        <v>-4.5183242411191502E-6</v>
      </c>
      <c r="J413" s="67">
        <v>0.20879771603269601</v>
      </c>
      <c r="K413" s="67">
        <v>2.5050117462355201</v>
      </c>
      <c r="L413" s="67"/>
      <c r="M413" s="67"/>
      <c r="O413" s="11">
        <f t="shared" ca="1" si="215"/>
        <v>7.3655580141880064E-5</v>
      </c>
      <c r="P413" s="11">
        <f t="shared" ca="1" si="216"/>
        <v>-5.2834244714238905E-6</v>
      </c>
      <c r="Q413" s="11">
        <f t="shared" ca="1" si="217"/>
        <v>1.4717762289560316E-2</v>
      </c>
      <c r="R413" s="11">
        <f t="shared" ca="1" si="218"/>
        <v>5.4115412451815682E-4</v>
      </c>
      <c r="S413" s="11">
        <f t="shared" ca="1" si="219"/>
        <v>5.4190168055717184E-5</v>
      </c>
      <c r="T413" s="11">
        <f t="shared" ca="1" si="220"/>
        <v>0.28819636055261272</v>
      </c>
      <c r="U413" s="11">
        <f t="shared" ca="1" si="221"/>
        <v>-5.2834244714238905E-6</v>
      </c>
      <c r="V413" s="11">
        <f t="shared" ca="1" si="222"/>
        <v>0.20814752002700224</v>
      </c>
      <c r="W413" s="11">
        <f t="shared" ca="1" si="223"/>
        <v>2.4978888979720151</v>
      </c>
      <c r="X413" s="11"/>
      <c r="Y413" s="2">
        <f t="shared" ca="1" si="224"/>
        <v>7.3655580141880064E-5</v>
      </c>
      <c r="Z413" s="11">
        <f t="shared" ca="1" si="225"/>
        <v>-5.2834244714238905E-6</v>
      </c>
      <c r="AA413" s="2">
        <f t="shared" ca="1" si="226"/>
        <v>1.4717762289560316E-2</v>
      </c>
      <c r="AB413" s="2">
        <f t="shared" ca="1" si="227"/>
        <v>5.4115412451815682E-4</v>
      </c>
      <c r="AC413" s="2">
        <f t="shared" ca="1" si="228"/>
        <v>5.4190168055717184E-5</v>
      </c>
      <c r="AD413" s="2">
        <f t="shared" ca="1" si="229"/>
        <v>0.28819636055261272</v>
      </c>
      <c r="AE413" s="2">
        <f t="shared" ca="1" si="230"/>
        <v>-5.2834244714238905E-6</v>
      </c>
      <c r="AF413" s="2">
        <f t="shared" ca="1" si="231"/>
        <v>0.20814752002700224</v>
      </c>
      <c r="AG413" s="2">
        <f t="shared" ca="1" si="232"/>
        <v>2.4978888979720151</v>
      </c>
      <c r="AI413" s="2">
        <f t="shared" ca="1" si="233"/>
        <v>7.3655580141880064E-5</v>
      </c>
      <c r="AJ413" s="11">
        <f t="shared" ca="1" si="234"/>
        <v>-5.2834244714238905E-6</v>
      </c>
      <c r="AK413" s="2">
        <f t="shared" ca="1" si="235"/>
        <v>1.4717762289560316E-2</v>
      </c>
      <c r="AL413" s="2">
        <f t="shared" ca="1" si="236"/>
        <v>5.4115412451815682E-4</v>
      </c>
      <c r="AM413" s="2">
        <f t="shared" ca="1" si="237"/>
        <v>5.4190168055717184E-5</v>
      </c>
      <c r="AN413" s="2">
        <f t="shared" ca="1" si="238"/>
        <v>0.28819636055261272</v>
      </c>
      <c r="AO413" s="2">
        <f t="shared" ca="1" si="239"/>
        <v>-5.2834244714238905E-6</v>
      </c>
      <c r="AP413" s="2">
        <f t="shared" ca="1" si="240"/>
        <v>0.20814752002700224</v>
      </c>
      <c r="AQ413" s="2">
        <f t="shared" ca="1" si="241"/>
        <v>2.4978888979720151</v>
      </c>
      <c r="AS413" s="2">
        <f t="shared" ca="1" si="242"/>
        <v>8.6673158994178348</v>
      </c>
      <c r="AT413" s="2">
        <f t="shared" ca="1" si="243"/>
        <v>0.39928265048615652</v>
      </c>
      <c r="AU413" s="2">
        <f t="shared" ca="1" si="244"/>
        <v>2.1607345315912524E-4</v>
      </c>
      <c r="AV413" s="2">
        <f t="shared" ca="1" si="245"/>
        <v>0.2079314465738431</v>
      </c>
      <c r="AW413" s="2">
        <f t="shared" ca="1" si="246"/>
        <v>0.70914279757817478</v>
      </c>
      <c r="AX413" s="2">
        <f t="shared" ca="1" si="247"/>
        <v>5.2891811307203378E-2</v>
      </c>
      <c r="AY413" s="9">
        <f t="shared" ca="1" si="248"/>
        <v>0.70914279757817478</v>
      </c>
      <c r="AZ413" s="9">
        <f t="shared" ca="1" si="249"/>
        <v>0.70914279757817478</v>
      </c>
      <c r="BB413" s="2">
        <f t="shared" ca="1" si="250"/>
        <v>8.6673158994178348</v>
      </c>
      <c r="BC413" s="2">
        <f t="shared" ca="1" si="251"/>
        <v>0.39928265048615652</v>
      </c>
      <c r="BD413" s="2">
        <f t="shared" ca="1" si="252"/>
        <v>2.1607345315912524E-4</v>
      </c>
      <c r="BE413" s="2">
        <f t="shared" ca="1" si="253"/>
        <v>0.2079314465738431</v>
      </c>
      <c r="BF413" s="2">
        <f t="shared" ca="1" si="254"/>
        <v>0.70914279757817478</v>
      </c>
      <c r="BG413" s="2">
        <f t="shared" ca="1" si="255"/>
        <v>5.2891811307203378E-2</v>
      </c>
      <c r="BH413" s="2">
        <f t="shared" ca="1" si="256"/>
        <v>0.70914279757817478</v>
      </c>
      <c r="BI413" s="2">
        <f t="shared" ca="1" si="257"/>
        <v>0.70914279757817478</v>
      </c>
    </row>
    <row r="414" spans="1:61" ht="15" x14ac:dyDescent="0.25">
      <c r="A414" s="66">
        <v>348</v>
      </c>
      <c r="B414" s="66">
        <v>1498730302.8269999</v>
      </c>
      <c r="C414" s="67">
        <v>-1.5355344765604501E-5</v>
      </c>
      <c r="D414" s="67">
        <v>1.1781071301807501E-5</v>
      </c>
      <c r="E414" s="67">
        <v>1.47870159194159E-2</v>
      </c>
      <c r="F414" s="67">
        <v>6.4660339302222798E-4</v>
      </c>
      <c r="G414" s="67">
        <v>-9.6429518534126994E-6</v>
      </c>
      <c r="H414" s="67">
        <v>0.27720340117964298</v>
      </c>
      <c r="I414" s="67">
        <v>1.1781071301807501E-5</v>
      </c>
      <c r="J414" s="67">
        <v>0.20042209290381399</v>
      </c>
      <c r="K414" s="67">
        <v>2.4086628038451598</v>
      </c>
      <c r="L414" s="67"/>
      <c r="M414" s="67"/>
      <c r="O414" s="11">
        <f t="shared" ca="1" si="215"/>
        <v>-2.8159275475564529E-5</v>
      </c>
      <c r="P414" s="11">
        <f t="shared" ca="1" si="216"/>
        <v>1.101597107150276E-5</v>
      </c>
      <c r="Q414" s="11">
        <f t="shared" ca="1" si="217"/>
        <v>1.3950524307147615E-2</v>
      </c>
      <c r="R414" s="11">
        <f t="shared" ca="1" si="218"/>
        <v>6.3495690537588082E-4</v>
      </c>
      <c r="S414" s="11">
        <f t="shared" ca="1" si="219"/>
        <v>-2.057060390038282E-5</v>
      </c>
      <c r="T414" s="11">
        <f t="shared" ca="1" si="220"/>
        <v>0.27606484614106069</v>
      </c>
      <c r="U414" s="11">
        <f t="shared" ca="1" si="221"/>
        <v>1.101597107150276E-5</v>
      </c>
      <c r="V414" s="11">
        <f t="shared" ca="1" si="222"/>
        <v>0.19977189689812022</v>
      </c>
      <c r="W414" s="11">
        <f t="shared" ca="1" si="223"/>
        <v>2.4015399555816548</v>
      </c>
      <c r="X414" s="11"/>
      <c r="Y414" s="2">
        <f t="shared" ca="1" si="224"/>
        <v>-2.8159275475564529E-5</v>
      </c>
      <c r="Z414" s="11">
        <f t="shared" ca="1" si="225"/>
        <v>1.101597107150276E-5</v>
      </c>
      <c r="AA414" s="2">
        <f t="shared" ca="1" si="226"/>
        <v>1.3950440026725582E-2</v>
      </c>
      <c r="AB414" s="2">
        <f t="shared" ca="1" si="227"/>
        <v>6.3291693606983717E-4</v>
      </c>
      <c r="AC414" s="2">
        <f t="shared" ca="1" si="228"/>
        <v>-2.057060390038282E-5</v>
      </c>
      <c r="AD414" s="2">
        <f t="shared" ca="1" si="229"/>
        <v>0.27605001087131864</v>
      </c>
      <c r="AE414" s="2">
        <f t="shared" ca="1" si="230"/>
        <v>1.101597107150276E-5</v>
      </c>
      <c r="AF414" s="2">
        <f t="shared" ca="1" si="231"/>
        <v>0.1997499887770518</v>
      </c>
      <c r="AG414" s="2">
        <f t="shared" ca="1" si="232"/>
        <v>2.4015310657757754</v>
      </c>
      <c r="AI414" s="2">
        <f t="shared" ca="1" si="233"/>
        <v>-2.8159275475564529E-5</v>
      </c>
      <c r="AJ414" s="11">
        <f t="shared" ca="1" si="234"/>
        <v>1.101597107150276E-5</v>
      </c>
      <c r="AK414" s="2">
        <f t="shared" ca="1" si="235"/>
        <v>1.3937443219107722E-2</v>
      </c>
      <c r="AL414" s="2">
        <f t="shared" ca="1" si="236"/>
        <v>6.2683388722351463E-4</v>
      </c>
      <c r="AM414" s="2">
        <f t="shared" ca="1" si="237"/>
        <v>-2.057060390038282E-5</v>
      </c>
      <c r="AN414" s="2">
        <f t="shared" ca="1" si="238"/>
        <v>0.27605001087131864</v>
      </c>
      <c r="AO414" s="2">
        <f t="shared" ca="1" si="239"/>
        <v>1.101597107150276E-5</v>
      </c>
      <c r="AP414" s="2">
        <f t="shared" ca="1" si="240"/>
        <v>0.1997499887770518</v>
      </c>
      <c r="AQ414" s="2">
        <f t="shared" ca="1" si="241"/>
        <v>2.4015310657757754</v>
      </c>
      <c r="AS414" s="2">
        <f t="shared" ca="1" si="242"/>
        <v>8.6991878507940896</v>
      </c>
      <c r="AT414" s="2">
        <f t="shared" ca="1" si="243"/>
        <v>0.40076875693393438</v>
      </c>
      <c r="AU414" s="2">
        <f t="shared" ca="1" si="244"/>
        <v>2.5447088967410952E-4</v>
      </c>
      <c r="AV414" s="2">
        <f t="shared" ca="1" si="245"/>
        <v>0.1995174260084461</v>
      </c>
      <c r="AW414" s="2">
        <f t="shared" ca="1" si="246"/>
        <v>0.70903711557724214</v>
      </c>
      <c r="AX414" s="2">
        <f t="shared" ca="1" si="247"/>
        <v>5.2534634740444529E-2</v>
      </c>
      <c r="AY414" s="9">
        <f t="shared" ca="1" si="248"/>
        <v>0.70903711557724214</v>
      </c>
      <c r="AZ414" s="9">
        <f t="shared" ca="1" si="249"/>
        <v>0.70903711557724214</v>
      </c>
      <c r="BB414" s="2">
        <f t="shared" ca="1" si="250"/>
        <v>8.6996231523253034</v>
      </c>
      <c r="BC414" s="2">
        <f t="shared" ca="1" si="251"/>
        <v>0.40078905437327089</v>
      </c>
      <c r="BD414" s="2">
        <f t="shared" ca="1" si="252"/>
        <v>2.5122816090943398E-4</v>
      </c>
      <c r="BE414" s="2">
        <f t="shared" ca="1" si="253"/>
        <v>0.19949876061614236</v>
      </c>
      <c r="BF414" s="2">
        <f t="shared" ca="1" si="254"/>
        <v>0.7089910182383119</v>
      </c>
      <c r="BG414" s="2">
        <f t="shared" ca="1" si="255"/>
        <v>5.2490882384718336E-2</v>
      </c>
      <c r="BH414" s="2">
        <f t="shared" ca="1" si="256"/>
        <v>0.7089910182383119</v>
      </c>
      <c r="BI414" s="2">
        <f t="shared" ca="1" si="257"/>
        <v>0.7089910182383119</v>
      </c>
    </row>
    <row r="415" spans="1:61" ht="15" x14ac:dyDescent="0.25">
      <c r="A415" s="66">
        <v>349</v>
      </c>
      <c r="B415" s="66">
        <v>1498730303.3540001</v>
      </c>
      <c r="C415" s="67">
        <v>1.03926688336099E-5</v>
      </c>
      <c r="D415" s="67">
        <v>4.5923993283052699E-5</v>
      </c>
      <c r="E415" s="67">
        <v>1.3847226793991901E-2</v>
      </c>
      <c r="F415" s="67">
        <v>5.43039915059957E-4</v>
      </c>
      <c r="G415" s="67">
        <v>1.9477595866720799E-5</v>
      </c>
      <c r="H415" s="67">
        <v>0.25637063619250999</v>
      </c>
      <c r="I415" s="67">
        <v>4.5923993283052699E-5</v>
      </c>
      <c r="J415" s="67">
        <v>0.18524422383710701</v>
      </c>
      <c r="K415" s="67">
        <v>2.2282710001544701</v>
      </c>
      <c r="L415" s="67"/>
      <c r="M415" s="67"/>
      <c r="O415" s="11">
        <f t="shared" ca="1" si="215"/>
        <v>-2.4112618763501281E-6</v>
      </c>
      <c r="P415" s="11">
        <f t="shared" ca="1" si="216"/>
        <v>4.515889305274796E-5</v>
      </c>
      <c r="Q415" s="11">
        <f t="shared" ca="1" si="217"/>
        <v>1.3010735181723616E-2</v>
      </c>
      <c r="R415" s="11">
        <f t="shared" ca="1" si="218"/>
        <v>5.3139342741360983E-4</v>
      </c>
      <c r="S415" s="11">
        <f t="shared" ca="1" si="219"/>
        <v>8.5499438197506769E-6</v>
      </c>
      <c r="T415" s="11">
        <f t="shared" ca="1" si="220"/>
        <v>0.2552320811539277</v>
      </c>
      <c r="U415" s="11">
        <f t="shared" ca="1" si="221"/>
        <v>4.515889305274796E-5</v>
      </c>
      <c r="V415" s="11">
        <f t="shared" ca="1" si="222"/>
        <v>0.18459402783141324</v>
      </c>
      <c r="W415" s="11">
        <f t="shared" ca="1" si="223"/>
        <v>2.221148151890965</v>
      </c>
      <c r="X415" s="11"/>
      <c r="Y415" s="2">
        <f t="shared" ca="1" si="224"/>
        <v>-2.4112618763501281E-6</v>
      </c>
      <c r="Z415" s="11">
        <f t="shared" ca="1" si="225"/>
        <v>4.515889305274796E-5</v>
      </c>
      <c r="AA415" s="2">
        <f t="shared" ca="1" si="226"/>
        <v>1.3010389682399011E-2</v>
      </c>
      <c r="AB415" s="2">
        <f t="shared" ca="1" si="227"/>
        <v>5.2303077330671701E-4</v>
      </c>
      <c r="AC415" s="2">
        <f t="shared" ca="1" si="228"/>
        <v>8.5499438197506769E-6</v>
      </c>
      <c r="AD415" s="2">
        <f t="shared" ca="1" si="229"/>
        <v>0.25517126542054003</v>
      </c>
      <c r="AE415" s="2">
        <f t="shared" ca="1" si="230"/>
        <v>4.515889305274796E-5</v>
      </c>
      <c r="AF415" s="2">
        <f t="shared" ca="1" si="231"/>
        <v>0.18450421763765965</v>
      </c>
      <c r="AG415" s="2">
        <f t="shared" ca="1" si="232"/>
        <v>2.2211117090036012</v>
      </c>
      <c r="AI415" s="2">
        <f t="shared" ca="1" si="233"/>
        <v>-2.4112618763501281E-6</v>
      </c>
      <c r="AJ415" s="11">
        <f t="shared" ca="1" si="234"/>
        <v>4.515889305274796E-5</v>
      </c>
      <c r="AK415" s="2">
        <f t="shared" ca="1" si="235"/>
        <v>1.2957110544188461E-2</v>
      </c>
      <c r="AL415" s="2">
        <f t="shared" ca="1" si="236"/>
        <v>4.9809391113608598E-4</v>
      </c>
      <c r="AM415" s="2">
        <f t="shared" ca="1" si="237"/>
        <v>8.5499438197506769E-6</v>
      </c>
      <c r="AN415" s="2">
        <f t="shared" ca="1" si="238"/>
        <v>0.25517126542054003</v>
      </c>
      <c r="AO415" s="2">
        <f t="shared" ca="1" si="239"/>
        <v>4.515889305274796E-5</v>
      </c>
      <c r="AP415" s="2">
        <f t="shared" ca="1" si="240"/>
        <v>0.18450421763765965</v>
      </c>
      <c r="AQ415" s="2">
        <f t="shared" ca="1" si="241"/>
        <v>2.2211117090036012</v>
      </c>
      <c r="AS415" s="2">
        <f t="shared" ca="1" si="242"/>
        <v>8.7024646033874351</v>
      </c>
      <c r="AT415" s="2">
        <f t="shared" ca="1" si="243"/>
        <v>0.40092154715850631</v>
      </c>
      <c r="AU415" s="2">
        <f t="shared" ca="1" si="244"/>
        <v>2.1304707506852587E-4</v>
      </c>
      <c r="AV415" s="2">
        <f t="shared" ca="1" si="245"/>
        <v>0.18438098075634471</v>
      </c>
      <c r="AW415" s="2">
        <f t="shared" ca="1" si="246"/>
        <v>0.70859443437426994</v>
      </c>
      <c r="AX415" s="2">
        <f t="shared" ca="1" si="247"/>
        <v>5.3015178649415913E-2</v>
      </c>
      <c r="AY415" s="9">
        <f t="shared" ca="1" si="248"/>
        <v>0.70859443437426994</v>
      </c>
      <c r="AZ415" s="9">
        <f t="shared" ca="1" si="249"/>
        <v>0.70859443437426994</v>
      </c>
      <c r="BB415" s="2">
        <f t="shared" ca="1" si="250"/>
        <v>8.7043958705266213</v>
      </c>
      <c r="BC415" s="2">
        <f t="shared" ca="1" si="251"/>
        <v>0.40101159967314454</v>
      </c>
      <c r="BD415" s="2">
        <f t="shared" ca="1" si="252"/>
        <v>1.9974143609213495E-4</v>
      </c>
      <c r="BE415" s="2">
        <f t="shared" ca="1" si="253"/>
        <v>0.18430447620156751</v>
      </c>
      <c r="BF415" s="2">
        <f t="shared" ca="1" si="254"/>
        <v>0.70839006697864437</v>
      </c>
      <c r="BG415" s="2">
        <f t="shared" ca="1" si="255"/>
        <v>5.2821248187332387E-2</v>
      </c>
      <c r="BH415" s="2">
        <f t="shared" ca="1" si="256"/>
        <v>0.70839006697864437</v>
      </c>
      <c r="BI415" s="2">
        <f t="shared" ca="1" si="257"/>
        <v>0.70839006697864437</v>
      </c>
    </row>
    <row r="416" spans="1:61" ht="15" x14ac:dyDescent="0.25">
      <c r="A416" s="66">
        <v>350</v>
      </c>
      <c r="B416" s="66">
        <v>1498730303.881</v>
      </c>
      <c r="C416" s="67">
        <v>7.8899812155650503E-5</v>
      </c>
      <c r="D416" s="67">
        <v>4.3111779140062399E-5</v>
      </c>
      <c r="E416" s="67">
        <v>1.3238178631955699E-2</v>
      </c>
      <c r="F416" s="67">
        <v>4.0425788308768798E-4</v>
      </c>
      <c r="G416" s="67">
        <v>4.09998245578313E-5</v>
      </c>
      <c r="H416" s="67">
        <v>0.24248991295017999</v>
      </c>
      <c r="I416" s="67">
        <v>4.3111779140062399E-5</v>
      </c>
      <c r="J416" s="67">
        <v>0.175116651917852</v>
      </c>
      <c r="K416" s="67">
        <v>2.1051582951942498</v>
      </c>
      <c r="L416" s="67"/>
      <c r="M416" s="67"/>
      <c r="O416" s="11">
        <f t="shared" ca="1" si="215"/>
        <v>6.6095881445690481E-5</v>
      </c>
      <c r="P416" s="11">
        <f t="shared" ca="1" si="216"/>
        <v>4.234667890975766E-5</v>
      </c>
      <c r="Q416" s="11">
        <f t="shared" ca="1" si="217"/>
        <v>1.2401687019687415E-2</v>
      </c>
      <c r="R416" s="11">
        <f t="shared" ca="1" si="218"/>
        <v>3.9261139544134087E-4</v>
      </c>
      <c r="S416" s="11">
        <f t="shared" ca="1" si="219"/>
        <v>3.007217251086118E-5</v>
      </c>
      <c r="T416" s="11">
        <f t="shared" ca="1" si="220"/>
        <v>0.2413513579115977</v>
      </c>
      <c r="U416" s="11">
        <f t="shared" ca="1" si="221"/>
        <v>4.234667890975766E-5</v>
      </c>
      <c r="V416" s="11">
        <f t="shared" ca="1" si="222"/>
        <v>0.17446645591215823</v>
      </c>
      <c r="W416" s="11">
        <f t="shared" ca="1" si="223"/>
        <v>2.0980354469307447</v>
      </c>
      <c r="X416" s="11"/>
      <c r="Y416" s="2">
        <f t="shared" ca="1" si="224"/>
        <v>6.6095881445690481E-5</v>
      </c>
      <c r="Z416" s="11">
        <f t="shared" ca="1" si="225"/>
        <v>4.234667890975766E-5</v>
      </c>
      <c r="AA416" s="2">
        <f t="shared" ca="1" si="226"/>
        <v>1.2401363035905406E-2</v>
      </c>
      <c r="AB416" s="2">
        <f t="shared" ca="1" si="227"/>
        <v>3.8476951526318171E-4</v>
      </c>
      <c r="AC416" s="2">
        <f t="shared" ca="1" si="228"/>
        <v>3.007217251086118E-5</v>
      </c>
      <c r="AD416" s="2">
        <f t="shared" ca="1" si="229"/>
        <v>0.24129432940269643</v>
      </c>
      <c r="AE416" s="2">
        <f t="shared" ca="1" si="230"/>
        <v>4.234667890975766E-5</v>
      </c>
      <c r="AF416" s="2">
        <f t="shared" ca="1" si="231"/>
        <v>0.17438223853700546</v>
      </c>
      <c r="AG416" s="2">
        <f t="shared" ca="1" si="232"/>
        <v>2.098001273479063</v>
      </c>
      <c r="AI416" s="2">
        <f t="shared" ca="1" si="233"/>
        <v>6.6095881445690481E-5</v>
      </c>
      <c r="AJ416" s="11">
        <f t="shared" ca="1" si="234"/>
        <v>4.234667890975766E-5</v>
      </c>
      <c r="AK416" s="2">
        <f t="shared" ca="1" si="235"/>
        <v>1.2351401790049458E-2</v>
      </c>
      <c r="AL416" s="2">
        <f t="shared" ca="1" si="236"/>
        <v>3.6138556530401994E-4</v>
      </c>
      <c r="AM416" s="2">
        <f t="shared" ca="1" si="237"/>
        <v>3.007217251086118E-5</v>
      </c>
      <c r="AN416" s="2">
        <f t="shared" ca="1" si="238"/>
        <v>0.24129432940269643</v>
      </c>
      <c r="AO416" s="2">
        <f t="shared" ca="1" si="239"/>
        <v>4.234667890975766E-5</v>
      </c>
      <c r="AP416" s="2">
        <f t="shared" ca="1" si="240"/>
        <v>0.17438223853700546</v>
      </c>
      <c r="AQ416" s="2">
        <f t="shared" ca="1" si="241"/>
        <v>2.098001273479063</v>
      </c>
      <c r="AS416" s="2">
        <f t="shared" ca="1" si="242"/>
        <v>8.6928677969121448</v>
      </c>
      <c r="AT416" s="2">
        <f t="shared" ca="1" si="243"/>
        <v>0.40047406395257407</v>
      </c>
      <c r="AU416" s="2">
        <f t="shared" ca="1" si="244"/>
        <v>1.5723068108648488E-4</v>
      </c>
      <c r="AV416" s="2">
        <f t="shared" ca="1" si="245"/>
        <v>0.17430922523107176</v>
      </c>
      <c r="AW416" s="2">
        <f t="shared" ca="1" si="246"/>
        <v>0.70880834333824028</v>
      </c>
      <c r="AX416" s="2">
        <f t="shared" ca="1" si="247"/>
        <v>5.3379480363819565E-2</v>
      </c>
      <c r="AY416" s="9">
        <f t="shared" ca="1" si="248"/>
        <v>0.70880834333824028</v>
      </c>
      <c r="AZ416" s="9">
        <f t="shared" ca="1" si="249"/>
        <v>0.70880834333824028</v>
      </c>
      <c r="BB416" s="2">
        <f t="shared" ca="1" si="250"/>
        <v>8.6947806799790381</v>
      </c>
      <c r="BC416" s="2">
        <f t="shared" ca="1" si="251"/>
        <v>0.40056325804678261</v>
      </c>
      <c r="BD416" s="2">
        <f t="shared" ca="1" si="252"/>
        <v>1.4475777944925655E-4</v>
      </c>
      <c r="BE416" s="2">
        <f t="shared" ca="1" si="253"/>
        <v>0.17423748075755621</v>
      </c>
      <c r="BF416" s="2">
        <f t="shared" ca="1" si="254"/>
        <v>0.70860553543768445</v>
      </c>
      <c r="BG416" s="2">
        <f t="shared" ca="1" si="255"/>
        <v>5.3187580382724566E-2</v>
      </c>
      <c r="BH416" s="2">
        <f t="shared" ca="1" si="256"/>
        <v>0.70860553543768445</v>
      </c>
      <c r="BI416" s="2">
        <f t="shared" ca="1" si="257"/>
        <v>0.70860553543768445</v>
      </c>
    </row>
    <row r="417" spans="1:61" ht="15" x14ac:dyDescent="0.25">
      <c r="A417" s="66">
        <v>351</v>
      </c>
      <c r="B417" s="66">
        <v>1498730304.408</v>
      </c>
      <c r="C417" s="67">
        <v>7.0158982337740504E-5</v>
      </c>
      <c r="D417" s="67">
        <v>-5.7909608510880103E-5</v>
      </c>
      <c r="E417" s="67">
        <v>1.4826050751356901E-2</v>
      </c>
      <c r="F417" s="67">
        <v>5.1923373674794598E-4</v>
      </c>
      <c r="G417" s="67">
        <v>7.4988109714666206E-5</v>
      </c>
      <c r="H417" s="67">
        <v>0.27144305676604302</v>
      </c>
      <c r="I417" s="67">
        <v>-5.7909608510880103E-5</v>
      </c>
      <c r="J417" s="67">
        <v>0.19587441554260199</v>
      </c>
      <c r="K417" s="67">
        <v>2.3539779751044501</v>
      </c>
      <c r="L417" s="67"/>
      <c r="M417" s="67"/>
      <c r="O417" s="11">
        <f t="shared" ca="1" si="215"/>
        <v>5.7355051627780476E-5</v>
      </c>
      <c r="P417" s="11">
        <f t="shared" ca="1" si="216"/>
        <v>-5.8674708741184841E-5</v>
      </c>
      <c r="Q417" s="11">
        <f t="shared" ca="1" si="217"/>
        <v>1.3989559139088616E-2</v>
      </c>
      <c r="R417" s="11">
        <f t="shared" ca="1" si="218"/>
        <v>5.0758724910159882E-4</v>
      </c>
      <c r="S417" s="11">
        <f t="shared" ca="1" si="219"/>
        <v>6.4060457667696079E-5</v>
      </c>
      <c r="T417" s="11">
        <f t="shared" ca="1" si="220"/>
        <v>0.27030450172746073</v>
      </c>
      <c r="U417" s="11">
        <f t="shared" ca="1" si="221"/>
        <v>-5.8674708741184841E-5</v>
      </c>
      <c r="V417" s="11">
        <f t="shared" ca="1" si="222"/>
        <v>0.19522421953690822</v>
      </c>
      <c r="W417" s="11">
        <f t="shared" ca="1" si="223"/>
        <v>2.346855126840945</v>
      </c>
      <c r="X417" s="11"/>
      <c r="Y417" s="2">
        <f t="shared" ca="1" si="224"/>
        <v>5.7355051627780476E-5</v>
      </c>
      <c r="Z417" s="11">
        <f t="shared" ca="1" si="225"/>
        <v>-5.8674708741184841E-5</v>
      </c>
      <c r="AA417" s="2">
        <f t="shared" ca="1" si="226"/>
        <v>1.3989559139088616E-2</v>
      </c>
      <c r="AB417" s="2">
        <f t="shared" ca="1" si="227"/>
        <v>5.0758724910159882E-4</v>
      </c>
      <c r="AC417" s="2">
        <f t="shared" ca="1" si="228"/>
        <v>6.4060457667696079E-5</v>
      </c>
      <c r="AD417" s="2">
        <f t="shared" ca="1" si="229"/>
        <v>0.27030450172746073</v>
      </c>
      <c r="AE417" s="2">
        <f t="shared" ca="1" si="230"/>
        <v>-5.8674708741184841E-5</v>
      </c>
      <c r="AF417" s="2">
        <f t="shared" ca="1" si="231"/>
        <v>0.19522421953690822</v>
      </c>
      <c r="AG417" s="2">
        <f t="shared" ca="1" si="232"/>
        <v>2.346855126840945</v>
      </c>
      <c r="AI417" s="2">
        <f t="shared" ca="1" si="233"/>
        <v>5.7355051627780476E-5</v>
      </c>
      <c r="AJ417" s="11">
        <f t="shared" ca="1" si="234"/>
        <v>-5.8674708741184841E-5</v>
      </c>
      <c r="AK417" s="2">
        <f t="shared" ca="1" si="235"/>
        <v>1.3989559139088616E-2</v>
      </c>
      <c r="AL417" s="2">
        <f t="shared" ca="1" si="236"/>
        <v>5.0758724910159882E-4</v>
      </c>
      <c r="AM417" s="2">
        <f t="shared" ca="1" si="237"/>
        <v>6.4060457667696079E-5</v>
      </c>
      <c r="AN417" s="2">
        <f t="shared" ca="1" si="238"/>
        <v>0.27030450172746073</v>
      </c>
      <c r="AO417" s="2">
        <f t="shared" ca="1" si="239"/>
        <v>-5.8674708741184841E-5</v>
      </c>
      <c r="AP417" s="2">
        <f t="shared" ca="1" si="240"/>
        <v>0.19522421953690822</v>
      </c>
      <c r="AQ417" s="2">
        <f t="shared" ca="1" si="241"/>
        <v>2.346855126840945</v>
      </c>
      <c r="AS417" s="2">
        <f t="shared" ca="1" si="242"/>
        <v>8.6822643050436614</v>
      </c>
      <c r="AT417" s="2">
        <f t="shared" ca="1" si="243"/>
        <v>0.39997964764032273</v>
      </c>
      <c r="AU417" s="2">
        <f t="shared" ca="1" si="244"/>
        <v>2.0302456904237821E-4</v>
      </c>
      <c r="AV417" s="2">
        <f t="shared" ca="1" si="245"/>
        <v>0.19502119496786585</v>
      </c>
      <c r="AW417" s="2">
        <f t="shared" ca="1" si="246"/>
        <v>0.70852253939101717</v>
      </c>
      <c r="AX417" s="2">
        <f t="shared" ca="1" si="247"/>
        <v>5.3697204235173025E-2</v>
      </c>
      <c r="AY417" s="9">
        <f t="shared" ca="1" si="248"/>
        <v>0.70852253939101717</v>
      </c>
      <c r="AZ417" s="9">
        <f t="shared" ca="1" si="249"/>
        <v>0.70852253939101717</v>
      </c>
      <c r="BB417" s="2">
        <f t="shared" ca="1" si="250"/>
        <v>8.6822643050436614</v>
      </c>
      <c r="BC417" s="2">
        <f t="shared" ca="1" si="251"/>
        <v>0.39997964764032273</v>
      </c>
      <c r="BD417" s="2">
        <f t="shared" ca="1" si="252"/>
        <v>2.0302456904237821E-4</v>
      </c>
      <c r="BE417" s="2">
        <f t="shared" ca="1" si="253"/>
        <v>0.19502119496786585</v>
      </c>
      <c r="BF417" s="2">
        <f t="shared" ca="1" si="254"/>
        <v>0.70852253939101717</v>
      </c>
      <c r="BG417" s="2">
        <f t="shared" ca="1" si="255"/>
        <v>5.3697204235173025E-2</v>
      </c>
      <c r="BH417" s="2">
        <f t="shared" ca="1" si="256"/>
        <v>0.70852253939101717</v>
      </c>
      <c r="BI417" s="2">
        <f t="shared" ca="1" si="257"/>
        <v>0.70852253939101717</v>
      </c>
    </row>
    <row r="418" spans="1:61" ht="15" x14ac:dyDescent="0.25">
      <c r="A418" s="66">
        <v>352</v>
      </c>
      <c r="B418" s="66">
        <v>1498730304.9349999</v>
      </c>
      <c r="C418" s="67">
        <v>-1.4174257846712699E-5</v>
      </c>
      <c r="D418" s="67">
        <v>-3.15835762817232E-5</v>
      </c>
      <c r="E418" s="67">
        <v>1.41173892483483E-2</v>
      </c>
      <c r="F418" s="67">
        <v>6.9136518470109599E-4</v>
      </c>
      <c r="G418" s="67">
        <v>-3.4189831089885002E-5</v>
      </c>
      <c r="H418" s="67">
        <v>0.258639884704913</v>
      </c>
      <c r="I418" s="67">
        <v>-3.15835762817232E-5</v>
      </c>
      <c r="J418" s="67">
        <v>0.18683633944689301</v>
      </c>
      <c r="K418" s="67">
        <v>2.2471283929388601</v>
      </c>
      <c r="L418" s="67"/>
      <c r="M418" s="67"/>
      <c r="O418" s="11">
        <f t="shared" ca="1" si="215"/>
        <v>-2.6978188556672729E-5</v>
      </c>
      <c r="P418" s="11">
        <f t="shared" ca="1" si="216"/>
        <v>-3.2348676512027939E-5</v>
      </c>
      <c r="Q418" s="11">
        <f t="shared" ca="1" si="217"/>
        <v>1.3280897636080015E-2</v>
      </c>
      <c r="R418" s="11">
        <f t="shared" ca="1" si="218"/>
        <v>6.7971869705474883E-4</v>
      </c>
      <c r="S418" s="11">
        <f t="shared" ca="1" si="219"/>
        <v>-4.5117483136855123E-5</v>
      </c>
      <c r="T418" s="11">
        <f t="shared" ca="1" si="220"/>
        <v>0.25750132966633071</v>
      </c>
      <c r="U418" s="11">
        <f t="shared" ca="1" si="221"/>
        <v>-3.2348676512027939E-5</v>
      </c>
      <c r="V418" s="11">
        <f t="shared" ca="1" si="222"/>
        <v>0.18618614344119924</v>
      </c>
      <c r="W418" s="11">
        <f t="shared" ca="1" si="223"/>
        <v>2.2400055446753551</v>
      </c>
      <c r="X418" s="11"/>
      <c r="Y418" s="2">
        <f t="shared" ca="1" si="224"/>
        <v>-2.6978188556672729E-5</v>
      </c>
      <c r="Z418" s="11">
        <f t="shared" ca="1" si="225"/>
        <v>-3.2348676512027939E-5</v>
      </c>
      <c r="AA418" s="2">
        <f t="shared" ca="1" si="226"/>
        <v>1.3280897636080015E-2</v>
      </c>
      <c r="AB418" s="2">
        <f t="shared" ca="1" si="227"/>
        <v>6.7971869705474883E-4</v>
      </c>
      <c r="AC418" s="2">
        <f t="shared" ca="1" si="228"/>
        <v>-4.5117483136855123E-5</v>
      </c>
      <c r="AD418" s="2">
        <f t="shared" ca="1" si="229"/>
        <v>0.25750132966633071</v>
      </c>
      <c r="AE418" s="2">
        <f t="shared" ca="1" si="230"/>
        <v>-3.2348676512027939E-5</v>
      </c>
      <c r="AF418" s="2">
        <f t="shared" ca="1" si="231"/>
        <v>0.18618614344119924</v>
      </c>
      <c r="AG418" s="2">
        <f t="shared" ca="1" si="232"/>
        <v>2.2400055446753551</v>
      </c>
      <c r="AI418" s="2">
        <f t="shared" ca="1" si="233"/>
        <v>-2.6978188556672729E-5</v>
      </c>
      <c r="AJ418" s="11">
        <f t="shared" ca="1" si="234"/>
        <v>-3.2348676512027939E-5</v>
      </c>
      <c r="AK418" s="2">
        <f t="shared" ca="1" si="235"/>
        <v>1.3280897636080015E-2</v>
      </c>
      <c r="AL418" s="2">
        <f t="shared" ca="1" si="236"/>
        <v>6.7971869705474883E-4</v>
      </c>
      <c r="AM418" s="2">
        <f t="shared" ca="1" si="237"/>
        <v>-4.5117483136855123E-5</v>
      </c>
      <c r="AN418" s="2">
        <f t="shared" ca="1" si="238"/>
        <v>0.25750132966633071</v>
      </c>
      <c r="AO418" s="2">
        <f t="shared" ca="1" si="239"/>
        <v>-3.2348676512027939E-5</v>
      </c>
      <c r="AP418" s="2">
        <f t="shared" ca="1" si="240"/>
        <v>0.18618614344119924</v>
      </c>
      <c r="AQ418" s="2">
        <f t="shared" ca="1" si="241"/>
        <v>2.2400055446753551</v>
      </c>
      <c r="AS418" s="2">
        <f t="shared" ca="1" si="242"/>
        <v>8.6990057394186895</v>
      </c>
      <c r="AT418" s="2">
        <f t="shared" ca="1" si="243"/>
        <v>0.40076026536489856</v>
      </c>
      <c r="AU418" s="2">
        <f t="shared" ca="1" si="244"/>
        <v>2.7240424540514425E-4</v>
      </c>
      <c r="AV418" s="2">
        <f t="shared" ca="1" si="245"/>
        <v>0.1859137391957941</v>
      </c>
      <c r="AW418" s="2">
        <f t="shared" ca="1" si="246"/>
        <v>0.70833031984597339</v>
      </c>
      <c r="AX418" s="2">
        <f t="shared" ca="1" si="247"/>
        <v>5.3617300513818092E-2</v>
      </c>
      <c r="AY418" s="9">
        <f t="shared" ca="1" si="248"/>
        <v>0.70833031984597339</v>
      </c>
      <c r="AZ418" s="9">
        <f t="shared" ca="1" si="249"/>
        <v>0.70833031984597339</v>
      </c>
      <c r="BB418" s="2">
        <f t="shared" ca="1" si="250"/>
        <v>8.6990057394186895</v>
      </c>
      <c r="BC418" s="2">
        <f t="shared" ca="1" si="251"/>
        <v>0.40076026536489856</v>
      </c>
      <c r="BD418" s="2">
        <f t="shared" ca="1" si="252"/>
        <v>2.7240424540514425E-4</v>
      </c>
      <c r="BE418" s="2">
        <f t="shared" ca="1" si="253"/>
        <v>0.1859137391957941</v>
      </c>
      <c r="BF418" s="2">
        <f t="shared" ca="1" si="254"/>
        <v>0.70833031984597339</v>
      </c>
      <c r="BG418" s="2">
        <f t="shared" ca="1" si="255"/>
        <v>5.3617300513818092E-2</v>
      </c>
      <c r="BH418" s="2">
        <f t="shared" ca="1" si="256"/>
        <v>0.70833031984597339</v>
      </c>
      <c r="BI418" s="2">
        <f t="shared" ca="1" si="257"/>
        <v>0.70833031984597339</v>
      </c>
    </row>
    <row r="419" spans="1:61" ht="15" x14ac:dyDescent="0.25">
      <c r="A419" s="66">
        <v>353</v>
      </c>
      <c r="B419" s="66">
        <v>1498730305.4619999</v>
      </c>
      <c r="C419" s="67">
        <v>3.7558728675200001E-5</v>
      </c>
      <c r="D419" s="67">
        <v>-9.7855271888447694E-6</v>
      </c>
      <c r="E419" s="67">
        <v>1.42725240359594E-2</v>
      </c>
      <c r="F419" s="67">
        <v>5.9113012585852395E-4</v>
      </c>
      <c r="G419" s="67">
        <v>1.3621061046406599E-4</v>
      </c>
      <c r="H419" s="67">
        <v>0.26452972592928897</v>
      </c>
      <c r="I419" s="67">
        <v>-9.7855271888447694E-6</v>
      </c>
      <c r="J419" s="67">
        <v>0.191019109558032</v>
      </c>
      <c r="K419" s="67">
        <v>2.2945048920686899</v>
      </c>
      <c r="L419" s="67"/>
      <c r="M419" s="67"/>
      <c r="O419" s="11">
        <f t="shared" ca="1" si="215"/>
        <v>2.4754797965239974E-5</v>
      </c>
      <c r="P419" s="11">
        <f t="shared" ca="1" si="216"/>
        <v>-1.055062741914951E-5</v>
      </c>
      <c r="Q419" s="11">
        <f t="shared" ca="1" si="217"/>
        <v>1.3436032423691116E-2</v>
      </c>
      <c r="R419" s="11">
        <f t="shared" ca="1" si="218"/>
        <v>5.7948363821217679E-4</v>
      </c>
      <c r="S419" s="11">
        <f t="shared" ca="1" si="219"/>
        <v>1.2528295841709587E-4</v>
      </c>
      <c r="T419" s="11">
        <f t="shared" ca="1" si="220"/>
        <v>0.26339117089070668</v>
      </c>
      <c r="U419" s="11">
        <f t="shared" ca="1" si="221"/>
        <v>-1.055062741914951E-5</v>
      </c>
      <c r="V419" s="11">
        <f t="shared" ca="1" si="222"/>
        <v>0.19036891355233823</v>
      </c>
      <c r="W419" s="11">
        <f t="shared" ca="1" si="223"/>
        <v>2.2873820438051848</v>
      </c>
      <c r="X419" s="11"/>
      <c r="Y419" s="2">
        <f t="shared" ca="1" si="224"/>
        <v>2.4754797965239974E-5</v>
      </c>
      <c r="Z419" s="11">
        <f t="shared" ca="1" si="225"/>
        <v>-1.055062741914951E-5</v>
      </c>
      <c r="AA419" s="2">
        <f t="shared" ca="1" si="226"/>
        <v>1.3436032423691116E-2</v>
      </c>
      <c r="AB419" s="2">
        <f t="shared" ca="1" si="227"/>
        <v>5.7948363821217679E-4</v>
      </c>
      <c r="AC419" s="2">
        <f t="shared" ca="1" si="228"/>
        <v>1.2528295841709587E-4</v>
      </c>
      <c r="AD419" s="2">
        <f t="shared" ca="1" si="229"/>
        <v>0.26339117089070668</v>
      </c>
      <c r="AE419" s="2">
        <f t="shared" ca="1" si="230"/>
        <v>-1.055062741914951E-5</v>
      </c>
      <c r="AF419" s="2">
        <f t="shared" ca="1" si="231"/>
        <v>0.19036891355233823</v>
      </c>
      <c r="AG419" s="2">
        <f t="shared" ca="1" si="232"/>
        <v>2.2873820438051848</v>
      </c>
      <c r="AI419" s="2">
        <f t="shared" ca="1" si="233"/>
        <v>2.4754797965239974E-5</v>
      </c>
      <c r="AJ419" s="11">
        <f t="shared" ca="1" si="234"/>
        <v>-1.055062741914951E-5</v>
      </c>
      <c r="AK419" s="2">
        <f t="shared" ca="1" si="235"/>
        <v>1.3436032423691116E-2</v>
      </c>
      <c r="AL419" s="2">
        <f t="shared" ca="1" si="236"/>
        <v>5.7948363821217679E-4</v>
      </c>
      <c r="AM419" s="2">
        <f t="shared" ca="1" si="237"/>
        <v>1.2528295841709587E-4</v>
      </c>
      <c r="AN419" s="2">
        <f t="shared" ca="1" si="238"/>
        <v>0.26339117089070668</v>
      </c>
      <c r="AO419" s="2">
        <f t="shared" ca="1" si="239"/>
        <v>-1.055062741914951E-5</v>
      </c>
      <c r="AP419" s="2">
        <f t="shared" ca="1" si="240"/>
        <v>0.19036891355233823</v>
      </c>
      <c r="AQ419" s="2">
        <f t="shared" ca="1" si="241"/>
        <v>2.2873820438051848</v>
      </c>
      <c r="AS419" s="2">
        <f t="shared" ca="1" si="242"/>
        <v>8.6843535266196401</v>
      </c>
      <c r="AT419" s="2">
        <f t="shared" ca="1" si="243"/>
        <v>0.40007706263341214</v>
      </c>
      <c r="AU419" s="2">
        <f t="shared" ca="1" si="244"/>
        <v>2.3183811182005059E-4</v>
      </c>
      <c r="AV419" s="2">
        <f t="shared" ca="1" si="245"/>
        <v>0.19013707544051819</v>
      </c>
      <c r="AW419" s="2">
        <f t="shared" ca="1" si="246"/>
        <v>0.70882350580450859</v>
      </c>
      <c r="AX419" s="2">
        <f t="shared" ca="1" si="247"/>
        <v>5.2939236869561666E-2</v>
      </c>
      <c r="AY419" s="9">
        <f t="shared" ca="1" si="248"/>
        <v>0.70882350580450859</v>
      </c>
      <c r="AZ419" s="9">
        <f t="shared" ca="1" si="249"/>
        <v>0.70882350580450859</v>
      </c>
      <c r="BB419" s="2">
        <f t="shared" ca="1" si="250"/>
        <v>8.6843535266196401</v>
      </c>
      <c r="BC419" s="2">
        <f t="shared" ca="1" si="251"/>
        <v>0.40007706263341214</v>
      </c>
      <c r="BD419" s="2">
        <f t="shared" ca="1" si="252"/>
        <v>2.3183811182005059E-4</v>
      </c>
      <c r="BE419" s="2">
        <f t="shared" ca="1" si="253"/>
        <v>0.19013707544051819</v>
      </c>
      <c r="BF419" s="2">
        <f t="shared" ca="1" si="254"/>
        <v>0.70882350580450859</v>
      </c>
      <c r="BG419" s="2">
        <f t="shared" ca="1" si="255"/>
        <v>5.2939236869561666E-2</v>
      </c>
      <c r="BH419" s="2">
        <f t="shared" ca="1" si="256"/>
        <v>0.70882350580450859</v>
      </c>
      <c r="BI419" s="2">
        <f t="shared" ca="1" si="257"/>
        <v>0.70882350580450859</v>
      </c>
    </row>
    <row r="420" spans="1:61" ht="15" x14ac:dyDescent="0.25">
      <c r="A420" s="66">
        <v>354</v>
      </c>
      <c r="B420" s="66">
        <v>1498730305.9879999</v>
      </c>
      <c r="C420" s="67">
        <v>4.0629721364640602E-5</v>
      </c>
      <c r="D420" s="67">
        <v>2.2609540441962099E-6</v>
      </c>
      <c r="E420" s="67">
        <v>1.5366669224152399E-2</v>
      </c>
      <c r="F420" s="67">
        <v>7.5232063688135604E-4</v>
      </c>
      <c r="G420" s="67">
        <v>-1.07359870321158E-4</v>
      </c>
      <c r="H420" s="67">
        <v>0.28415432198572399</v>
      </c>
      <c r="I420" s="67">
        <v>2.2609540441962099E-6</v>
      </c>
      <c r="J420" s="67">
        <v>0.20515690430310801</v>
      </c>
      <c r="K420" s="67">
        <v>2.4672211341618402</v>
      </c>
      <c r="L420" s="67"/>
      <c r="M420" s="67"/>
      <c r="O420" s="11">
        <f t="shared" ca="1" si="215"/>
        <v>2.7825790654680574E-5</v>
      </c>
      <c r="P420" s="11">
        <f t="shared" ca="1" si="216"/>
        <v>1.4958538138914696E-6</v>
      </c>
      <c r="Q420" s="11">
        <f t="shared" ca="1" si="217"/>
        <v>1.4530177611884115E-2</v>
      </c>
      <c r="R420" s="11">
        <f t="shared" ca="1" si="218"/>
        <v>7.4067414923500888E-4</v>
      </c>
      <c r="S420" s="11">
        <f t="shared" ca="1" si="219"/>
        <v>-1.1828752236812812E-4</v>
      </c>
      <c r="T420" s="11">
        <f t="shared" ca="1" si="220"/>
        <v>0.2830157669471417</v>
      </c>
      <c r="U420" s="11">
        <f t="shared" ca="1" si="221"/>
        <v>1.4958538138914696E-6</v>
      </c>
      <c r="V420" s="11">
        <f t="shared" ca="1" si="222"/>
        <v>0.20450670829741424</v>
      </c>
      <c r="W420" s="11">
        <f t="shared" ca="1" si="223"/>
        <v>2.4600982858983351</v>
      </c>
      <c r="X420" s="11"/>
      <c r="Y420" s="2">
        <f t="shared" ca="1" si="224"/>
        <v>2.7825790654680574E-5</v>
      </c>
      <c r="Z420" s="11">
        <f t="shared" ca="1" si="225"/>
        <v>1.4958538138914696E-6</v>
      </c>
      <c r="AA420" s="2">
        <f t="shared" ca="1" si="226"/>
        <v>1.453016616748308E-2</v>
      </c>
      <c r="AB420" s="2">
        <f t="shared" ca="1" si="227"/>
        <v>7.4039714270994993E-4</v>
      </c>
      <c r="AC420" s="2">
        <f t="shared" ca="1" si="228"/>
        <v>-1.1828752236812812E-4</v>
      </c>
      <c r="AD420" s="2">
        <f t="shared" ca="1" si="229"/>
        <v>0.28301375247245947</v>
      </c>
      <c r="AE420" s="2">
        <f t="shared" ca="1" si="230"/>
        <v>1.4958538138914696E-6</v>
      </c>
      <c r="AF420" s="2">
        <f t="shared" ca="1" si="231"/>
        <v>0.20450373340339512</v>
      </c>
      <c r="AG420" s="2">
        <f t="shared" ca="1" si="232"/>
        <v>2.4600970787555472</v>
      </c>
      <c r="AI420" s="2">
        <f t="shared" ca="1" si="233"/>
        <v>2.7825790654680574E-5</v>
      </c>
      <c r="AJ420" s="11">
        <f t="shared" ca="1" si="234"/>
        <v>1.4958538138914696E-6</v>
      </c>
      <c r="AK420" s="2">
        <f t="shared" ca="1" si="235"/>
        <v>1.4528401336755276E-2</v>
      </c>
      <c r="AL420" s="2">
        <f t="shared" ca="1" si="236"/>
        <v>7.3957112821174565E-4</v>
      </c>
      <c r="AM420" s="2">
        <f t="shared" ca="1" si="237"/>
        <v>-1.1828752236812812E-4</v>
      </c>
      <c r="AN420" s="2">
        <f t="shared" ca="1" si="238"/>
        <v>0.28301375247245947</v>
      </c>
      <c r="AO420" s="2">
        <f t="shared" ca="1" si="239"/>
        <v>1.4958538138914696E-6</v>
      </c>
      <c r="AP420" s="2">
        <f t="shared" ca="1" si="240"/>
        <v>0.20450373340339512</v>
      </c>
      <c r="AQ420" s="2">
        <f t="shared" ca="1" si="241"/>
        <v>2.4600970787555472</v>
      </c>
      <c r="AS420" s="2">
        <f t="shared" ca="1" si="242"/>
        <v>8.6924425180799307</v>
      </c>
      <c r="AT420" s="2">
        <f t="shared" ca="1" si="243"/>
        <v>0.40045423404294112</v>
      </c>
      <c r="AU420" s="2">
        <f t="shared" ca="1" si="244"/>
        <v>2.9660609910731257E-4</v>
      </c>
      <c r="AV420" s="2">
        <f t="shared" ca="1" si="245"/>
        <v>0.20421010219830693</v>
      </c>
      <c r="AW420" s="2">
        <f t="shared" ca="1" si="246"/>
        <v>0.70816667660811639</v>
      </c>
      <c r="AX420" s="2">
        <f t="shared" ca="1" si="247"/>
        <v>5.3331263398756268E-2</v>
      </c>
      <c r="AY420" s="9">
        <f t="shared" ca="1" si="248"/>
        <v>0.70816667660811639</v>
      </c>
      <c r="AZ420" s="9">
        <f t="shared" ca="1" si="249"/>
        <v>0.70816667660811639</v>
      </c>
      <c r="BB420" s="2">
        <f t="shared" ca="1" si="250"/>
        <v>8.6925001250423097</v>
      </c>
      <c r="BC420" s="2">
        <f t="shared" ca="1" si="251"/>
        <v>0.40045692014081069</v>
      </c>
      <c r="BD420" s="2">
        <f t="shared" ca="1" si="252"/>
        <v>2.9616637622874027E-4</v>
      </c>
      <c r="BE420" s="2">
        <f t="shared" ca="1" si="253"/>
        <v>0.20420756702716639</v>
      </c>
      <c r="BF420" s="2">
        <f t="shared" ca="1" si="254"/>
        <v>0.7081605622435142</v>
      </c>
      <c r="BG420" s="2">
        <f t="shared" ca="1" si="255"/>
        <v>5.3325484973014411E-2</v>
      </c>
      <c r="BH420" s="2">
        <f t="shared" ca="1" si="256"/>
        <v>0.7081605622435142</v>
      </c>
      <c r="BI420" s="2">
        <f t="shared" ca="1" si="257"/>
        <v>0.7081605622435142</v>
      </c>
    </row>
    <row r="421" spans="1:61" ht="15" x14ac:dyDescent="0.25">
      <c r="A421" s="66">
        <v>355</v>
      </c>
      <c r="B421" s="66">
        <v>1498730306.5150001</v>
      </c>
      <c r="C421" s="67">
        <v>-4.4892920784146004E-6</v>
      </c>
      <c r="D421" s="67">
        <v>5.5401032973863298E-5</v>
      </c>
      <c r="E421" s="67">
        <v>1.54633505609431E-2</v>
      </c>
      <c r="F421" s="67">
        <v>6.2517558562571801E-4</v>
      </c>
      <c r="G421" s="67">
        <v>1.5734054014330201E-5</v>
      </c>
      <c r="H421" s="67">
        <v>0.28720178594697399</v>
      </c>
      <c r="I421" s="67">
        <v>5.5401032973863298E-5</v>
      </c>
      <c r="J421" s="67">
        <v>0.207252272415963</v>
      </c>
      <c r="K421" s="67">
        <v>2.4927258525388001</v>
      </c>
      <c r="L421" s="67"/>
      <c r="M421" s="67"/>
      <c r="O421" s="11">
        <f t="shared" ca="1" si="215"/>
        <v>-1.7293222788374627E-5</v>
      </c>
      <c r="P421" s="11">
        <f t="shared" ca="1" si="216"/>
        <v>5.4635932743558559E-5</v>
      </c>
      <c r="Q421" s="11">
        <f t="shared" ca="1" si="217"/>
        <v>1.4626858948674815E-2</v>
      </c>
      <c r="R421" s="11">
        <f t="shared" ca="1" si="218"/>
        <v>6.1352909797937085E-4</v>
      </c>
      <c r="S421" s="11">
        <f t="shared" ca="1" si="219"/>
        <v>4.8064019673600791E-6</v>
      </c>
      <c r="T421" s="11">
        <f t="shared" ca="1" si="220"/>
        <v>0.2860632309083917</v>
      </c>
      <c r="U421" s="11">
        <f t="shared" ca="1" si="221"/>
        <v>5.4635932743558559E-5</v>
      </c>
      <c r="V421" s="11">
        <f t="shared" ca="1" si="222"/>
        <v>0.20660207641026923</v>
      </c>
      <c r="W421" s="11">
        <f t="shared" ca="1" si="223"/>
        <v>2.485603004275295</v>
      </c>
      <c r="X421" s="11"/>
      <c r="Y421" s="2">
        <f t="shared" ca="1" si="224"/>
        <v>-1.7293222788374627E-5</v>
      </c>
      <c r="Z421" s="11">
        <f t="shared" ca="1" si="225"/>
        <v>5.4635932743558559E-5</v>
      </c>
      <c r="AA421" s="2">
        <f t="shared" ca="1" si="226"/>
        <v>1.4626440942904833E-2</v>
      </c>
      <c r="AB421" s="2">
        <f t="shared" ca="1" si="227"/>
        <v>6.0341145831959992E-4</v>
      </c>
      <c r="AC421" s="2">
        <f t="shared" ca="1" si="228"/>
        <v>4.8064019673600791E-6</v>
      </c>
      <c r="AD421" s="2">
        <f t="shared" ca="1" si="229"/>
        <v>0.28598965239274388</v>
      </c>
      <c r="AE421" s="2">
        <f t="shared" ca="1" si="230"/>
        <v>5.4635932743558559E-5</v>
      </c>
      <c r="AF421" s="2">
        <f t="shared" ca="1" si="231"/>
        <v>0.20649341866040197</v>
      </c>
      <c r="AG421" s="2">
        <f t="shared" ca="1" si="232"/>
        <v>2.4855589134881124</v>
      </c>
      <c r="AI421" s="2">
        <f t="shared" ca="1" si="233"/>
        <v>-1.7293222788374627E-5</v>
      </c>
      <c r="AJ421" s="11">
        <f t="shared" ca="1" si="234"/>
        <v>5.4635932743558559E-5</v>
      </c>
      <c r="AK421" s="2">
        <f t="shared" ca="1" si="235"/>
        <v>1.4561980651362562E-2</v>
      </c>
      <c r="AL421" s="2">
        <f t="shared" ca="1" si="236"/>
        <v>5.7324134934906828E-4</v>
      </c>
      <c r="AM421" s="2">
        <f t="shared" ca="1" si="237"/>
        <v>4.8064019673600791E-6</v>
      </c>
      <c r="AN421" s="2">
        <f t="shared" ca="1" si="238"/>
        <v>0.28598965239274388</v>
      </c>
      <c r="AO421" s="2">
        <f t="shared" ca="1" si="239"/>
        <v>5.4635932743558559E-5</v>
      </c>
      <c r="AP421" s="2">
        <f t="shared" ca="1" si="240"/>
        <v>0.20649341866040197</v>
      </c>
      <c r="AQ421" s="2">
        <f t="shared" ca="1" si="241"/>
        <v>2.4855589134881124</v>
      </c>
      <c r="AS421" s="2">
        <f t="shared" ca="1" si="242"/>
        <v>8.6889985699395229</v>
      </c>
      <c r="AT421" s="2">
        <f t="shared" ca="1" si="243"/>
        <v>0.40029364999581923</v>
      </c>
      <c r="AU421" s="2">
        <f t="shared" ca="1" si="244"/>
        <v>2.4559180200880494E-4</v>
      </c>
      <c r="AV421" s="2">
        <f t="shared" ca="1" si="245"/>
        <v>0.20635648460826042</v>
      </c>
      <c r="AW421" s="2">
        <f t="shared" ca="1" si="246"/>
        <v>0.70812780212662885</v>
      </c>
      <c r="AX421" s="2">
        <f t="shared" ca="1" si="247"/>
        <v>5.3092663222048746E-2</v>
      </c>
      <c r="AY421" s="9">
        <f t="shared" ca="1" si="248"/>
        <v>0.70812780212662885</v>
      </c>
      <c r="AZ421" s="9">
        <f t="shared" ca="1" si="249"/>
        <v>0.70812780212662885</v>
      </c>
      <c r="BB421" s="2">
        <f t="shared" ca="1" si="250"/>
        <v>8.6910798789137456</v>
      </c>
      <c r="BC421" s="2">
        <f t="shared" ca="1" si="251"/>
        <v>0.40039069695674073</v>
      </c>
      <c r="BD421" s="2">
        <f t="shared" ca="1" si="252"/>
        <v>2.2952050339029593E-4</v>
      </c>
      <c r="BE421" s="2">
        <f t="shared" ca="1" si="253"/>
        <v>0.20626389815701168</v>
      </c>
      <c r="BF421" s="2">
        <f t="shared" ca="1" si="254"/>
        <v>0.70790679986131244</v>
      </c>
      <c r="BG421" s="2">
        <f t="shared" ca="1" si="255"/>
        <v>5.2883725326123641E-2</v>
      </c>
      <c r="BH421" s="2">
        <f t="shared" ca="1" si="256"/>
        <v>0.70790679986131244</v>
      </c>
      <c r="BI421" s="2">
        <f t="shared" ca="1" si="257"/>
        <v>0.70790679986131244</v>
      </c>
    </row>
    <row r="422" spans="1:61" ht="15" x14ac:dyDescent="0.25">
      <c r="A422" s="66">
        <v>356</v>
      </c>
      <c r="B422" s="66">
        <v>1498730307.0420001</v>
      </c>
      <c r="C422" s="67">
        <v>-1.65465006674642E-6</v>
      </c>
      <c r="D422" s="67">
        <v>-2.6364761353265501E-5</v>
      </c>
      <c r="E422" s="67">
        <v>1.5998760910519501E-2</v>
      </c>
      <c r="F422" s="67">
        <v>6.2779451520760996E-4</v>
      </c>
      <c r="G422" s="67">
        <v>-1.50564979235907E-5</v>
      </c>
      <c r="H422" s="67">
        <v>0.29705933211126101</v>
      </c>
      <c r="I422" s="67">
        <v>-2.6364761353265501E-5</v>
      </c>
      <c r="J422" s="67">
        <v>0.21451238819978399</v>
      </c>
      <c r="K422" s="67">
        <v>2.5771707978936398</v>
      </c>
      <c r="L422" s="67"/>
      <c r="M422" s="67"/>
      <c r="O422" s="11">
        <f t="shared" ca="1" si="215"/>
        <v>-1.4458580776706447E-5</v>
      </c>
      <c r="P422" s="11">
        <f t="shared" ca="1" si="216"/>
        <v>-2.7129861583570243E-5</v>
      </c>
      <c r="Q422" s="11">
        <f t="shared" ca="1" si="217"/>
        <v>1.5162269298251216E-2</v>
      </c>
      <c r="R422" s="11">
        <f t="shared" ca="1" si="218"/>
        <v>6.161480275612628E-4</v>
      </c>
      <c r="S422" s="11">
        <f t="shared" ca="1" si="219"/>
        <v>-2.5984149970560822E-5</v>
      </c>
      <c r="T422" s="11">
        <f t="shared" ca="1" si="220"/>
        <v>0.29592077707267872</v>
      </c>
      <c r="U422" s="11">
        <f t="shared" ca="1" si="221"/>
        <v>-2.7129861583570243E-5</v>
      </c>
      <c r="V422" s="11">
        <f t="shared" ca="1" si="222"/>
        <v>0.21386219219409022</v>
      </c>
      <c r="W422" s="11">
        <f t="shared" ca="1" si="223"/>
        <v>2.5700479496301347</v>
      </c>
      <c r="X422" s="11"/>
      <c r="Y422" s="2">
        <f t="shared" ca="1" si="224"/>
        <v>-1.4458580776706447E-5</v>
      </c>
      <c r="Z422" s="11">
        <f t="shared" ca="1" si="225"/>
        <v>-2.7129861583570243E-5</v>
      </c>
      <c r="AA422" s="2">
        <f t="shared" ca="1" si="226"/>
        <v>1.5162269298251216E-2</v>
      </c>
      <c r="AB422" s="2">
        <f t="shared" ca="1" si="227"/>
        <v>6.161480275612628E-4</v>
      </c>
      <c r="AC422" s="2">
        <f t="shared" ca="1" si="228"/>
        <v>-2.5984149970560822E-5</v>
      </c>
      <c r="AD422" s="2">
        <f t="shared" ca="1" si="229"/>
        <v>0.29592077707267872</v>
      </c>
      <c r="AE422" s="2">
        <f t="shared" ca="1" si="230"/>
        <v>-2.7129861583570243E-5</v>
      </c>
      <c r="AF422" s="2">
        <f t="shared" ca="1" si="231"/>
        <v>0.21386219219409022</v>
      </c>
      <c r="AG422" s="2">
        <f t="shared" ca="1" si="232"/>
        <v>2.5700479496301347</v>
      </c>
      <c r="AI422" s="2">
        <f t="shared" ca="1" si="233"/>
        <v>-1.4458580776706447E-5</v>
      </c>
      <c r="AJ422" s="11">
        <f t="shared" ca="1" si="234"/>
        <v>-2.7129861583570243E-5</v>
      </c>
      <c r="AK422" s="2">
        <f t="shared" ca="1" si="235"/>
        <v>1.5162269298251216E-2</v>
      </c>
      <c r="AL422" s="2">
        <f t="shared" ca="1" si="236"/>
        <v>6.161480275612628E-4</v>
      </c>
      <c r="AM422" s="2">
        <f t="shared" ca="1" si="237"/>
        <v>-2.5984149970560822E-5</v>
      </c>
      <c r="AN422" s="2">
        <f t="shared" ca="1" si="238"/>
        <v>0.29592077707267872</v>
      </c>
      <c r="AO422" s="2">
        <f t="shared" ca="1" si="239"/>
        <v>-2.7129861583570243E-5</v>
      </c>
      <c r="AP422" s="2">
        <f t="shared" ca="1" si="240"/>
        <v>0.21386219219409022</v>
      </c>
      <c r="AQ422" s="2">
        <f t="shared" ca="1" si="241"/>
        <v>2.5700479496301347</v>
      </c>
      <c r="AS422" s="2">
        <f t="shared" ca="1" si="242"/>
        <v>8.6849188997598699</v>
      </c>
      <c r="AT422" s="2">
        <f t="shared" ca="1" si="243"/>
        <v>0.40010342456805986</v>
      </c>
      <c r="AU422" s="2">
        <f t="shared" ca="1" si="244"/>
        <v>2.4652293586811656E-4</v>
      </c>
      <c r="AV422" s="2">
        <f t="shared" ca="1" si="245"/>
        <v>0.21361566925822212</v>
      </c>
      <c r="AW422" s="2">
        <f t="shared" ca="1" si="246"/>
        <v>0.70878729435171017</v>
      </c>
      <c r="AX422" s="2">
        <f t="shared" ca="1" si="247"/>
        <v>5.3177207022133813E-2</v>
      </c>
      <c r="AY422" s="9">
        <f t="shared" ca="1" si="248"/>
        <v>0.70878729435171017</v>
      </c>
      <c r="AZ422" s="9">
        <f t="shared" ca="1" si="249"/>
        <v>0.70878729435171017</v>
      </c>
      <c r="BB422" s="2">
        <f t="shared" ca="1" si="250"/>
        <v>8.6849188997598699</v>
      </c>
      <c r="BC422" s="2">
        <f t="shared" ca="1" si="251"/>
        <v>0.40010342456805986</v>
      </c>
      <c r="BD422" s="2">
        <f t="shared" ca="1" si="252"/>
        <v>2.4652293586811656E-4</v>
      </c>
      <c r="BE422" s="2">
        <f t="shared" ca="1" si="253"/>
        <v>0.21361566925822212</v>
      </c>
      <c r="BF422" s="2">
        <f t="shared" ca="1" si="254"/>
        <v>0.70878729435171017</v>
      </c>
      <c r="BG422" s="2">
        <f t="shared" ca="1" si="255"/>
        <v>5.3177207022133813E-2</v>
      </c>
      <c r="BH422" s="2">
        <f t="shared" ca="1" si="256"/>
        <v>0.70878729435171017</v>
      </c>
      <c r="BI422" s="2">
        <f t="shared" ca="1" si="257"/>
        <v>0.70878729435171017</v>
      </c>
    </row>
    <row r="423" spans="1:61" ht="15" x14ac:dyDescent="0.25">
      <c r="A423" s="66">
        <v>357</v>
      </c>
      <c r="B423" s="66">
        <v>1498730307.569</v>
      </c>
      <c r="C423" s="67">
        <v>3.6850039404414798E-5</v>
      </c>
      <c r="D423" s="67">
        <v>-1.49579789089589E-5</v>
      </c>
      <c r="E423" s="67">
        <v>1.5895274415169601E-2</v>
      </c>
      <c r="F423" s="67">
        <v>6.5707937725675402E-4</v>
      </c>
      <c r="G423" s="67">
        <v>1.53338094977957E-5</v>
      </c>
      <c r="H423" s="67">
        <v>0.29582036013259499</v>
      </c>
      <c r="I423" s="67">
        <v>-1.49579789089589E-5</v>
      </c>
      <c r="J423" s="67">
        <v>0.21381258556125701</v>
      </c>
      <c r="K423" s="67">
        <v>2.5706499105498501</v>
      </c>
      <c r="L423" s="67"/>
      <c r="M423" s="67"/>
      <c r="O423" s="11">
        <f t="shared" ca="1" si="215"/>
        <v>2.404610869445477E-5</v>
      </c>
      <c r="P423" s="11">
        <f t="shared" ca="1" si="216"/>
        <v>-1.5723079139263642E-5</v>
      </c>
      <c r="Q423" s="11">
        <f t="shared" ca="1" si="217"/>
        <v>1.5058782802901316E-2</v>
      </c>
      <c r="R423" s="11">
        <f t="shared" ca="1" si="218"/>
        <v>6.4543288961040686E-4</v>
      </c>
      <c r="S423" s="11">
        <f t="shared" ca="1" si="219"/>
        <v>4.4061574508255775E-6</v>
      </c>
      <c r="T423" s="11">
        <f t="shared" ca="1" si="220"/>
        <v>0.29468180509401271</v>
      </c>
      <c r="U423" s="11">
        <f t="shared" ca="1" si="221"/>
        <v>-1.5723079139263642E-5</v>
      </c>
      <c r="V423" s="11">
        <f t="shared" ca="1" si="222"/>
        <v>0.21316238955556324</v>
      </c>
      <c r="W423" s="11">
        <f t="shared" ca="1" si="223"/>
        <v>2.5635270622863451</v>
      </c>
      <c r="X423" s="11"/>
      <c r="Y423" s="2">
        <f t="shared" ca="1" si="224"/>
        <v>2.404610869445477E-5</v>
      </c>
      <c r="Z423" s="11">
        <f t="shared" ca="1" si="225"/>
        <v>-1.5723079139263642E-5</v>
      </c>
      <c r="AA423" s="2">
        <f t="shared" ca="1" si="226"/>
        <v>1.5058782802901316E-2</v>
      </c>
      <c r="AB423" s="2">
        <f t="shared" ca="1" si="227"/>
        <v>6.4543288961040686E-4</v>
      </c>
      <c r="AC423" s="2">
        <f t="shared" ca="1" si="228"/>
        <v>4.4061574508255775E-6</v>
      </c>
      <c r="AD423" s="2">
        <f t="shared" ca="1" si="229"/>
        <v>0.29468180509401271</v>
      </c>
      <c r="AE423" s="2">
        <f t="shared" ca="1" si="230"/>
        <v>-1.5723079139263642E-5</v>
      </c>
      <c r="AF423" s="2">
        <f t="shared" ca="1" si="231"/>
        <v>0.21316238955556324</v>
      </c>
      <c r="AG423" s="2">
        <f t="shared" ca="1" si="232"/>
        <v>2.5635270622863451</v>
      </c>
      <c r="AI423" s="2">
        <f t="shared" ca="1" si="233"/>
        <v>2.404610869445477E-5</v>
      </c>
      <c r="AJ423" s="11">
        <f t="shared" ca="1" si="234"/>
        <v>-1.5723079139263642E-5</v>
      </c>
      <c r="AK423" s="2">
        <f t="shared" ca="1" si="235"/>
        <v>1.5058782802901316E-2</v>
      </c>
      <c r="AL423" s="2">
        <f t="shared" ca="1" si="236"/>
        <v>6.4543288961040686E-4</v>
      </c>
      <c r="AM423" s="2">
        <f t="shared" ca="1" si="237"/>
        <v>4.4061574508255775E-6</v>
      </c>
      <c r="AN423" s="2">
        <f t="shared" ca="1" si="238"/>
        <v>0.29468180509401271</v>
      </c>
      <c r="AO423" s="2">
        <f t="shared" ca="1" si="239"/>
        <v>-1.5723079139263642E-5</v>
      </c>
      <c r="AP423" s="2">
        <f t="shared" ca="1" si="240"/>
        <v>0.21316238955556324</v>
      </c>
      <c r="AQ423" s="2">
        <f t="shared" ca="1" si="241"/>
        <v>2.5635270622863451</v>
      </c>
      <c r="AS423" s="2">
        <f t="shared" ca="1" si="242"/>
        <v>8.6993055491447802</v>
      </c>
      <c r="AT423" s="2">
        <f t="shared" ca="1" si="243"/>
        <v>0.4007742450253674</v>
      </c>
      <c r="AU423" s="2">
        <f t="shared" ca="1" si="244"/>
        <v>2.5867287904815213E-4</v>
      </c>
      <c r="AV423" s="2">
        <f t="shared" ca="1" si="245"/>
        <v>0.21290371667651509</v>
      </c>
      <c r="AW423" s="2">
        <f t="shared" ca="1" si="246"/>
        <v>0.70880407581877092</v>
      </c>
      <c r="AX423" s="2">
        <f t="shared" ca="1" si="247"/>
        <v>5.3126212464351917E-2</v>
      </c>
      <c r="AY423" s="9">
        <f t="shared" ca="1" si="248"/>
        <v>0.70880407581877092</v>
      </c>
      <c r="AZ423" s="9">
        <f t="shared" ca="1" si="249"/>
        <v>0.70880407581877092</v>
      </c>
      <c r="BB423" s="2">
        <f t="shared" ca="1" si="250"/>
        <v>8.6993055491447802</v>
      </c>
      <c r="BC423" s="2">
        <f t="shared" ca="1" si="251"/>
        <v>0.4007742450253674</v>
      </c>
      <c r="BD423" s="2">
        <f t="shared" ca="1" si="252"/>
        <v>2.5867287904815213E-4</v>
      </c>
      <c r="BE423" s="2">
        <f t="shared" ca="1" si="253"/>
        <v>0.21290371667651509</v>
      </c>
      <c r="BF423" s="2">
        <f t="shared" ca="1" si="254"/>
        <v>0.70880407581877092</v>
      </c>
      <c r="BG423" s="2">
        <f t="shared" ca="1" si="255"/>
        <v>5.3126212464351917E-2</v>
      </c>
      <c r="BH423" s="2">
        <f t="shared" ca="1" si="256"/>
        <v>0.70880407581877092</v>
      </c>
      <c r="BI423" s="2">
        <f t="shared" ca="1" si="257"/>
        <v>0.70880407581877092</v>
      </c>
    </row>
    <row r="424" spans="1:61" ht="15" x14ac:dyDescent="0.25">
      <c r="A424" s="66">
        <v>358</v>
      </c>
      <c r="B424" s="66">
        <v>1498730308.096</v>
      </c>
      <c r="C424" s="67">
        <v>-7.2045863474784396E-5</v>
      </c>
      <c r="D424" s="67">
        <v>-2.7356593474060501E-5</v>
      </c>
      <c r="E424" s="67">
        <v>1.5996348517552599E-2</v>
      </c>
      <c r="F424" s="67">
        <v>5.5875230354902698E-4</v>
      </c>
      <c r="G424" s="67">
        <v>-1.57411508855372E-4</v>
      </c>
      <c r="H424" s="67">
        <v>0.29704347094498601</v>
      </c>
      <c r="I424" s="67">
        <v>-2.7356593474060501E-5</v>
      </c>
      <c r="J424" s="67">
        <v>0.21465708516194901</v>
      </c>
      <c r="K424" s="67">
        <v>2.57986908278244</v>
      </c>
      <c r="L424" s="67"/>
      <c r="M424" s="67"/>
      <c r="O424" s="11">
        <f t="shared" ca="1" si="215"/>
        <v>-8.4849794184744431E-5</v>
      </c>
      <c r="P424" s="11">
        <f t="shared" ca="1" si="216"/>
        <v>-2.8121693704365243E-5</v>
      </c>
      <c r="Q424" s="11">
        <f t="shared" ca="1" si="217"/>
        <v>1.5159856905284314E-2</v>
      </c>
      <c r="R424" s="11">
        <f t="shared" ca="1" si="218"/>
        <v>5.4710581590267982E-4</v>
      </c>
      <c r="S424" s="11">
        <f t="shared" ca="1" si="219"/>
        <v>-1.6833916090234211E-4</v>
      </c>
      <c r="T424" s="11">
        <f t="shared" ca="1" si="220"/>
        <v>0.29590491590640372</v>
      </c>
      <c r="U424" s="11">
        <f t="shared" ca="1" si="221"/>
        <v>-2.8121693704365243E-5</v>
      </c>
      <c r="V424" s="11">
        <f t="shared" ca="1" si="222"/>
        <v>0.21400688915625524</v>
      </c>
      <c r="W424" s="11">
        <f t="shared" ca="1" si="223"/>
        <v>2.5727462345189349</v>
      </c>
      <c r="X424" s="11"/>
      <c r="Y424" s="2">
        <f t="shared" ca="1" si="224"/>
        <v>-8.4849794184744431E-5</v>
      </c>
      <c r="Z424" s="11">
        <f t="shared" ca="1" si="225"/>
        <v>-2.8121693704365243E-5</v>
      </c>
      <c r="AA424" s="2">
        <f t="shared" ca="1" si="226"/>
        <v>1.5159856905284314E-2</v>
      </c>
      <c r="AB424" s="2">
        <f t="shared" ca="1" si="227"/>
        <v>5.4710581590267982E-4</v>
      </c>
      <c r="AC424" s="2">
        <f t="shared" ca="1" si="228"/>
        <v>-1.6833916090234211E-4</v>
      </c>
      <c r="AD424" s="2">
        <f t="shared" ca="1" si="229"/>
        <v>0.29590491590640372</v>
      </c>
      <c r="AE424" s="2">
        <f t="shared" ca="1" si="230"/>
        <v>-2.8121693704365243E-5</v>
      </c>
      <c r="AF424" s="2">
        <f t="shared" ca="1" si="231"/>
        <v>0.21400688915625524</v>
      </c>
      <c r="AG424" s="2">
        <f t="shared" ca="1" si="232"/>
        <v>2.5727462345189349</v>
      </c>
      <c r="AI424" s="2">
        <f t="shared" ca="1" si="233"/>
        <v>-8.4849794184744431E-5</v>
      </c>
      <c r="AJ424" s="11">
        <f t="shared" ca="1" si="234"/>
        <v>-2.8121693704365243E-5</v>
      </c>
      <c r="AK424" s="2">
        <f t="shared" ca="1" si="235"/>
        <v>1.5159856905284314E-2</v>
      </c>
      <c r="AL424" s="2">
        <f t="shared" ca="1" si="236"/>
        <v>5.4710581590267982E-4</v>
      </c>
      <c r="AM424" s="2">
        <f t="shared" ca="1" si="237"/>
        <v>-1.6833916090234211E-4</v>
      </c>
      <c r="AN424" s="2">
        <f t="shared" ca="1" si="238"/>
        <v>0.29590491590640372</v>
      </c>
      <c r="AO424" s="2">
        <f t="shared" ca="1" si="239"/>
        <v>-2.8121693704365243E-5</v>
      </c>
      <c r="AP424" s="2">
        <f t="shared" ca="1" si="240"/>
        <v>0.21400688915625524</v>
      </c>
      <c r="AQ424" s="2">
        <f t="shared" ca="1" si="241"/>
        <v>2.5727462345189349</v>
      </c>
      <c r="AS424" s="2">
        <f t="shared" ca="1" si="242"/>
        <v>8.6945031874114189</v>
      </c>
      <c r="AT424" s="2">
        <f t="shared" ca="1" si="243"/>
        <v>0.40055031908209587</v>
      </c>
      <c r="AU424" s="2">
        <f t="shared" ca="1" si="244"/>
        <v>2.1914340913148882E-4</v>
      </c>
      <c r="AV424" s="2">
        <f t="shared" ca="1" si="245"/>
        <v>0.21378774574712375</v>
      </c>
      <c r="AW424" s="2">
        <f t="shared" ca="1" si="246"/>
        <v>0.70900236055343713</v>
      </c>
      <c r="AX424" s="2">
        <f t="shared" ca="1" si="247"/>
        <v>5.3231639075239541E-2</v>
      </c>
      <c r="AY424" s="9">
        <f t="shared" ca="1" si="248"/>
        <v>0.70900236055343713</v>
      </c>
      <c r="AZ424" s="9">
        <f t="shared" ca="1" si="249"/>
        <v>0.70900236055343713</v>
      </c>
      <c r="BB424" s="2">
        <f t="shared" ca="1" si="250"/>
        <v>8.6945031874114189</v>
      </c>
      <c r="BC424" s="2">
        <f t="shared" ca="1" si="251"/>
        <v>0.40055031908209587</v>
      </c>
      <c r="BD424" s="2">
        <f t="shared" ca="1" si="252"/>
        <v>2.1914340913148882E-4</v>
      </c>
      <c r="BE424" s="2">
        <f t="shared" ca="1" si="253"/>
        <v>0.21378774574712375</v>
      </c>
      <c r="BF424" s="2">
        <f t="shared" ca="1" si="254"/>
        <v>0.70900236055343713</v>
      </c>
      <c r="BG424" s="2">
        <f t="shared" ca="1" si="255"/>
        <v>5.3231639075239541E-2</v>
      </c>
      <c r="BH424" s="2">
        <f t="shared" ca="1" si="256"/>
        <v>0.70900236055343713</v>
      </c>
      <c r="BI424" s="2">
        <f t="shared" ca="1" si="257"/>
        <v>0.70900236055343713</v>
      </c>
    </row>
    <row r="425" spans="1:61" ht="15" x14ac:dyDescent="0.25">
      <c r="A425" s="66">
        <v>359</v>
      </c>
      <c r="B425" s="66">
        <v>1498730308.622</v>
      </c>
      <c r="C425" s="67">
        <v>-8.5981786629383893E-5</v>
      </c>
      <c r="D425" s="67">
        <v>-3.6495151208125301E-5</v>
      </c>
      <c r="E425" s="67">
        <v>1.43567362332914E-2</v>
      </c>
      <c r="F425" s="67">
        <v>5.7327457935211698E-4</v>
      </c>
      <c r="G425" s="67">
        <v>-1.52960884295971E-4</v>
      </c>
      <c r="H425" s="67">
        <v>0.26531961521372099</v>
      </c>
      <c r="I425" s="67">
        <v>-3.6495151208125301E-5</v>
      </c>
      <c r="J425" s="67">
        <v>0.19163255010761601</v>
      </c>
      <c r="K425" s="67">
        <v>2.30595232880572</v>
      </c>
      <c r="L425" s="67"/>
      <c r="M425" s="67"/>
      <c r="O425" s="11">
        <f t="shared" ca="1" si="215"/>
        <v>-9.8785717339343928E-5</v>
      </c>
      <c r="P425" s="11">
        <f t="shared" ca="1" si="216"/>
        <v>-3.7260251438430039E-5</v>
      </c>
      <c r="Q425" s="11">
        <f t="shared" ca="1" si="217"/>
        <v>1.3520244621023116E-2</v>
      </c>
      <c r="R425" s="11">
        <f t="shared" ca="1" si="218"/>
        <v>5.6162809170576982E-4</v>
      </c>
      <c r="S425" s="11">
        <f t="shared" ca="1" si="219"/>
        <v>-1.6388853634294112E-4</v>
      </c>
      <c r="T425" s="11">
        <f t="shared" ca="1" si="220"/>
        <v>0.2641810601751387</v>
      </c>
      <c r="U425" s="11">
        <f t="shared" ca="1" si="221"/>
        <v>-3.7260251438430039E-5</v>
      </c>
      <c r="V425" s="11">
        <f t="shared" ca="1" si="222"/>
        <v>0.19098235410192224</v>
      </c>
      <c r="W425" s="11">
        <f t="shared" ca="1" si="223"/>
        <v>2.2988294805422149</v>
      </c>
      <c r="X425" s="11"/>
      <c r="Y425" s="2">
        <f t="shared" ca="1" si="224"/>
        <v>-9.8785717339343928E-5</v>
      </c>
      <c r="Z425" s="11">
        <f t="shared" ca="1" si="225"/>
        <v>-3.7260251438430039E-5</v>
      </c>
      <c r="AA425" s="2">
        <f t="shared" ca="1" si="226"/>
        <v>1.3520244621023116E-2</v>
      </c>
      <c r="AB425" s="2">
        <f t="shared" ca="1" si="227"/>
        <v>5.6162809170576982E-4</v>
      </c>
      <c r="AC425" s="2">
        <f t="shared" ca="1" si="228"/>
        <v>-1.6388853634294112E-4</v>
      </c>
      <c r="AD425" s="2">
        <f t="shared" ca="1" si="229"/>
        <v>0.2641810601751387</v>
      </c>
      <c r="AE425" s="2">
        <f t="shared" ca="1" si="230"/>
        <v>-3.7260251438430039E-5</v>
      </c>
      <c r="AF425" s="2">
        <f t="shared" ca="1" si="231"/>
        <v>0.19098235410192224</v>
      </c>
      <c r="AG425" s="2">
        <f t="shared" ca="1" si="232"/>
        <v>2.2988294805422149</v>
      </c>
      <c r="AI425" s="2">
        <f t="shared" ca="1" si="233"/>
        <v>-9.8785717339343928E-5</v>
      </c>
      <c r="AJ425" s="11">
        <f t="shared" ca="1" si="234"/>
        <v>-3.7260251438430039E-5</v>
      </c>
      <c r="AK425" s="2">
        <f t="shared" ca="1" si="235"/>
        <v>1.3520244621023116E-2</v>
      </c>
      <c r="AL425" s="2">
        <f t="shared" ca="1" si="236"/>
        <v>5.6162809170576982E-4</v>
      </c>
      <c r="AM425" s="2">
        <f t="shared" ca="1" si="237"/>
        <v>-1.6388853634294112E-4</v>
      </c>
      <c r="AN425" s="2">
        <f t="shared" ca="1" si="238"/>
        <v>0.2641810601751387</v>
      </c>
      <c r="AO425" s="2">
        <f t="shared" ca="1" si="239"/>
        <v>-3.7260251438430039E-5</v>
      </c>
      <c r="AP425" s="2">
        <f t="shared" ca="1" si="240"/>
        <v>0.19098235410192224</v>
      </c>
      <c r="AQ425" s="2">
        <f t="shared" ca="1" si="241"/>
        <v>2.2988294805422149</v>
      </c>
      <c r="AS425" s="2">
        <f t="shared" ca="1" si="242"/>
        <v>8.7017194912391034</v>
      </c>
      <c r="AT425" s="2">
        <f t="shared" ca="1" si="243"/>
        <v>0.40088680359758455</v>
      </c>
      <c r="AU425" s="2">
        <f t="shared" ca="1" si="244"/>
        <v>2.2514929049453715E-4</v>
      </c>
      <c r="AV425" s="2">
        <f t="shared" ca="1" si="245"/>
        <v>0.19075720481142772</v>
      </c>
      <c r="AW425" s="2">
        <f t="shared" ca="1" si="246"/>
        <v>0.70829614144814057</v>
      </c>
      <c r="AX425" s="2">
        <f t="shared" ca="1" si="247"/>
        <v>5.3220441541292227E-2</v>
      </c>
      <c r="AY425" s="9">
        <f t="shared" ca="1" si="248"/>
        <v>0.70829614144814057</v>
      </c>
      <c r="AZ425" s="9">
        <f t="shared" ca="1" si="249"/>
        <v>0.70829614144814057</v>
      </c>
      <c r="BB425" s="2">
        <f t="shared" ca="1" si="250"/>
        <v>8.7017194912391034</v>
      </c>
      <c r="BC425" s="2">
        <f t="shared" ca="1" si="251"/>
        <v>0.40088680359758455</v>
      </c>
      <c r="BD425" s="2">
        <f t="shared" ca="1" si="252"/>
        <v>2.2514929049453715E-4</v>
      </c>
      <c r="BE425" s="2">
        <f t="shared" ca="1" si="253"/>
        <v>0.19075720481142772</v>
      </c>
      <c r="BF425" s="2">
        <f t="shared" ca="1" si="254"/>
        <v>0.70829614144814057</v>
      </c>
      <c r="BG425" s="2">
        <f t="shared" ca="1" si="255"/>
        <v>5.3220441541292227E-2</v>
      </c>
      <c r="BH425" s="2">
        <f t="shared" ca="1" si="256"/>
        <v>0.70829614144814057</v>
      </c>
      <c r="BI425" s="2">
        <f t="shared" ca="1" si="257"/>
        <v>0.70829614144814057</v>
      </c>
    </row>
    <row r="426" spans="1:61" ht="15" x14ac:dyDescent="0.25">
      <c r="A426" s="66">
        <v>360</v>
      </c>
      <c r="B426" s="66">
        <v>1498730309.1489999</v>
      </c>
      <c r="C426" s="67">
        <v>-5.5511463459465999E-5</v>
      </c>
      <c r="D426" s="67">
        <v>3.9853740147272997E-6</v>
      </c>
      <c r="E426" s="67">
        <v>1.3868692422781799E-2</v>
      </c>
      <c r="F426" s="67">
        <v>4.9185733307219705E-4</v>
      </c>
      <c r="G426" s="67">
        <v>-9.94199397929676E-5</v>
      </c>
      <c r="H426" s="67">
        <v>0.25560971607083</v>
      </c>
      <c r="I426" s="67">
        <v>3.9853740147272997E-6</v>
      </c>
      <c r="J426" s="67">
        <v>0.184623408571787</v>
      </c>
      <c r="K426" s="67">
        <v>2.2219213042877501</v>
      </c>
      <c r="L426" s="67"/>
      <c r="M426" s="67"/>
      <c r="O426" s="11">
        <f t="shared" ca="1" si="215"/>
        <v>-6.8315394169426021E-5</v>
      </c>
      <c r="P426" s="11">
        <f t="shared" ca="1" si="216"/>
        <v>3.2202737844225594E-6</v>
      </c>
      <c r="Q426" s="11">
        <f t="shared" ca="1" si="217"/>
        <v>1.3032200810513515E-2</v>
      </c>
      <c r="R426" s="11">
        <f t="shared" ca="1" si="218"/>
        <v>4.8021084542584994E-4</v>
      </c>
      <c r="S426" s="11">
        <f t="shared" ca="1" si="219"/>
        <v>-1.1034759183993773E-4</v>
      </c>
      <c r="T426" s="11">
        <f t="shared" ca="1" si="220"/>
        <v>0.25447116103224771</v>
      </c>
      <c r="U426" s="11">
        <f t="shared" ca="1" si="221"/>
        <v>3.2202737844225594E-6</v>
      </c>
      <c r="V426" s="11">
        <f t="shared" ca="1" si="222"/>
        <v>0.18397321256609322</v>
      </c>
      <c r="W426" s="11">
        <f t="shared" ca="1" si="223"/>
        <v>2.2147984560242451</v>
      </c>
      <c r="X426" s="11"/>
      <c r="Y426" s="2">
        <f t="shared" ca="1" si="224"/>
        <v>-6.8315394169426021E-5</v>
      </c>
      <c r="Z426" s="11">
        <f t="shared" ca="1" si="225"/>
        <v>3.2202737844225594E-6</v>
      </c>
      <c r="AA426" s="2">
        <f t="shared" ca="1" si="226"/>
        <v>1.3032176173009308E-2</v>
      </c>
      <c r="AB426" s="2">
        <f t="shared" ca="1" si="227"/>
        <v>4.7961450583539175E-4</v>
      </c>
      <c r="AC426" s="2">
        <f t="shared" ca="1" si="228"/>
        <v>-1.1034759183993773E-4</v>
      </c>
      <c r="AD426" s="2">
        <f t="shared" ca="1" si="229"/>
        <v>0.25446682427156403</v>
      </c>
      <c r="AE426" s="2">
        <f t="shared" ca="1" si="230"/>
        <v>3.2202737844225594E-6</v>
      </c>
      <c r="AF426" s="2">
        <f t="shared" ca="1" si="231"/>
        <v>0.18396680821485767</v>
      </c>
      <c r="AG426" s="2">
        <f t="shared" ca="1" si="232"/>
        <v>2.2147958572874984</v>
      </c>
      <c r="AI426" s="2">
        <f t="shared" ca="1" si="233"/>
        <v>-6.8315394169426021E-5</v>
      </c>
      <c r="AJ426" s="11">
        <f t="shared" ca="1" si="234"/>
        <v>3.2202737844225594E-6</v>
      </c>
      <c r="AK426" s="2">
        <f t="shared" ca="1" si="235"/>
        <v>1.3028376845779659E-2</v>
      </c>
      <c r="AL426" s="2">
        <f t="shared" ca="1" si="236"/>
        <v>4.778362619926996E-4</v>
      </c>
      <c r="AM426" s="2">
        <f t="shared" ca="1" si="237"/>
        <v>-1.1034759183993773E-4</v>
      </c>
      <c r="AN426" s="2">
        <f t="shared" ca="1" si="238"/>
        <v>0.25446682427156403</v>
      </c>
      <c r="AO426" s="2">
        <f t="shared" ca="1" si="239"/>
        <v>3.2202737844225594E-6</v>
      </c>
      <c r="AP426" s="2">
        <f t="shared" ca="1" si="240"/>
        <v>0.18396680821485767</v>
      </c>
      <c r="AQ426" s="2">
        <f t="shared" ca="1" si="241"/>
        <v>2.2147958572874984</v>
      </c>
      <c r="AS426" s="2">
        <f t="shared" ca="1" si="242"/>
        <v>8.7035342120499699</v>
      </c>
      <c r="AT426" s="2">
        <f t="shared" ca="1" si="243"/>
        <v>0.40097142161137506</v>
      </c>
      <c r="AU426" s="2">
        <f t="shared" ca="1" si="244"/>
        <v>1.9255082536360333E-4</v>
      </c>
      <c r="AV426" s="2">
        <f t="shared" ca="1" si="245"/>
        <v>0.18378066174072963</v>
      </c>
      <c r="AW426" s="2">
        <f t="shared" ca="1" si="246"/>
        <v>0.70835544739692857</v>
      </c>
      <c r="AX426" s="2">
        <f t="shared" ca="1" si="247"/>
        <v>5.3268131333978459E-2</v>
      </c>
      <c r="AY426" s="9">
        <f t="shared" ca="1" si="248"/>
        <v>0.70835544739692857</v>
      </c>
      <c r="AZ426" s="9">
        <f t="shared" ca="1" si="249"/>
        <v>0.70835544739692857</v>
      </c>
      <c r="BB426" s="2">
        <f t="shared" ca="1" si="250"/>
        <v>8.7036723298904146</v>
      </c>
      <c r="BC426" s="2">
        <f t="shared" ca="1" si="251"/>
        <v>0.4009778618710344</v>
      </c>
      <c r="BD426" s="2">
        <f t="shared" ca="1" si="252"/>
        <v>1.916017626582801E-4</v>
      </c>
      <c r="BE426" s="2">
        <f t="shared" ca="1" si="253"/>
        <v>0.18377520645219939</v>
      </c>
      <c r="BF426" s="2">
        <f t="shared" ca="1" si="254"/>
        <v>0.70834083185014352</v>
      </c>
      <c r="BG426" s="2">
        <f t="shared" ca="1" si="255"/>
        <v>5.3254273462360197E-2</v>
      </c>
      <c r="BH426" s="2">
        <f t="shared" ca="1" si="256"/>
        <v>0.70834083185014352</v>
      </c>
      <c r="BI426" s="2">
        <f t="shared" ca="1" si="257"/>
        <v>0.70834083185014352</v>
      </c>
    </row>
    <row r="427" spans="1:61" ht="15" x14ac:dyDescent="0.25">
      <c r="A427" s="66">
        <v>361</v>
      </c>
      <c r="B427" s="66">
        <v>1498730309.6760001</v>
      </c>
      <c r="C427" s="67">
        <v>-4.1575112297952602E-5</v>
      </c>
      <c r="D427" s="67">
        <v>2.5035163051453598E-5</v>
      </c>
      <c r="E427" s="67">
        <v>1.2431019625703E-2</v>
      </c>
      <c r="F427" s="67">
        <v>5.3446962550786304E-4</v>
      </c>
      <c r="G427" s="67">
        <v>9.7582766364720397E-5</v>
      </c>
      <c r="H427" s="67">
        <v>0.226651994280992</v>
      </c>
      <c r="I427" s="67">
        <v>2.5035163051453598E-5</v>
      </c>
      <c r="J427" s="67">
        <v>0.16381791070931501</v>
      </c>
      <c r="K427" s="67">
        <v>1.97033713449508</v>
      </c>
      <c r="L427" s="67"/>
      <c r="M427" s="67"/>
      <c r="O427" s="11">
        <f t="shared" ca="1" si="215"/>
        <v>-5.4379043007912629E-5</v>
      </c>
      <c r="P427" s="11">
        <f t="shared" ca="1" si="216"/>
        <v>2.4270062821148856E-5</v>
      </c>
      <c r="Q427" s="11">
        <f t="shared" ca="1" si="217"/>
        <v>1.1594528013434715E-2</v>
      </c>
      <c r="R427" s="11">
        <f t="shared" ca="1" si="218"/>
        <v>5.2282313786151588E-4</v>
      </c>
      <c r="S427" s="11">
        <f t="shared" ca="1" si="219"/>
        <v>8.665511431775027E-5</v>
      </c>
      <c r="T427" s="11">
        <f t="shared" ca="1" si="220"/>
        <v>0.22551343924240971</v>
      </c>
      <c r="U427" s="11">
        <f t="shared" ca="1" si="221"/>
        <v>2.4270062821148856E-5</v>
      </c>
      <c r="V427" s="11">
        <f t="shared" ca="1" si="222"/>
        <v>0.16316771470362124</v>
      </c>
      <c r="W427" s="11">
        <f t="shared" ca="1" si="223"/>
        <v>1.9632142862315749</v>
      </c>
      <c r="X427" s="11"/>
      <c r="Y427" s="2">
        <f t="shared" ca="1" si="224"/>
        <v>-5.4379043007912629E-5</v>
      </c>
      <c r="Z427" s="11">
        <f t="shared" ca="1" si="225"/>
        <v>2.4270062821148856E-5</v>
      </c>
      <c r="AA427" s="2">
        <f t="shared" ca="1" si="226"/>
        <v>1.1594342329292656E-2</v>
      </c>
      <c r="AB427" s="2">
        <f t="shared" ca="1" si="227"/>
        <v>5.1832873760487635E-4</v>
      </c>
      <c r="AC427" s="2">
        <f t="shared" ca="1" si="228"/>
        <v>8.665511431775027E-5</v>
      </c>
      <c r="AD427" s="2">
        <f t="shared" ca="1" si="229"/>
        <v>0.22548075461331329</v>
      </c>
      <c r="AE427" s="2">
        <f t="shared" ca="1" si="230"/>
        <v>2.4270062821148856E-5</v>
      </c>
      <c r="AF427" s="2">
        <f t="shared" ca="1" si="231"/>
        <v>0.16311944737692141</v>
      </c>
      <c r="AG427" s="2">
        <f t="shared" ca="1" si="232"/>
        <v>1.9631947004732466</v>
      </c>
      <c r="AI427" s="2">
        <f t="shared" ca="1" si="233"/>
        <v>-5.4379043007912629E-5</v>
      </c>
      <c r="AJ427" s="11">
        <f t="shared" ca="1" si="234"/>
        <v>2.4270062821148856E-5</v>
      </c>
      <c r="AK427" s="2">
        <f t="shared" ca="1" si="235"/>
        <v>1.1565708145768353E-2</v>
      </c>
      <c r="AL427" s="2">
        <f t="shared" ca="1" si="236"/>
        <v>5.0492674365571952E-4</v>
      </c>
      <c r="AM427" s="2">
        <f t="shared" ca="1" si="237"/>
        <v>8.665511431775027E-5</v>
      </c>
      <c r="AN427" s="2">
        <f t="shared" ca="1" si="238"/>
        <v>0.22548075461331329</v>
      </c>
      <c r="AO427" s="2">
        <f t="shared" ca="1" si="239"/>
        <v>2.4270062821148856E-5</v>
      </c>
      <c r="AP427" s="2">
        <f t="shared" ca="1" si="240"/>
        <v>0.16311944737692141</v>
      </c>
      <c r="AQ427" s="2">
        <f t="shared" ca="1" si="241"/>
        <v>1.9631947004732466</v>
      </c>
      <c r="AS427" s="2">
        <f t="shared" ca="1" si="242"/>
        <v>8.7055312216726453</v>
      </c>
      <c r="AT427" s="2">
        <f t="shared" ca="1" si="243"/>
        <v>0.40106453975692186</v>
      </c>
      <c r="AU427" s="2">
        <f t="shared" ca="1" si="244"/>
        <v>2.0968582116069858E-4</v>
      </c>
      <c r="AV427" s="2">
        <f t="shared" ca="1" si="245"/>
        <v>0.16295802888246053</v>
      </c>
      <c r="AW427" s="2">
        <f t="shared" ca="1" si="246"/>
        <v>0.70866854504609988</v>
      </c>
      <c r="AX427" s="2">
        <f t="shared" ca="1" si="247"/>
        <v>5.3489787052276645E-2</v>
      </c>
      <c r="AY427" s="9">
        <f t="shared" ca="1" si="248"/>
        <v>0.70866854504609988</v>
      </c>
      <c r="AZ427" s="9">
        <f t="shared" ca="1" si="249"/>
        <v>0.70866854504609988</v>
      </c>
      <c r="BB427" s="2">
        <f t="shared" ca="1" si="250"/>
        <v>8.7067062722936779</v>
      </c>
      <c r="BC427" s="2">
        <f t="shared" ca="1" si="251"/>
        <v>0.40111933106854203</v>
      </c>
      <c r="BD427" s="2">
        <f t="shared" ca="1" si="252"/>
        <v>2.0253587765379941E-4</v>
      </c>
      <c r="BE427" s="2">
        <f t="shared" ca="1" si="253"/>
        <v>0.16291691149926762</v>
      </c>
      <c r="BF427" s="2">
        <f t="shared" ca="1" si="254"/>
        <v>0.70854427314976931</v>
      </c>
      <c r="BG427" s="2">
        <f t="shared" ca="1" si="255"/>
        <v>5.3371935344410919E-2</v>
      </c>
      <c r="BH427" s="2">
        <f t="shared" ca="1" si="256"/>
        <v>0.70854427314976931</v>
      </c>
      <c r="BI427" s="2">
        <f t="shared" ca="1" si="257"/>
        <v>0.70854427314976931</v>
      </c>
    </row>
    <row r="428" spans="1:61" ht="15" x14ac:dyDescent="0.25">
      <c r="A428" s="66">
        <v>362</v>
      </c>
      <c r="B428" s="66">
        <v>1498730310.2030001</v>
      </c>
      <c r="C428" s="67">
        <v>-9.9208922449935802E-5</v>
      </c>
      <c r="D428" s="67">
        <v>-4.3106502535375397E-5</v>
      </c>
      <c r="E428" s="67">
        <v>1.32531231693746E-2</v>
      </c>
      <c r="F428" s="67">
        <v>4.9138122834167602E-4</v>
      </c>
      <c r="G428" s="67">
        <v>-1.5183053502342299E-4</v>
      </c>
      <c r="H428" s="67">
        <v>0.247205051960564</v>
      </c>
      <c r="I428" s="67">
        <v>-4.3106502535375397E-5</v>
      </c>
      <c r="J428" s="67">
        <v>0.178473381861354</v>
      </c>
      <c r="K428" s="67">
        <v>2.1465670043889702</v>
      </c>
      <c r="L428" s="67"/>
      <c r="M428" s="67"/>
      <c r="O428" s="11">
        <f t="shared" ca="1" si="215"/>
        <v>-1.1201285315989582E-4</v>
      </c>
      <c r="P428" s="11">
        <f t="shared" ca="1" si="216"/>
        <v>-4.3871602765680136E-5</v>
      </c>
      <c r="Q428" s="11">
        <f t="shared" ca="1" si="217"/>
        <v>1.2416631557106315E-2</v>
      </c>
      <c r="R428" s="11">
        <f t="shared" ca="1" si="218"/>
        <v>4.7973474069532891E-4</v>
      </c>
      <c r="S428" s="11">
        <f t="shared" ca="1" si="219"/>
        <v>-1.627581870703931E-4</v>
      </c>
      <c r="T428" s="11">
        <f t="shared" ca="1" si="220"/>
        <v>0.24606649692198171</v>
      </c>
      <c r="U428" s="11">
        <f t="shared" ca="1" si="221"/>
        <v>-4.3871602765680136E-5</v>
      </c>
      <c r="V428" s="11">
        <f t="shared" ca="1" si="222"/>
        <v>0.17782318585566023</v>
      </c>
      <c r="W428" s="11">
        <f t="shared" ca="1" si="223"/>
        <v>2.1394441561254651</v>
      </c>
      <c r="X428" s="11"/>
      <c r="Y428" s="2">
        <f t="shared" ca="1" si="224"/>
        <v>-1.1201285315989582E-4</v>
      </c>
      <c r="Z428" s="11">
        <f t="shared" ca="1" si="225"/>
        <v>-4.3871602765680136E-5</v>
      </c>
      <c r="AA428" s="2">
        <f t="shared" ca="1" si="226"/>
        <v>1.2416631557106315E-2</v>
      </c>
      <c r="AB428" s="2">
        <f t="shared" ca="1" si="227"/>
        <v>4.7973474069532891E-4</v>
      </c>
      <c r="AC428" s="2">
        <f t="shared" ca="1" si="228"/>
        <v>-1.627581870703931E-4</v>
      </c>
      <c r="AD428" s="2">
        <f t="shared" ca="1" si="229"/>
        <v>0.24606649692198171</v>
      </c>
      <c r="AE428" s="2">
        <f t="shared" ca="1" si="230"/>
        <v>-4.3871602765680136E-5</v>
      </c>
      <c r="AF428" s="2">
        <f t="shared" ca="1" si="231"/>
        <v>0.17782318585566023</v>
      </c>
      <c r="AG428" s="2">
        <f t="shared" ca="1" si="232"/>
        <v>2.1394441561254651</v>
      </c>
      <c r="AI428" s="2">
        <f t="shared" ca="1" si="233"/>
        <v>-1.1201285315989582E-4</v>
      </c>
      <c r="AJ428" s="11">
        <f t="shared" ca="1" si="234"/>
        <v>-4.3871602765680136E-5</v>
      </c>
      <c r="AK428" s="2">
        <f t="shared" ca="1" si="235"/>
        <v>1.2416631557106315E-2</v>
      </c>
      <c r="AL428" s="2">
        <f t="shared" ca="1" si="236"/>
        <v>4.7973474069532891E-4</v>
      </c>
      <c r="AM428" s="2">
        <f t="shared" ca="1" si="237"/>
        <v>-1.627581870703931E-4</v>
      </c>
      <c r="AN428" s="2">
        <f t="shared" ca="1" si="238"/>
        <v>0.24606649692198171</v>
      </c>
      <c r="AO428" s="2">
        <f t="shared" ca="1" si="239"/>
        <v>-4.3871602765680136E-5</v>
      </c>
      <c r="AP428" s="2">
        <f t="shared" ca="1" si="240"/>
        <v>0.17782318585566023</v>
      </c>
      <c r="AQ428" s="2">
        <f t="shared" ca="1" si="241"/>
        <v>2.1394441561254651</v>
      </c>
      <c r="AS428" s="2">
        <f t="shared" ca="1" si="242"/>
        <v>8.6945772093622367</v>
      </c>
      <c r="AT428" s="2">
        <f t="shared" ca="1" si="243"/>
        <v>0.40055377058813069</v>
      </c>
      <c r="AU428" s="2">
        <f t="shared" ca="1" si="244"/>
        <v>1.9215955926763314E-4</v>
      </c>
      <c r="AV428" s="2">
        <f t="shared" ca="1" si="245"/>
        <v>0.1776310262963926</v>
      </c>
      <c r="AW428" s="2">
        <f t="shared" ca="1" si="246"/>
        <v>0.70840485652836627</v>
      </c>
      <c r="AX428" s="2">
        <f t="shared" ca="1" si="247"/>
        <v>5.2430259629619336E-2</v>
      </c>
      <c r="AY428" s="9">
        <f t="shared" ca="1" si="248"/>
        <v>0.70840485652836627</v>
      </c>
      <c r="AZ428" s="9">
        <f t="shared" ca="1" si="249"/>
        <v>0.70840485652836627</v>
      </c>
      <c r="BB428" s="2">
        <f t="shared" ca="1" si="250"/>
        <v>8.6945772093622367</v>
      </c>
      <c r="BC428" s="2">
        <f t="shared" ca="1" si="251"/>
        <v>0.40055377058813069</v>
      </c>
      <c r="BD428" s="2">
        <f t="shared" ca="1" si="252"/>
        <v>1.9215955926763314E-4</v>
      </c>
      <c r="BE428" s="2">
        <f t="shared" ca="1" si="253"/>
        <v>0.1776310262963926</v>
      </c>
      <c r="BF428" s="2">
        <f t="shared" ca="1" si="254"/>
        <v>0.70840485652836627</v>
      </c>
      <c r="BG428" s="2">
        <f t="shared" ca="1" si="255"/>
        <v>5.2430259629619336E-2</v>
      </c>
      <c r="BH428" s="2">
        <f t="shared" ca="1" si="256"/>
        <v>0.70840485652836627</v>
      </c>
      <c r="BI428" s="2">
        <f t="shared" ca="1" si="257"/>
        <v>0.70840485652836627</v>
      </c>
    </row>
    <row r="429" spans="1:61" ht="15" x14ac:dyDescent="0.25">
      <c r="A429" s="66">
        <v>363</v>
      </c>
      <c r="B429" s="66">
        <v>1498730310.73</v>
      </c>
      <c r="C429" s="67">
        <v>5.69297647555034E-5</v>
      </c>
      <c r="D429" s="67">
        <v>4.3749837541722802E-5</v>
      </c>
      <c r="E429" s="67">
        <v>1.3310251903822E-2</v>
      </c>
      <c r="F429" s="67">
        <v>5.3827863400869103E-4</v>
      </c>
      <c r="G429" s="67">
        <v>7.8003573591900395E-5</v>
      </c>
      <c r="H429" s="67">
        <v>0.24530133010510599</v>
      </c>
      <c r="I429" s="67">
        <v>4.3749837541722802E-5</v>
      </c>
      <c r="J429" s="67">
        <v>0.17719072501449801</v>
      </c>
      <c r="K429" s="67">
        <v>2.1283767730709</v>
      </c>
      <c r="L429" s="67"/>
      <c r="M429" s="67"/>
      <c r="O429" s="11">
        <f t="shared" ca="1" si="215"/>
        <v>4.4125834045543372E-5</v>
      </c>
      <c r="P429" s="11">
        <f t="shared" ca="1" si="216"/>
        <v>4.2984737311418063E-5</v>
      </c>
      <c r="Q429" s="11">
        <f t="shared" ca="1" si="217"/>
        <v>1.2473760291553716E-2</v>
      </c>
      <c r="R429" s="11">
        <f t="shared" ca="1" si="218"/>
        <v>5.2663214636234387E-4</v>
      </c>
      <c r="S429" s="11">
        <f t="shared" ca="1" si="219"/>
        <v>6.7075921544930268E-5</v>
      </c>
      <c r="T429" s="11">
        <f t="shared" ca="1" si="220"/>
        <v>0.2441627750665237</v>
      </c>
      <c r="U429" s="11">
        <f t="shared" ca="1" si="221"/>
        <v>4.2984737311418063E-5</v>
      </c>
      <c r="V429" s="11">
        <f t="shared" ca="1" si="222"/>
        <v>0.17654052900880424</v>
      </c>
      <c r="W429" s="11">
        <f t="shared" ca="1" si="223"/>
        <v>2.1212539248073949</v>
      </c>
      <c r="X429" s="11"/>
      <c r="Y429" s="2">
        <f t="shared" ca="1" si="224"/>
        <v>4.4125834045543372E-5</v>
      </c>
      <c r="Z429" s="11">
        <f t="shared" ca="1" si="225"/>
        <v>4.2984737311418063E-5</v>
      </c>
      <c r="AA429" s="2">
        <f t="shared" ca="1" si="226"/>
        <v>1.247343142614747E-2</v>
      </c>
      <c r="AB429" s="2">
        <f t="shared" ca="1" si="227"/>
        <v>5.1867210868845404E-4</v>
      </c>
      <c r="AC429" s="2">
        <f t="shared" ca="1" si="228"/>
        <v>6.7075921544930268E-5</v>
      </c>
      <c r="AD429" s="2">
        <f t="shared" ca="1" si="229"/>
        <v>0.24410488728081076</v>
      </c>
      <c r="AE429" s="2">
        <f t="shared" ca="1" si="230"/>
        <v>4.2984737311418063E-5</v>
      </c>
      <c r="AF429" s="2">
        <f t="shared" ca="1" si="231"/>
        <v>0.17645504268871492</v>
      </c>
      <c r="AG429" s="2">
        <f t="shared" ca="1" si="232"/>
        <v>2.1212192364473776</v>
      </c>
      <c r="AI429" s="2">
        <f t="shared" ca="1" si="233"/>
        <v>4.4125834045543372E-5</v>
      </c>
      <c r="AJ429" s="11">
        <f t="shared" ca="1" si="234"/>
        <v>4.2984737311418063E-5</v>
      </c>
      <c r="AK429" s="2">
        <f t="shared" ca="1" si="235"/>
        <v>1.2422717389435272E-2</v>
      </c>
      <c r="AL429" s="2">
        <f t="shared" ca="1" si="236"/>
        <v>4.9493582116423205E-4</v>
      </c>
      <c r="AM429" s="2">
        <f t="shared" ca="1" si="237"/>
        <v>6.7075921544930268E-5</v>
      </c>
      <c r="AN429" s="2">
        <f t="shared" ca="1" si="238"/>
        <v>0.24410488728081076</v>
      </c>
      <c r="AO429" s="2">
        <f t="shared" ca="1" si="239"/>
        <v>4.2984737311418063E-5</v>
      </c>
      <c r="AP429" s="2">
        <f t="shared" ca="1" si="240"/>
        <v>0.17645504268871492</v>
      </c>
      <c r="AQ429" s="2">
        <f t="shared" ca="1" si="241"/>
        <v>2.1212192364473776</v>
      </c>
      <c r="AS429" s="2">
        <f t="shared" ca="1" si="242"/>
        <v>8.6878678546696797</v>
      </c>
      <c r="AT429" s="2">
        <f t="shared" ca="1" si="243"/>
        <v>0.4002409272929548</v>
      </c>
      <c r="AU429" s="2">
        <f t="shared" ca="1" si="244"/>
        <v>2.1077973860234359E-4</v>
      </c>
      <c r="AV429" s="2">
        <f t="shared" ca="1" si="245"/>
        <v>0.1763297492702019</v>
      </c>
      <c r="AW429" s="2">
        <f t="shared" ca="1" si="246"/>
        <v>0.70897376485824415</v>
      </c>
      <c r="AX429" s="2">
        <f t="shared" ca="1" si="247"/>
        <v>5.3040252785721533E-2</v>
      </c>
      <c r="AY429" s="9">
        <f t="shared" ca="1" si="248"/>
        <v>0.70897376485824415</v>
      </c>
      <c r="AZ429" s="9">
        <f t="shared" ca="1" si="249"/>
        <v>0.70897376485824415</v>
      </c>
      <c r="BB429" s="2">
        <f t="shared" ca="1" si="250"/>
        <v>8.6897860181193032</v>
      </c>
      <c r="BC429" s="2">
        <f t="shared" ca="1" si="251"/>
        <v>0.40033036697762026</v>
      </c>
      <c r="BD429" s="2">
        <f t="shared" ca="1" si="252"/>
        <v>1.9813783891704684E-4</v>
      </c>
      <c r="BE429" s="2">
        <f t="shared" ca="1" si="253"/>
        <v>0.17625690484979789</v>
      </c>
      <c r="BF429" s="2">
        <f t="shared" ca="1" si="254"/>
        <v>0.7087701347029004</v>
      </c>
      <c r="BG429" s="2">
        <f t="shared" ca="1" si="255"/>
        <v>5.2847674232680733E-2</v>
      </c>
      <c r="BH429" s="2">
        <f t="shared" ca="1" si="256"/>
        <v>0.7087701347029004</v>
      </c>
      <c r="BI429" s="2">
        <f t="shared" ca="1" si="257"/>
        <v>0.7087701347029004</v>
      </c>
    </row>
    <row r="430" spans="1:61" ht="15" x14ac:dyDescent="0.25">
      <c r="A430" s="66">
        <v>364</v>
      </c>
      <c r="B430" s="66">
        <v>1498730311.257</v>
      </c>
      <c r="C430" s="67">
        <v>4.9370291045424099E-5</v>
      </c>
      <c r="D430" s="67">
        <v>8.7808364820424294E-6</v>
      </c>
      <c r="E430" s="67">
        <v>1.29747571462342E-2</v>
      </c>
      <c r="F430" s="67">
        <v>4.5257945570239698E-4</v>
      </c>
      <c r="G430" s="67">
        <v>5.2811403313928302E-6</v>
      </c>
      <c r="H430" s="67">
        <v>0.23706886228202201</v>
      </c>
      <c r="I430" s="67">
        <v>8.7808364820424294E-6</v>
      </c>
      <c r="J430" s="67">
        <v>0.17139926627214999</v>
      </c>
      <c r="K430" s="67">
        <v>2.0615470189015102</v>
      </c>
      <c r="L430" s="67"/>
      <c r="M430" s="67"/>
      <c r="O430" s="11">
        <f t="shared" ca="1" si="215"/>
        <v>3.6566360335464072E-5</v>
      </c>
      <c r="P430" s="11">
        <f t="shared" ca="1" si="216"/>
        <v>8.0157362517376891E-6</v>
      </c>
      <c r="Q430" s="11">
        <f t="shared" ca="1" si="217"/>
        <v>1.2138265533965915E-2</v>
      </c>
      <c r="R430" s="11">
        <f t="shared" ca="1" si="218"/>
        <v>4.4093296805604987E-4</v>
      </c>
      <c r="S430" s="11">
        <f t="shared" ca="1" si="219"/>
        <v>-5.6465117155772922E-6</v>
      </c>
      <c r="T430" s="11">
        <f t="shared" ca="1" si="220"/>
        <v>0.23593030724343972</v>
      </c>
      <c r="U430" s="11">
        <f t="shared" ca="1" si="221"/>
        <v>8.0157362517376891E-6</v>
      </c>
      <c r="V430" s="11">
        <f t="shared" ca="1" si="222"/>
        <v>0.17074907026645622</v>
      </c>
      <c r="W430" s="11">
        <f t="shared" ca="1" si="223"/>
        <v>2.0544241706380051</v>
      </c>
      <c r="X430" s="11"/>
      <c r="Y430" s="2">
        <f t="shared" ca="1" si="224"/>
        <v>3.6566360335464072E-5</v>
      </c>
      <c r="Z430" s="11">
        <f t="shared" ca="1" si="225"/>
        <v>8.0157362517376891E-6</v>
      </c>
      <c r="AA430" s="2">
        <f t="shared" ca="1" si="226"/>
        <v>1.2138204207585351E-2</v>
      </c>
      <c r="AB430" s="2">
        <f t="shared" ca="1" si="227"/>
        <v>4.3944859089013782E-4</v>
      </c>
      <c r="AC430" s="2">
        <f t="shared" ca="1" si="228"/>
        <v>-5.6465117155772922E-6</v>
      </c>
      <c r="AD430" s="2">
        <f t="shared" ca="1" si="229"/>
        <v>0.23591951240667916</v>
      </c>
      <c r="AE430" s="2">
        <f t="shared" ca="1" si="230"/>
        <v>8.0157362517376891E-6</v>
      </c>
      <c r="AF430" s="2">
        <f t="shared" ca="1" si="231"/>
        <v>0.17073312889196315</v>
      </c>
      <c r="AG430" s="2">
        <f t="shared" ca="1" si="232"/>
        <v>2.054417701999081</v>
      </c>
      <c r="AI430" s="2">
        <f t="shared" ca="1" si="233"/>
        <v>3.6566360335464072E-5</v>
      </c>
      <c r="AJ430" s="11">
        <f t="shared" ca="1" si="234"/>
        <v>8.0157362517376891E-6</v>
      </c>
      <c r="AK430" s="2">
        <f t="shared" ca="1" si="235"/>
        <v>1.2128747121931883E-2</v>
      </c>
      <c r="AL430" s="2">
        <f t="shared" ca="1" si="236"/>
        <v>4.3502227977856487E-4</v>
      </c>
      <c r="AM430" s="2">
        <f t="shared" ca="1" si="237"/>
        <v>-5.6465117155772922E-6</v>
      </c>
      <c r="AN430" s="2">
        <f t="shared" ca="1" si="238"/>
        <v>0.23591951240667916</v>
      </c>
      <c r="AO430" s="2">
        <f t="shared" ca="1" si="239"/>
        <v>8.0157362517376891E-6</v>
      </c>
      <c r="AP430" s="2">
        <f t="shared" ca="1" si="240"/>
        <v>0.17073312889196315</v>
      </c>
      <c r="AQ430" s="2">
        <f t="shared" ca="1" si="241"/>
        <v>2.054417701999081</v>
      </c>
      <c r="AS430" s="2">
        <f t="shared" ca="1" si="242"/>
        <v>8.7077586370376352</v>
      </c>
      <c r="AT430" s="2">
        <f t="shared" ca="1" si="243"/>
        <v>0.40116840174945489</v>
      </c>
      <c r="AU430" s="2">
        <f t="shared" ca="1" si="244"/>
        <v>1.7688837407368898E-4</v>
      </c>
      <c r="AV430" s="2">
        <f t="shared" ca="1" si="245"/>
        <v>0.17057218189238252</v>
      </c>
      <c r="AW430" s="2">
        <f t="shared" ca="1" si="246"/>
        <v>0.70893814040235459</v>
      </c>
      <c r="AX430" s="2">
        <f t="shared" ca="1" si="247"/>
        <v>5.3539808329293177E-2</v>
      </c>
      <c r="AY430" s="9">
        <f t="shared" ca="1" si="248"/>
        <v>0.70893814040235459</v>
      </c>
      <c r="AZ430" s="9">
        <f t="shared" ca="1" si="249"/>
        <v>0.70893814040235459</v>
      </c>
      <c r="BB430" s="2">
        <f t="shared" ca="1" si="250"/>
        <v>8.7081296542257434</v>
      </c>
      <c r="BC430" s="2">
        <f t="shared" ca="1" si="251"/>
        <v>0.40118570191482389</v>
      </c>
      <c r="BD430" s="2">
        <f t="shared" ca="1" si="252"/>
        <v>1.7452471866155045E-4</v>
      </c>
      <c r="BE430" s="2">
        <f t="shared" ca="1" si="253"/>
        <v>0.1705586041733016</v>
      </c>
      <c r="BF430" s="2">
        <f t="shared" ca="1" si="254"/>
        <v>0.70889893347432176</v>
      </c>
      <c r="BG430" s="2">
        <f t="shared" ca="1" si="255"/>
        <v>5.3502604637844058E-2</v>
      </c>
      <c r="BH430" s="2">
        <f t="shared" ca="1" si="256"/>
        <v>0.70889893347432176</v>
      </c>
      <c r="BI430" s="2">
        <f t="shared" ca="1" si="257"/>
        <v>0.70889893347432176</v>
      </c>
    </row>
    <row r="431" spans="1:61" ht="15" x14ac:dyDescent="0.25">
      <c r="A431" s="66">
        <v>365</v>
      </c>
      <c r="B431" s="66">
        <v>1498730311.783</v>
      </c>
      <c r="C431" s="67">
        <v>-3.2362840501754898E-5</v>
      </c>
      <c r="D431" s="67">
        <v>-3.7152283620615202E-6</v>
      </c>
      <c r="E431" s="67">
        <v>1.2114837127776499E-2</v>
      </c>
      <c r="F431" s="67">
        <v>5.1685315012120698E-4</v>
      </c>
      <c r="G431" s="67">
        <v>-1.08985474753244E-4</v>
      </c>
      <c r="H431" s="67">
        <v>0.223268830596313</v>
      </c>
      <c r="I431" s="67">
        <v>-3.7152283620615202E-6</v>
      </c>
      <c r="J431" s="67">
        <v>0.161298711315013</v>
      </c>
      <c r="K431" s="67">
        <v>1.9403224772221801</v>
      </c>
      <c r="L431" s="67"/>
      <c r="M431" s="67"/>
      <c r="O431" s="11">
        <f t="shared" ca="1" si="215"/>
        <v>-4.5166771211714926E-5</v>
      </c>
      <c r="P431" s="11">
        <f t="shared" ca="1" si="216"/>
        <v>-4.4803285923662609E-6</v>
      </c>
      <c r="Q431" s="11">
        <f t="shared" ca="1" si="217"/>
        <v>1.1278345515508215E-2</v>
      </c>
      <c r="R431" s="11">
        <f t="shared" ca="1" si="218"/>
        <v>5.0520666247485981E-4</v>
      </c>
      <c r="S431" s="11">
        <f t="shared" ca="1" si="219"/>
        <v>-1.1991312680021413E-4</v>
      </c>
      <c r="T431" s="11">
        <f t="shared" ca="1" si="220"/>
        <v>0.22213027555773071</v>
      </c>
      <c r="U431" s="11">
        <f t="shared" ca="1" si="221"/>
        <v>-4.4803285923662609E-6</v>
      </c>
      <c r="V431" s="11">
        <f t="shared" ca="1" si="222"/>
        <v>0.16064851530931923</v>
      </c>
      <c r="W431" s="11">
        <f t="shared" ca="1" si="223"/>
        <v>1.933199628958675</v>
      </c>
      <c r="X431" s="11"/>
      <c r="Y431" s="2">
        <f t="shared" ca="1" si="224"/>
        <v>-4.5166771211714926E-5</v>
      </c>
      <c r="Z431" s="11">
        <f t="shared" ca="1" si="225"/>
        <v>-4.4803285923662609E-6</v>
      </c>
      <c r="AA431" s="2">
        <f t="shared" ca="1" si="226"/>
        <v>1.1278345515508215E-2</v>
      </c>
      <c r="AB431" s="2">
        <f t="shared" ca="1" si="227"/>
        <v>5.0520666247485981E-4</v>
      </c>
      <c r="AC431" s="2">
        <f t="shared" ca="1" si="228"/>
        <v>-1.1991312680021413E-4</v>
      </c>
      <c r="AD431" s="2">
        <f t="shared" ca="1" si="229"/>
        <v>0.22213027555773071</v>
      </c>
      <c r="AE431" s="2">
        <f t="shared" ca="1" si="230"/>
        <v>-4.4803285923662609E-6</v>
      </c>
      <c r="AF431" s="2">
        <f t="shared" ca="1" si="231"/>
        <v>0.16064851530931923</v>
      </c>
      <c r="AG431" s="2">
        <f t="shared" ca="1" si="232"/>
        <v>1.933199628958675</v>
      </c>
      <c r="AI431" s="2">
        <f t="shared" ca="1" si="233"/>
        <v>-4.5166771211714926E-5</v>
      </c>
      <c r="AJ431" s="11">
        <f t="shared" ca="1" si="234"/>
        <v>-4.4803285923662609E-6</v>
      </c>
      <c r="AK431" s="2">
        <f t="shared" ca="1" si="235"/>
        <v>1.1278345515508215E-2</v>
      </c>
      <c r="AL431" s="2">
        <f t="shared" ca="1" si="236"/>
        <v>5.0520666247485981E-4</v>
      </c>
      <c r="AM431" s="2">
        <f t="shared" ca="1" si="237"/>
        <v>-1.1991312680021413E-4</v>
      </c>
      <c r="AN431" s="2">
        <f t="shared" ca="1" si="238"/>
        <v>0.22213027555773071</v>
      </c>
      <c r="AO431" s="2">
        <f t="shared" ca="1" si="239"/>
        <v>-4.4803285923662609E-6</v>
      </c>
      <c r="AP431" s="2">
        <f t="shared" ca="1" si="240"/>
        <v>0.16064851530931923</v>
      </c>
      <c r="AQ431" s="2">
        <f t="shared" ca="1" si="241"/>
        <v>1.933199628958675</v>
      </c>
      <c r="AS431" s="2">
        <f t="shared" ca="1" si="242"/>
        <v>8.7029992832122733</v>
      </c>
      <c r="AT431" s="2">
        <f t="shared" ca="1" si="243"/>
        <v>0.40094647857007559</v>
      </c>
      <c r="AU431" s="2">
        <f t="shared" ca="1" si="244"/>
        <v>2.0256083226943578E-4</v>
      </c>
      <c r="AV431" s="2">
        <f t="shared" ca="1" si="245"/>
        <v>0.16044595447704979</v>
      </c>
      <c r="AW431" s="2">
        <f t="shared" ca="1" si="246"/>
        <v>0.70847488052095675</v>
      </c>
      <c r="AX431" s="2">
        <f t="shared" ca="1" si="247"/>
        <v>5.2807863358569004E-2</v>
      </c>
      <c r="AY431" s="9">
        <f t="shared" ca="1" si="248"/>
        <v>0.70847488052095675</v>
      </c>
      <c r="AZ431" s="9">
        <f t="shared" ca="1" si="249"/>
        <v>0.70847488052095675</v>
      </c>
      <c r="BB431" s="2">
        <f t="shared" ca="1" si="250"/>
        <v>8.7029992832122733</v>
      </c>
      <c r="BC431" s="2">
        <f t="shared" ca="1" si="251"/>
        <v>0.40094647857007559</v>
      </c>
      <c r="BD431" s="2">
        <f t="shared" ca="1" si="252"/>
        <v>2.0256083226943578E-4</v>
      </c>
      <c r="BE431" s="2">
        <f t="shared" ca="1" si="253"/>
        <v>0.16044595447704979</v>
      </c>
      <c r="BF431" s="2">
        <f t="shared" ca="1" si="254"/>
        <v>0.70847488052095675</v>
      </c>
      <c r="BG431" s="2">
        <f t="shared" ca="1" si="255"/>
        <v>5.2807863358569004E-2</v>
      </c>
      <c r="BH431" s="2">
        <f t="shared" ca="1" si="256"/>
        <v>0.70847488052095675</v>
      </c>
      <c r="BI431" s="2">
        <f t="shared" ca="1" si="257"/>
        <v>0.70847488052095675</v>
      </c>
    </row>
    <row r="432" spans="1:61" ht="15" x14ac:dyDescent="0.25">
      <c r="A432" s="66">
        <v>366</v>
      </c>
      <c r="B432" s="66">
        <v>1498730312.3099999</v>
      </c>
      <c r="C432" s="67">
        <v>-1.04169052918801E-4</v>
      </c>
      <c r="D432" s="67">
        <v>3.8436397355934802E-6</v>
      </c>
      <c r="E432" s="67">
        <v>1.10521486446097E-2</v>
      </c>
      <c r="F432" s="67">
        <v>4.7519380252758801E-4</v>
      </c>
      <c r="G432" s="67">
        <v>-3.8260776008335203E-5</v>
      </c>
      <c r="H432" s="67">
        <v>0.199813310603072</v>
      </c>
      <c r="I432" s="67">
        <v>3.8436397355934802E-6</v>
      </c>
      <c r="J432" s="67">
        <v>0.14454903542431</v>
      </c>
      <c r="K432" s="67">
        <v>1.73831513135007</v>
      </c>
      <c r="L432" s="67"/>
      <c r="M432" s="67"/>
      <c r="O432" s="11">
        <f t="shared" ca="1" si="215"/>
        <v>-1.1697298362876103E-4</v>
      </c>
      <c r="P432" s="11">
        <f t="shared" ca="1" si="216"/>
        <v>3.0785395052887399E-6</v>
      </c>
      <c r="Q432" s="11">
        <f t="shared" ca="1" si="217"/>
        <v>1.0215657032341416E-2</v>
      </c>
      <c r="R432" s="11">
        <f t="shared" ca="1" si="218"/>
        <v>4.635473148812409E-4</v>
      </c>
      <c r="S432" s="11">
        <f t="shared" ca="1" si="219"/>
        <v>-4.9188428055305324E-5</v>
      </c>
      <c r="T432" s="11">
        <f t="shared" ca="1" si="220"/>
        <v>0.19867475556448971</v>
      </c>
      <c r="U432" s="11">
        <f t="shared" ca="1" si="221"/>
        <v>3.0785395052887399E-6</v>
      </c>
      <c r="V432" s="11">
        <f t="shared" ca="1" si="222"/>
        <v>0.14389883941861623</v>
      </c>
      <c r="W432" s="11">
        <f t="shared" ca="1" si="223"/>
        <v>1.7311922830865649</v>
      </c>
      <c r="X432" s="11"/>
      <c r="Y432" s="2">
        <f t="shared" ca="1" si="224"/>
        <v>-1.1697298362876103E-4</v>
      </c>
      <c r="Z432" s="11">
        <f t="shared" ca="1" si="225"/>
        <v>3.0785395052887399E-6</v>
      </c>
      <c r="AA432" s="2">
        <f t="shared" ca="1" si="226"/>
        <v>1.0215633479210505E-2</v>
      </c>
      <c r="AB432" s="2">
        <f t="shared" ca="1" si="227"/>
        <v>4.6297722205352118E-4</v>
      </c>
      <c r="AC432" s="2">
        <f t="shared" ca="1" si="228"/>
        <v>-4.9188428055305324E-5</v>
      </c>
      <c r="AD432" s="2">
        <f t="shared" ca="1" si="229"/>
        <v>0.19867060967815103</v>
      </c>
      <c r="AE432" s="2">
        <f t="shared" ca="1" si="230"/>
        <v>3.0785395052887399E-6</v>
      </c>
      <c r="AF432" s="2">
        <f t="shared" ca="1" si="231"/>
        <v>0.14389271694282557</v>
      </c>
      <c r="AG432" s="2">
        <f t="shared" ca="1" si="232"/>
        <v>1.7311897987283167</v>
      </c>
      <c r="AI432" s="2">
        <f t="shared" ca="1" si="233"/>
        <v>-1.1697298362876103E-4</v>
      </c>
      <c r="AJ432" s="11">
        <f t="shared" ca="1" si="234"/>
        <v>3.0785395052887399E-6</v>
      </c>
      <c r="AK432" s="2">
        <f t="shared" ca="1" si="235"/>
        <v>1.0212001372205638E-2</v>
      </c>
      <c r="AL432" s="2">
        <f t="shared" ca="1" si="236"/>
        <v>4.6127724426087342E-4</v>
      </c>
      <c r="AM432" s="2">
        <f t="shared" ca="1" si="237"/>
        <v>-4.9188428055305324E-5</v>
      </c>
      <c r="AN432" s="2">
        <f t="shared" ca="1" si="238"/>
        <v>0.19867060967815103</v>
      </c>
      <c r="AO432" s="2">
        <f t="shared" ca="1" si="239"/>
        <v>3.0785395052887399E-6</v>
      </c>
      <c r="AP432" s="2">
        <f t="shared" ca="1" si="240"/>
        <v>0.14389271694282557</v>
      </c>
      <c r="AQ432" s="2">
        <f t="shared" ca="1" si="241"/>
        <v>1.7311897987283167</v>
      </c>
      <c r="AS432" s="2">
        <f t="shared" ca="1" si="242"/>
        <v>8.713700329806727</v>
      </c>
      <c r="AT432" s="2">
        <f t="shared" ca="1" si="243"/>
        <v>0.40144545809474258</v>
      </c>
      <c r="AU432" s="2">
        <f t="shared" ca="1" si="244"/>
        <v>1.8608896417108764E-4</v>
      </c>
      <c r="AV432" s="2">
        <f t="shared" ca="1" si="245"/>
        <v>0.14371275045444515</v>
      </c>
      <c r="AW432" s="2">
        <f t="shared" ca="1" si="246"/>
        <v>0.70906704422478584</v>
      </c>
      <c r="AX432" s="2">
        <f t="shared" ca="1" si="247"/>
        <v>5.3546446293314752E-2</v>
      </c>
      <c r="AY432" s="9">
        <f t="shared" ca="1" si="248"/>
        <v>0.70906704422478584</v>
      </c>
      <c r="AZ432" s="9">
        <f t="shared" ca="1" si="249"/>
        <v>0.70906704422478584</v>
      </c>
      <c r="BB432" s="2">
        <f t="shared" ca="1" si="250"/>
        <v>8.7138696636249655</v>
      </c>
      <c r="BC432" s="2">
        <f t="shared" ca="1" si="251"/>
        <v>0.40145335402780635</v>
      </c>
      <c r="BD432" s="2">
        <f t="shared" ca="1" si="252"/>
        <v>1.8518129684523131E-4</v>
      </c>
      <c r="BE432" s="2">
        <f t="shared" ca="1" si="253"/>
        <v>0.14370753564598035</v>
      </c>
      <c r="BF432" s="2">
        <f t="shared" ca="1" si="254"/>
        <v>0.709049172183154</v>
      </c>
      <c r="BG432" s="2">
        <f t="shared" ca="1" si="255"/>
        <v>5.3529466185418768E-2</v>
      </c>
      <c r="BH432" s="2">
        <f t="shared" ca="1" si="256"/>
        <v>0.709049172183154</v>
      </c>
      <c r="BI432" s="2">
        <f t="shared" ca="1" si="257"/>
        <v>0.709049172183154</v>
      </c>
    </row>
    <row r="433" spans="1:61" ht="15" x14ac:dyDescent="0.25">
      <c r="A433" s="66">
        <v>367</v>
      </c>
      <c r="B433" s="66">
        <v>1498730312.8369999</v>
      </c>
      <c r="C433" s="67">
        <v>-5.7401123121951302E-5</v>
      </c>
      <c r="D433" s="67">
        <v>1.6458783802338399E-5</v>
      </c>
      <c r="E433" s="67">
        <v>1.19910881156355E-2</v>
      </c>
      <c r="F433" s="67">
        <v>4.1187492159639198E-4</v>
      </c>
      <c r="G433" s="67">
        <v>-2.77418643279622E-5</v>
      </c>
      <c r="H433" s="67">
        <v>0.22197696000764799</v>
      </c>
      <c r="I433" s="67">
        <v>1.6458783802338399E-5</v>
      </c>
      <c r="J433" s="67">
        <v>0.160429757033211</v>
      </c>
      <c r="K433" s="67">
        <v>1.92493744352583</v>
      </c>
      <c r="L433" s="67"/>
      <c r="M433" s="67"/>
      <c r="O433" s="11">
        <f t="shared" ca="1" si="215"/>
        <v>-7.0205053831911337E-5</v>
      </c>
      <c r="P433" s="11">
        <f t="shared" ca="1" si="216"/>
        <v>1.5693683572033657E-5</v>
      </c>
      <c r="Q433" s="11">
        <f t="shared" ca="1" si="217"/>
        <v>1.1154596503367215E-2</v>
      </c>
      <c r="R433" s="11">
        <f t="shared" ca="1" si="218"/>
        <v>4.0022843395004487E-4</v>
      </c>
      <c r="S433" s="11">
        <f t="shared" ca="1" si="219"/>
        <v>-3.8669516374932321E-5</v>
      </c>
      <c r="T433" s="11">
        <f t="shared" ca="1" si="220"/>
        <v>0.2208384049690657</v>
      </c>
      <c r="U433" s="11">
        <f t="shared" ca="1" si="221"/>
        <v>1.5693683572033657E-5</v>
      </c>
      <c r="V433" s="11">
        <f t="shared" ca="1" si="222"/>
        <v>0.15977956102751723</v>
      </c>
      <c r="W433" s="11">
        <f t="shared" ca="1" si="223"/>
        <v>1.9178145952623249</v>
      </c>
      <c r="X433" s="11"/>
      <c r="Y433" s="2">
        <f t="shared" ca="1" si="224"/>
        <v>-7.0205053831911337E-5</v>
      </c>
      <c r="Z433" s="11">
        <f t="shared" ca="1" si="225"/>
        <v>1.5693683572033657E-5</v>
      </c>
      <c r="AA433" s="2">
        <f t="shared" ca="1" si="226"/>
        <v>1.1154476434944183E-2</v>
      </c>
      <c r="AB433" s="2">
        <f t="shared" ca="1" si="227"/>
        <v>3.9732223234712589E-4</v>
      </c>
      <c r="AC433" s="2">
        <f t="shared" ca="1" si="228"/>
        <v>-3.8669516374932321E-5</v>
      </c>
      <c r="AD433" s="2">
        <f t="shared" ca="1" si="229"/>
        <v>0.22081727019778438</v>
      </c>
      <c r="AE433" s="2">
        <f t="shared" ca="1" si="230"/>
        <v>1.5693683572033657E-5</v>
      </c>
      <c r="AF433" s="2">
        <f t="shared" ca="1" si="231"/>
        <v>0.15974835005959856</v>
      </c>
      <c r="AG433" s="2">
        <f t="shared" ca="1" si="232"/>
        <v>1.9178019305776066</v>
      </c>
      <c r="AI433" s="2">
        <f t="shared" ca="1" si="233"/>
        <v>-7.0205053831911337E-5</v>
      </c>
      <c r="AJ433" s="11">
        <f t="shared" ca="1" si="234"/>
        <v>1.5693683572033657E-5</v>
      </c>
      <c r="AK433" s="2">
        <f t="shared" ca="1" si="235"/>
        <v>1.1135960792076445E-2</v>
      </c>
      <c r="AL433" s="2">
        <f t="shared" ca="1" si="236"/>
        <v>3.8865613808019639E-4</v>
      </c>
      <c r="AM433" s="2">
        <f t="shared" ca="1" si="237"/>
        <v>-3.8669516374932321E-5</v>
      </c>
      <c r="AN433" s="2">
        <f t="shared" ca="1" si="238"/>
        <v>0.22081727019778438</v>
      </c>
      <c r="AO433" s="2">
        <f t="shared" ca="1" si="239"/>
        <v>1.5693683572033657E-5</v>
      </c>
      <c r="AP433" s="2">
        <f t="shared" ca="1" si="240"/>
        <v>0.15974835005959856</v>
      </c>
      <c r="AQ433" s="2">
        <f t="shared" ca="1" si="241"/>
        <v>1.9178019305776066</v>
      </c>
      <c r="AS433" s="2">
        <f t="shared" ca="1" si="242"/>
        <v>8.684244008785365</v>
      </c>
      <c r="AT433" s="2">
        <f t="shared" ca="1" si="243"/>
        <v>0.40007195609328161</v>
      </c>
      <c r="AU433" s="2">
        <f t="shared" ca="1" si="244"/>
        <v>1.6012017245454522E-4</v>
      </c>
      <c r="AV433" s="2">
        <f t="shared" ca="1" si="245"/>
        <v>0.15961944085506269</v>
      </c>
      <c r="AW433" s="2">
        <f t="shared" ca="1" si="246"/>
        <v>0.70971903918760526</v>
      </c>
      <c r="AX433" s="2">
        <f t="shared" ca="1" si="247"/>
        <v>5.2418127810078811E-2</v>
      </c>
      <c r="AY433" s="9" t="str">
        <f t="shared" ca="1" si="248"/>
        <v>rejected</v>
      </c>
      <c r="AZ433" s="9" t="e">
        <f t="shared" ca="1" si="249"/>
        <v>#N/A</v>
      </c>
      <c r="BB433" s="2">
        <f t="shared" ca="1" si="250"/>
        <v>8.6850178378704062</v>
      </c>
      <c r="BC433" s="2">
        <f t="shared" ca="1" si="251"/>
        <v>0.4001080378066954</v>
      </c>
      <c r="BD433" s="2">
        <f t="shared" ca="1" si="252"/>
        <v>1.5550444478879544E-4</v>
      </c>
      <c r="BE433" s="2">
        <f t="shared" ca="1" si="253"/>
        <v>0.15959284561480977</v>
      </c>
      <c r="BF433" s="2">
        <f t="shared" ca="1" si="254"/>
        <v>0.70963686186121744</v>
      </c>
      <c r="BG433" s="2">
        <f t="shared" ca="1" si="255"/>
        <v>5.234033467857574E-2</v>
      </c>
      <c r="BH433" s="2" t="str">
        <f t="shared" ca="1" si="256"/>
        <v>rejected</v>
      </c>
      <c r="BI433" s="2" t="e">
        <f t="shared" ca="1" si="257"/>
        <v>#N/A</v>
      </c>
    </row>
    <row r="434" spans="1:61" ht="15" x14ac:dyDescent="0.25">
      <c r="A434" s="66">
        <v>368</v>
      </c>
      <c r="B434" s="66">
        <v>1498730313.3640001</v>
      </c>
      <c r="C434" s="67">
        <v>-2.3150483167629299E-5</v>
      </c>
      <c r="D434" s="67">
        <v>-2.81358831811432E-5</v>
      </c>
      <c r="E434" s="67">
        <v>1.2299525786362399E-2</v>
      </c>
      <c r="F434" s="67">
        <v>5.4327797970820301E-4</v>
      </c>
      <c r="G434" s="67">
        <v>-6.7646613259153104E-5</v>
      </c>
      <c r="H434" s="67">
        <v>0.22344422648177301</v>
      </c>
      <c r="I434" s="67">
        <v>-2.81358831811432E-5</v>
      </c>
      <c r="J434" s="67">
        <v>0.161441978948941</v>
      </c>
      <c r="K434" s="67">
        <v>1.94069330552805</v>
      </c>
      <c r="L434" s="67"/>
      <c r="M434" s="67"/>
      <c r="O434" s="11">
        <f t="shared" ca="1" si="215"/>
        <v>-3.5954413877589327E-5</v>
      </c>
      <c r="P434" s="11">
        <f t="shared" ca="1" si="216"/>
        <v>-2.8900983411447942E-5</v>
      </c>
      <c r="Q434" s="11">
        <f t="shared" ca="1" si="217"/>
        <v>1.1463034174094115E-2</v>
      </c>
      <c r="R434" s="11">
        <f t="shared" ca="1" si="218"/>
        <v>5.3163149206185585E-4</v>
      </c>
      <c r="S434" s="11">
        <f t="shared" ca="1" si="219"/>
        <v>-7.8574265306123232E-5</v>
      </c>
      <c r="T434" s="11">
        <f t="shared" ca="1" si="220"/>
        <v>0.22230567144319072</v>
      </c>
      <c r="U434" s="11">
        <f t="shared" ca="1" si="221"/>
        <v>-2.8900983411447942E-5</v>
      </c>
      <c r="V434" s="11">
        <f t="shared" ca="1" si="222"/>
        <v>0.16079178294324722</v>
      </c>
      <c r="W434" s="11">
        <f t="shared" ca="1" si="223"/>
        <v>1.9335704572645449</v>
      </c>
      <c r="X434" s="11"/>
      <c r="Y434" s="2">
        <f t="shared" ca="1" si="224"/>
        <v>-3.5954413877589327E-5</v>
      </c>
      <c r="Z434" s="11">
        <f t="shared" ca="1" si="225"/>
        <v>-2.8900983411447942E-5</v>
      </c>
      <c r="AA434" s="2">
        <f t="shared" ca="1" si="226"/>
        <v>1.1463034174094115E-2</v>
      </c>
      <c r="AB434" s="2">
        <f t="shared" ca="1" si="227"/>
        <v>5.3163149206185585E-4</v>
      </c>
      <c r="AC434" s="2">
        <f t="shared" ca="1" si="228"/>
        <v>-7.8574265306123232E-5</v>
      </c>
      <c r="AD434" s="2">
        <f t="shared" ca="1" si="229"/>
        <v>0.22230567144319072</v>
      </c>
      <c r="AE434" s="2">
        <f t="shared" ca="1" si="230"/>
        <v>-2.8900983411447942E-5</v>
      </c>
      <c r="AF434" s="2">
        <f t="shared" ca="1" si="231"/>
        <v>0.16079178294324722</v>
      </c>
      <c r="AG434" s="2">
        <f t="shared" ca="1" si="232"/>
        <v>1.9335704572645449</v>
      </c>
      <c r="AI434" s="2">
        <f t="shared" ca="1" si="233"/>
        <v>-3.5954413877589327E-5</v>
      </c>
      <c r="AJ434" s="11">
        <f t="shared" ca="1" si="234"/>
        <v>-2.8900983411447942E-5</v>
      </c>
      <c r="AK434" s="2">
        <f t="shared" ca="1" si="235"/>
        <v>1.1463034174094115E-2</v>
      </c>
      <c r="AL434" s="2">
        <f t="shared" ca="1" si="236"/>
        <v>5.3163149206185585E-4</v>
      </c>
      <c r="AM434" s="2">
        <f t="shared" ca="1" si="237"/>
        <v>-7.8574265306123232E-5</v>
      </c>
      <c r="AN434" s="2">
        <f t="shared" ca="1" si="238"/>
        <v>0.22230567144319072</v>
      </c>
      <c r="AO434" s="2">
        <f t="shared" ca="1" si="239"/>
        <v>-2.8900983411447942E-5</v>
      </c>
      <c r="AP434" s="2">
        <f t="shared" ca="1" si="240"/>
        <v>0.16079178294324722</v>
      </c>
      <c r="AQ434" s="2">
        <f t="shared" ca="1" si="241"/>
        <v>1.9335704572645449</v>
      </c>
      <c r="AS434" s="2">
        <f t="shared" ca="1" si="242"/>
        <v>8.6978008465189376</v>
      </c>
      <c r="AT434" s="2">
        <f t="shared" ca="1" si="243"/>
        <v>0.40070408314496236</v>
      </c>
      <c r="AU434" s="2">
        <f t="shared" ca="1" si="244"/>
        <v>2.1302690959763428E-4</v>
      </c>
      <c r="AV434" s="2">
        <f t="shared" ca="1" si="245"/>
        <v>0.1605787560336496</v>
      </c>
      <c r="AW434" s="2">
        <f t="shared" ca="1" si="246"/>
        <v>0.70871506427003317</v>
      </c>
      <c r="AX434" s="2">
        <f t="shared" ca="1" si="247"/>
        <v>5.3597493368059981E-2</v>
      </c>
      <c r="AY434" s="9">
        <f t="shared" ca="1" si="248"/>
        <v>0.70871506427003317</v>
      </c>
      <c r="AZ434" s="9">
        <f t="shared" ca="1" si="249"/>
        <v>0.70871506427003317</v>
      </c>
      <c r="BB434" s="2">
        <f t="shared" ca="1" si="250"/>
        <v>8.6978008465189376</v>
      </c>
      <c r="BC434" s="2">
        <f t="shared" ca="1" si="251"/>
        <v>0.40070408314496236</v>
      </c>
      <c r="BD434" s="2">
        <f t="shared" ca="1" si="252"/>
        <v>2.1302690959763428E-4</v>
      </c>
      <c r="BE434" s="2">
        <f t="shared" ca="1" si="253"/>
        <v>0.1605787560336496</v>
      </c>
      <c r="BF434" s="2">
        <f t="shared" ca="1" si="254"/>
        <v>0.70871506427003317</v>
      </c>
      <c r="BG434" s="2">
        <f t="shared" ca="1" si="255"/>
        <v>5.3597493368059981E-2</v>
      </c>
      <c r="BH434" s="2">
        <f t="shared" ca="1" si="256"/>
        <v>0.70871506427003317</v>
      </c>
      <c r="BI434" s="2">
        <f t="shared" ca="1" si="257"/>
        <v>0.70871506427003317</v>
      </c>
    </row>
    <row r="435" spans="1:61" ht="15" x14ac:dyDescent="0.25">
      <c r="A435" s="66">
        <v>369</v>
      </c>
      <c r="B435" s="66">
        <v>1498730313.891</v>
      </c>
      <c r="C435" s="67">
        <v>2.4802399248063101E-5</v>
      </c>
      <c r="D435" s="67">
        <v>-2.1798799044327398E-6</v>
      </c>
      <c r="E435" s="67">
        <v>1.17282319175149E-2</v>
      </c>
      <c r="F435" s="67">
        <v>5.3446962550786304E-4</v>
      </c>
      <c r="G435" s="67">
        <v>3.7490957877529697E-5</v>
      </c>
      <c r="H435" s="67">
        <v>0.21598359548247101</v>
      </c>
      <c r="I435" s="67">
        <v>-2.1798799044327398E-6</v>
      </c>
      <c r="J435" s="67">
        <v>0.15578509221114101</v>
      </c>
      <c r="K435" s="67">
        <v>1.87528926925698</v>
      </c>
      <c r="L435" s="67"/>
      <c r="M435" s="67"/>
      <c r="O435" s="11">
        <f t="shared" ca="1" si="215"/>
        <v>1.1998468538103073E-5</v>
      </c>
      <c r="P435" s="11">
        <f t="shared" ca="1" si="216"/>
        <v>-2.9449801347374801E-6</v>
      </c>
      <c r="Q435" s="11">
        <f t="shared" ca="1" si="217"/>
        <v>1.0891740305246615E-2</v>
      </c>
      <c r="R435" s="11">
        <f t="shared" ca="1" si="218"/>
        <v>5.2282313786151588E-4</v>
      </c>
      <c r="S435" s="11">
        <f t="shared" ca="1" si="219"/>
        <v>2.6563305830559577E-5</v>
      </c>
      <c r="T435" s="11">
        <f t="shared" ca="1" si="220"/>
        <v>0.21484504044388872</v>
      </c>
      <c r="U435" s="11">
        <f t="shared" ca="1" si="221"/>
        <v>-2.9449801347374801E-6</v>
      </c>
      <c r="V435" s="11">
        <f t="shared" ca="1" si="222"/>
        <v>0.15513489620544724</v>
      </c>
      <c r="W435" s="11">
        <f t="shared" ca="1" si="223"/>
        <v>1.868166420993475</v>
      </c>
      <c r="X435" s="11"/>
      <c r="Y435" s="2">
        <f t="shared" ca="1" si="224"/>
        <v>1.1998468538103073E-5</v>
      </c>
      <c r="Z435" s="11">
        <f t="shared" ca="1" si="225"/>
        <v>-2.9449801347374801E-6</v>
      </c>
      <c r="AA435" s="2">
        <f t="shared" ca="1" si="226"/>
        <v>1.0891740305246615E-2</v>
      </c>
      <c r="AB435" s="2">
        <f t="shared" ca="1" si="227"/>
        <v>5.2282313786151588E-4</v>
      </c>
      <c r="AC435" s="2">
        <f t="shared" ca="1" si="228"/>
        <v>2.6563305830559577E-5</v>
      </c>
      <c r="AD435" s="2">
        <f t="shared" ca="1" si="229"/>
        <v>0.21484504044388872</v>
      </c>
      <c r="AE435" s="2">
        <f t="shared" ca="1" si="230"/>
        <v>-2.9449801347374801E-6</v>
      </c>
      <c r="AF435" s="2">
        <f t="shared" ca="1" si="231"/>
        <v>0.15513489620544724</v>
      </c>
      <c r="AG435" s="2">
        <f t="shared" ca="1" si="232"/>
        <v>1.868166420993475</v>
      </c>
      <c r="AI435" s="2">
        <f t="shared" ca="1" si="233"/>
        <v>1.1998468538103073E-5</v>
      </c>
      <c r="AJ435" s="11">
        <f t="shared" ca="1" si="234"/>
        <v>-2.9449801347374801E-6</v>
      </c>
      <c r="AK435" s="2">
        <f t="shared" ca="1" si="235"/>
        <v>1.0891740305246615E-2</v>
      </c>
      <c r="AL435" s="2">
        <f t="shared" ca="1" si="236"/>
        <v>5.2282313786151588E-4</v>
      </c>
      <c r="AM435" s="2">
        <f t="shared" ca="1" si="237"/>
        <v>2.6563305830559577E-5</v>
      </c>
      <c r="AN435" s="2">
        <f t="shared" ca="1" si="238"/>
        <v>0.21484504044388872</v>
      </c>
      <c r="AO435" s="2">
        <f t="shared" ca="1" si="239"/>
        <v>-2.9449801347374801E-6</v>
      </c>
      <c r="AP435" s="2">
        <f t="shared" ca="1" si="240"/>
        <v>0.15513489620544724</v>
      </c>
      <c r="AQ435" s="2">
        <f t="shared" ca="1" si="241"/>
        <v>1.868166420993475</v>
      </c>
      <c r="AS435" s="2">
        <f t="shared" ca="1" si="242"/>
        <v>8.6954132947806428</v>
      </c>
      <c r="AT435" s="2">
        <f t="shared" ca="1" si="243"/>
        <v>0.40059275572250197</v>
      </c>
      <c r="AU435" s="2">
        <f t="shared" ca="1" si="244"/>
        <v>2.094391615514302E-4</v>
      </c>
      <c r="AV435" s="2">
        <f t="shared" ca="1" si="245"/>
        <v>0.15492545704389582</v>
      </c>
      <c r="AW435" s="2">
        <f t="shared" ca="1" si="246"/>
        <v>0.70760617535160197</v>
      </c>
      <c r="AX435" s="2">
        <f t="shared" ca="1" si="247"/>
        <v>5.2679952779917202E-2</v>
      </c>
      <c r="AY435" s="9" t="str">
        <f t="shared" ca="1" si="248"/>
        <v>rejected</v>
      </c>
      <c r="AZ435" s="9" t="e">
        <f t="shared" ca="1" si="249"/>
        <v>#N/A</v>
      </c>
      <c r="BB435" s="2">
        <f t="shared" ca="1" si="250"/>
        <v>8.6954132947806428</v>
      </c>
      <c r="BC435" s="2">
        <f t="shared" ca="1" si="251"/>
        <v>0.40059275572250197</v>
      </c>
      <c r="BD435" s="2">
        <f t="shared" ca="1" si="252"/>
        <v>2.094391615514302E-4</v>
      </c>
      <c r="BE435" s="2">
        <f t="shared" ca="1" si="253"/>
        <v>0.15492545704389582</v>
      </c>
      <c r="BF435" s="2">
        <f t="shared" ca="1" si="254"/>
        <v>0.70760617535160197</v>
      </c>
      <c r="BG435" s="2">
        <f t="shared" ca="1" si="255"/>
        <v>5.2679952779917202E-2</v>
      </c>
      <c r="BH435" s="2" t="str">
        <f t="shared" ca="1" si="256"/>
        <v>rejected</v>
      </c>
      <c r="BI435" s="2" t="e">
        <f t="shared" ca="1" si="257"/>
        <v>#N/A</v>
      </c>
    </row>
    <row r="436" spans="1:61" ht="15" x14ac:dyDescent="0.25">
      <c r="A436" s="66">
        <v>370</v>
      </c>
      <c r="B436" s="66">
        <v>1498730314.4189999</v>
      </c>
      <c r="C436" s="67">
        <v>-1.0158551806117601E-5</v>
      </c>
      <c r="D436" s="67">
        <v>1.8892226526661999E-5</v>
      </c>
      <c r="E436" s="67">
        <v>1.17368964171087E-2</v>
      </c>
      <c r="F436" s="67">
        <v>3.2023628149942501E-4</v>
      </c>
      <c r="G436" s="67">
        <v>-8.6111224621390894E-5</v>
      </c>
      <c r="H436" s="67">
        <v>0.215689343736886</v>
      </c>
      <c r="I436" s="67">
        <v>1.8892226526661999E-5</v>
      </c>
      <c r="J436" s="67">
        <v>0.15573075209231299</v>
      </c>
      <c r="K436" s="67">
        <v>1.87289181484533</v>
      </c>
      <c r="L436" s="67"/>
      <c r="M436" s="67"/>
      <c r="O436" s="11">
        <f t="shared" ca="1" si="215"/>
        <v>-2.2962482516077629E-5</v>
      </c>
      <c r="P436" s="11">
        <f t="shared" ca="1" si="216"/>
        <v>1.8127126296357257E-5</v>
      </c>
      <c r="Q436" s="11">
        <f t="shared" ca="1" si="217"/>
        <v>1.0900404804840415E-2</v>
      </c>
      <c r="R436" s="11">
        <f t="shared" ca="1" si="218"/>
        <v>3.085897938530779E-4</v>
      </c>
      <c r="S436" s="11">
        <f t="shared" ca="1" si="219"/>
        <v>-9.7038876668361021E-5</v>
      </c>
      <c r="T436" s="11">
        <f t="shared" ca="1" si="220"/>
        <v>0.21455078869830371</v>
      </c>
      <c r="U436" s="11">
        <f t="shared" ca="1" si="221"/>
        <v>1.8127126296357257E-5</v>
      </c>
      <c r="V436" s="11">
        <f t="shared" ca="1" si="222"/>
        <v>0.15508055608661922</v>
      </c>
      <c r="W436" s="11">
        <f t="shared" ca="1" si="223"/>
        <v>1.8657689665818249</v>
      </c>
      <c r="X436" s="11"/>
      <c r="Y436" s="2">
        <f t="shared" ca="1" si="224"/>
        <v>-2.2962482516077629E-5</v>
      </c>
      <c r="Z436" s="11">
        <f t="shared" ca="1" si="225"/>
        <v>1.8127126296357257E-5</v>
      </c>
      <c r="AA436" s="2">
        <f t="shared" ca="1" si="226"/>
        <v>1.0900266118759579E-2</v>
      </c>
      <c r="AB436" s="2">
        <f t="shared" ca="1" si="227"/>
        <v>3.0523296030555649E-4</v>
      </c>
      <c r="AC436" s="2">
        <f t="shared" ca="1" si="228"/>
        <v>-9.7038876668361021E-5</v>
      </c>
      <c r="AD436" s="2">
        <f t="shared" ca="1" si="229"/>
        <v>0.21452637679612011</v>
      </c>
      <c r="AE436" s="2">
        <f t="shared" ca="1" si="230"/>
        <v>1.8127126296357257E-5</v>
      </c>
      <c r="AF436" s="2">
        <f t="shared" ca="1" si="231"/>
        <v>0.15504450558549268</v>
      </c>
      <c r="AG436" s="2">
        <f t="shared" ca="1" si="232"/>
        <v>1.8657543381271133</v>
      </c>
      <c r="AI436" s="2">
        <f t="shared" ca="1" si="233"/>
        <v>-2.2962482516077629E-5</v>
      </c>
      <c r="AJ436" s="11">
        <f t="shared" ca="1" si="234"/>
        <v>1.8127126296357257E-5</v>
      </c>
      <c r="AK436" s="2">
        <f t="shared" ca="1" si="235"/>
        <v>1.0878879463728517E-2</v>
      </c>
      <c r="AL436" s="2">
        <f t="shared" ca="1" si="236"/>
        <v>2.9522311242301686E-4</v>
      </c>
      <c r="AM436" s="2">
        <f t="shared" ca="1" si="237"/>
        <v>-9.7038876668361021E-5</v>
      </c>
      <c r="AN436" s="2">
        <f t="shared" ca="1" si="238"/>
        <v>0.21452637679612011</v>
      </c>
      <c r="AO436" s="2">
        <f t="shared" ca="1" si="239"/>
        <v>1.8127126296357257E-5</v>
      </c>
      <c r="AP436" s="2">
        <f t="shared" ca="1" si="240"/>
        <v>0.15504450558549268</v>
      </c>
      <c r="AQ436" s="2">
        <f t="shared" ca="1" si="241"/>
        <v>1.8657543381271133</v>
      </c>
      <c r="AS436" s="2">
        <f t="shared" ca="1" si="242"/>
        <v>8.6961645673809453</v>
      </c>
      <c r="AT436" s="2">
        <f t="shared" ca="1" si="243"/>
        <v>0.40062778622901685</v>
      </c>
      <c r="AU436" s="2">
        <f t="shared" ca="1" si="244"/>
        <v>1.2362964596422728E-4</v>
      </c>
      <c r="AV436" s="2">
        <f t="shared" ca="1" si="245"/>
        <v>0.15495692644065498</v>
      </c>
      <c r="AW436" s="2">
        <f t="shared" ca="1" si="246"/>
        <v>0.70868973792586187</v>
      </c>
      <c r="AX436" s="2">
        <f t="shared" ca="1" si="247"/>
        <v>5.2798834556376059E-2</v>
      </c>
      <c r="AY436" s="9">
        <f t="shared" ca="1" si="248"/>
        <v>0.70868973792586187</v>
      </c>
      <c r="AZ436" s="9">
        <f t="shared" ca="1" si="249"/>
        <v>0.70868973792586187</v>
      </c>
      <c r="BB436" s="2">
        <f t="shared" ca="1" si="250"/>
        <v>8.6970859527463809</v>
      </c>
      <c r="BC436" s="2">
        <f t="shared" ca="1" si="251"/>
        <v>0.40067074884163245</v>
      </c>
      <c r="BD436" s="2">
        <f t="shared" ca="1" si="252"/>
        <v>1.1828726552988762E-4</v>
      </c>
      <c r="BE436" s="2">
        <f t="shared" ca="1" si="253"/>
        <v>0.15492621831996278</v>
      </c>
      <c r="BF436" s="2">
        <f t="shared" ca="1" si="254"/>
        <v>0.70859211688875068</v>
      </c>
      <c r="BG436" s="2">
        <f t="shared" ca="1" si="255"/>
        <v>5.2706281155153432E-2</v>
      </c>
      <c r="BH436" s="2">
        <f t="shared" ca="1" si="256"/>
        <v>0.70859211688875068</v>
      </c>
      <c r="BI436" s="2">
        <f t="shared" ca="1" si="257"/>
        <v>0.70859211688875068</v>
      </c>
    </row>
    <row r="437" spans="1:61" ht="15" x14ac:dyDescent="0.25">
      <c r="A437" s="66">
        <v>371</v>
      </c>
      <c r="B437" s="66">
        <v>1498730314.9460001</v>
      </c>
      <c r="C437" s="67">
        <v>2.1259003513172599E-5</v>
      </c>
      <c r="D437" s="67">
        <v>-7.2214816658394403E-5</v>
      </c>
      <c r="E437" s="67">
        <v>1.21656412048247E-2</v>
      </c>
      <c r="F437" s="67">
        <v>4.45200148057614E-4</v>
      </c>
      <c r="G437" s="67">
        <v>-1.1078747301190099E-5</v>
      </c>
      <c r="H437" s="67">
        <v>0.22254138955512401</v>
      </c>
      <c r="I437" s="67">
        <v>-7.2214816658394403E-5</v>
      </c>
      <c r="J437" s="67">
        <v>0.16078202765685601</v>
      </c>
      <c r="K437" s="67">
        <v>1.9310977232353801</v>
      </c>
      <c r="L437" s="67"/>
      <c r="M437" s="67"/>
      <c r="O437" s="11">
        <f t="shared" ca="1" si="215"/>
        <v>8.4550728032125717E-6</v>
      </c>
      <c r="P437" s="11">
        <f t="shared" ca="1" si="216"/>
        <v>-7.2979916888699141E-5</v>
      </c>
      <c r="Q437" s="11">
        <f t="shared" ca="1" si="217"/>
        <v>1.1329149592556416E-2</v>
      </c>
      <c r="R437" s="11">
        <f t="shared" ca="1" si="218"/>
        <v>4.3355366041126689E-4</v>
      </c>
      <c r="S437" s="11">
        <f t="shared" ca="1" si="219"/>
        <v>-2.2006399348160222E-5</v>
      </c>
      <c r="T437" s="11">
        <f t="shared" ca="1" si="220"/>
        <v>0.22140283451654172</v>
      </c>
      <c r="U437" s="11">
        <f t="shared" ca="1" si="221"/>
        <v>-7.2979916888699141E-5</v>
      </c>
      <c r="V437" s="11">
        <f t="shared" ca="1" si="222"/>
        <v>0.16013183165116224</v>
      </c>
      <c r="W437" s="11">
        <f t="shared" ca="1" si="223"/>
        <v>1.923974874971875</v>
      </c>
      <c r="X437" s="11"/>
      <c r="Y437" s="2">
        <f t="shared" ca="1" si="224"/>
        <v>8.4550728032125717E-6</v>
      </c>
      <c r="Z437" s="11">
        <f t="shared" ca="1" si="225"/>
        <v>-7.2979916888699141E-5</v>
      </c>
      <c r="AA437" s="2">
        <f t="shared" ca="1" si="226"/>
        <v>1.1329149592556416E-2</v>
      </c>
      <c r="AB437" s="2">
        <f t="shared" ca="1" si="227"/>
        <v>4.3355366041126689E-4</v>
      </c>
      <c r="AC437" s="2">
        <f t="shared" ca="1" si="228"/>
        <v>-2.2006399348160222E-5</v>
      </c>
      <c r="AD437" s="2">
        <f t="shared" ca="1" si="229"/>
        <v>0.22140283451654172</v>
      </c>
      <c r="AE437" s="2">
        <f t="shared" ca="1" si="230"/>
        <v>-7.2979916888699141E-5</v>
      </c>
      <c r="AF437" s="2">
        <f t="shared" ca="1" si="231"/>
        <v>0.16013183165116224</v>
      </c>
      <c r="AG437" s="2">
        <f t="shared" ca="1" si="232"/>
        <v>1.923974874971875</v>
      </c>
      <c r="AI437" s="2">
        <f t="shared" ca="1" si="233"/>
        <v>8.4550728032125717E-6</v>
      </c>
      <c r="AJ437" s="11">
        <f t="shared" ca="1" si="234"/>
        <v>-7.2979916888699141E-5</v>
      </c>
      <c r="AK437" s="2">
        <f t="shared" ca="1" si="235"/>
        <v>1.1329149592556416E-2</v>
      </c>
      <c r="AL437" s="2">
        <f t="shared" ca="1" si="236"/>
        <v>4.3355366041126689E-4</v>
      </c>
      <c r="AM437" s="2">
        <f t="shared" ca="1" si="237"/>
        <v>-2.2006399348160222E-5</v>
      </c>
      <c r="AN437" s="2">
        <f t="shared" ca="1" si="238"/>
        <v>0.22140283451654172</v>
      </c>
      <c r="AO437" s="2">
        <f t="shared" ca="1" si="239"/>
        <v>-7.2979916888699141E-5</v>
      </c>
      <c r="AP437" s="2">
        <f t="shared" ca="1" si="240"/>
        <v>0.16013183165116224</v>
      </c>
      <c r="AQ437" s="2">
        <f t="shared" ca="1" si="241"/>
        <v>1.923974874971875</v>
      </c>
      <c r="AS437" s="2">
        <f t="shared" ca="1" si="242"/>
        <v>8.6899288311872471</v>
      </c>
      <c r="AT437" s="2">
        <f t="shared" ca="1" si="243"/>
        <v>0.40033702604212212</v>
      </c>
      <c r="AU437" s="2">
        <f t="shared" ca="1" si="244"/>
        <v>1.7356758303872273E-4</v>
      </c>
      <c r="AV437" s="2">
        <f t="shared" ca="1" si="245"/>
        <v>0.15995826406812352</v>
      </c>
      <c r="AW437" s="2">
        <f t="shared" ca="1" si="246"/>
        <v>0.70917865560617299</v>
      </c>
      <c r="AX437" s="2">
        <f t="shared" ca="1" si="247"/>
        <v>5.313824251799211E-2</v>
      </c>
      <c r="AY437" s="9">
        <f t="shared" ca="1" si="248"/>
        <v>0.70917865560617299</v>
      </c>
      <c r="AZ437" s="9">
        <f t="shared" ca="1" si="249"/>
        <v>0.70917865560617299</v>
      </c>
      <c r="BB437" s="2">
        <f t="shared" ca="1" si="250"/>
        <v>8.6899288311872471</v>
      </c>
      <c r="BC437" s="2">
        <f t="shared" ca="1" si="251"/>
        <v>0.40033702604212212</v>
      </c>
      <c r="BD437" s="2">
        <f t="shared" ca="1" si="252"/>
        <v>1.7356758303872273E-4</v>
      </c>
      <c r="BE437" s="2">
        <f t="shared" ca="1" si="253"/>
        <v>0.15995826406812352</v>
      </c>
      <c r="BF437" s="2">
        <f t="shared" ca="1" si="254"/>
        <v>0.70917865560617299</v>
      </c>
      <c r="BG437" s="2">
        <f t="shared" ca="1" si="255"/>
        <v>5.313824251799211E-2</v>
      </c>
      <c r="BH437" s="2">
        <f t="shared" ca="1" si="256"/>
        <v>0.70917865560617299</v>
      </c>
      <c r="BI437" s="2">
        <f t="shared" ca="1" si="257"/>
        <v>0.70917865560617299</v>
      </c>
    </row>
    <row r="438" spans="1:61" ht="15" x14ac:dyDescent="0.25">
      <c r="A438" s="66">
        <v>372</v>
      </c>
      <c r="B438" s="66">
        <v>1498730315.473</v>
      </c>
      <c r="C438" s="67">
        <v>1.14572645744603E-4</v>
      </c>
      <c r="D438" s="67">
        <v>6.6311177377510203E-6</v>
      </c>
      <c r="E438" s="67">
        <v>1.30875403820586E-2</v>
      </c>
      <c r="F438" s="67">
        <v>4.9757060753857004E-4</v>
      </c>
      <c r="G438" s="67">
        <v>8.5448393654800095E-5</v>
      </c>
      <c r="H438" s="67">
        <v>0.23864286971514301</v>
      </c>
      <c r="I438" s="67">
        <v>6.6311177377510203E-6</v>
      </c>
      <c r="J438" s="67">
        <v>0.172219310753777</v>
      </c>
      <c r="K438" s="67">
        <v>2.0692399406474302</v>
      </c>
      <c r="L438" s="67"/>
      <c r="M438" s="67"/>
      <c r="O438" s="11">
        <f t="shared" ca="1" si="215"/>
        <v>1.0176871503464298E-4</v>
      </c>
      <c r="P438" s="11">
        <f t="shared" ca="1" si="216"/>
        <v>5.86601750744628E-6</v>
      </c>
      <c r="Q438" s="11">
        <f t="shared" ca="1" si="217"/>
        <v>1.2251048769790315E-2</v>
      </c>
      <c r="R438" s="11">
        <f t="shared" ca="1" si="218"/>
        <v>4.8592411989222293E-4</v>
      </c>
      <c r="S438" s="11">
        <f t="shared" ca="1" si="219"/>
        <v>7.4520741607829967E-5</v>
      </c>
      <c r="T438" s="11">
        <f t="shared" ca="1" si="220"/>
        <v>0.23750431467656072</v>
      </c>
      <c r="U438" s="11">
        <f t="shared" ca="1" si="221"/>
        <v>5.86601750744628E-6</v>
      </c>
      <c r="V438" s="11">
        <f t="shared" ca="1" si="222"/>
        <v>0.17156911474808323</v>
      </c>
      <c r="W438" s="11">
        <f t="shared" ca="1" si="223"/>
        <v>2.0621170923839252</v>
      </c>
      <c r="X438" s="11"/>
      <c r="Y438" s="2">
        <f t="shared" ca="1" si="224"/>
        <v>1.0176871503464298E-4</v>
      </c>
      <c r="Z438" s="11">
        <f t="shared" ca="1" si="225"/>
        <v>5.86601750744628E-6</v>
      </c>
      <c r="AA438" s="2">
        <f t="shared" ca="1" si="226"/>
        <v>1.2251003890366798E-2</v>
      </c>
      <c r="AB438" s="2">
        <f t="shared" ca="1" si="227"/>
        <v>4.8483783384569714E-4</v>
      </c>
      <c r="AC438" s="2">
        <f t="shared" ca="1" si="228"/>
        <v>7.4520741607829967E-5</v>
      </c>
      <c r="AD438" s="2">
        <f t="shared" ca="1" si="229"/>
        <v>0.23749641487803458</v>
      </c>
      <c r="AE438" s="2">
        <f t="shared" ca="1" si="230"/>
        <v>5.86601750744628E-6</v>
      </c>
      <c r="AF438" s="2">
        <f t="shared" ca="1" si="231"/>
        <v>0.17155744864793568</v>
      </c>
      <c r="AG438" s="2">
        <f t="shared" ca="1" si="232"/>
        <v>2.0621123585518748</v>
      </c>
      <c r="AI438" s="2">
        <f t="shared" ca="1" si="233"/>
        <v>1.0176871503464298E-4</v>
      </c>
      <c r="AJ438" s="11">
        <f t="shared" ca="1" si="234"/>
        <v>5.86601750744628E-6</v>
      </c>
      <c r="AK438" s="2">
        <f t="shared" ca="1" si="235"/>
        <v>1.2244083075076668E-2</v>
      </c>
      <c r="AL438" s="2">
        <f t="shared" ca="1" si="236"/>
        <v>4.8159860320506046E-4</v>
      </c>
      <c r="AM438" s="2">
        <f t="shared" ca="1" si="237"/>
        <v>7.4520741607829967E-5</v>
      </c>
      <c r="AN438" s="2">
        <f t="shared" ca="1" si="238"/>
        <v>0.23749641487803458</v>
      </c>
      <c r="AO438" s="2">
        <f t="shared" ca="1" si="239"/>
        <v>5.86601750744628E-6</v>
      </c>
      <c r="AP438" s="2">
        <f t="shared" ca="1" si="240"/>
        <v>0.17155744864793568</v>
      </c>
      <c r="AQ438" s="2">
        <f t="shared" ca="1" si="241"/>
        <v>2.0621123585518748</v>
      </c>
      <c r="AS438" s="2">
        <f t="shared" ca="1" si="242"/>
        <v>8.6824405493103036</v>
      </c>
      <c r="AT438" s="2">
        <f t="shared" ca="1" si="243"/>
        <v>0.39998786544320003</v>
      </c>
      <c r="AU438" s="2">
        <f t="shared" ca="1" si="244"/>
        <v>1.9436375148305587E-4</v>
      </c>
      <c r="AV438" s="2">
        <f t="shared" ca="1" si="245"/>
        <v>0.17137475099660018</v>
      </c>
      <c r="AW438" s="2">
        <f t="shared" ca="1" si="246"/>
        <v>0.70859164845917322</v>
      </c>
      <c r="AX438" s="2">
        <f t="shared" ca="1" si="247"/>
        <v>5.3519458471112155E-2</v>
      </c>
      <c r="AY438" s="9">
        <f t="shared" ca="1" si="248"/>
        <v>0.70859164845917322</v>
      </c>
      <c r="AZ438" s="9">
        <f t="shared" ca="1" si="249"/>
        <v>0.70859164845917322</v>
      </c>
      <c r="BB438" s="2">
        <f t="shared" ca="1" si="250"/>
        <v>8.6827094194700383</v>
      </c>
      <c r="BC438" s="2">
        <f t="shared" ca="1" si="251"/>
        <v>0.40000040214979093</v>
      </c>
      <c r="BD438" s="2">
        <f t="shared" ca="1" si="252"/>
        <v>1.9263963495680177E-4</v>
      </c>
      <c r="BE438" s="2">
        <f t="shared" ca="1" si="253"/>
        <v>0.17136480901297887</v>
      </c>
      <c r="BF438" s="2">
        <f t="shared" ca="1" si="254"/>
        <v>0.70856305939404651</v>
      </c>
      <c r="BG438" s="2">
        <f t="shared" ca="1" si="255"/>
        <v>5.3492502571842598E-2</v>
      </c>
      <c r="BH438" s="2">
        <f t="shared" ca="1" si="256"/>
        <v>0.70856305939404651</v>
      </c>
      <c r="BI438" s="2">
        <f t="shared" ca="1" si="257"/>
        <v>0.70856305939404651</v>
      </c>
    </row>
    <row r="439" spans="1:61" ht="15" x14ac:dyDescent="0.25">
      <c r="A439" s="66">
        <v>373</v>
      </c>
      <c r="B439" s="66">
        <v>1498730315.9990001</v>
      </c>
      <c r="C439" s="67">
        <v>-7.7242332284052301E-5</v>
      </c>
      <c r="D439" s="67">
        <v>1.6907666804455299E-5</v>
      </c>
      <c r="E439" s="67">
        <v>1.3626567236163799E-2</v>
      </c>
      <c r="F439" s="67">
        <v>4.0306772606796699E-4</v>
      </c>
      <c r="G439" s="67">
        <v>1.06278018678293E-4</v>
      </c>
      <c r="H439" s="67">
        <v>0.25312576596764502</v>
      </c>
      <c r="I439" s="67">
        <v>1.6907666804455299E-5</v>
      </c>
      <c r="J439" s="67">
        <v>0.182839398345052</v>
      </c>
      <c r="K439" s="67">
        <v>2.1950451210496</v>
      </c>
      <c r="L439" s="67"/>
      <c r="M439" s="67"/>
      <c r="O439" s="11">
        <f t="shared" ca="1" si="215"/>
        <v>-9.0046262994012322E-5</v>
      </c>
      <c r="P439" s="11">
        <f t="shared" ca="1" si="216"/>
        <v>1.6142566574150557E-5</v>
      </c>
      <c r="Q439" s="11">
        <f t="shared" ca="1" si="217"/>
        <v>1.2790075623895515E-2</v>
      </c>
      <c r="R439" s="11">
        <f t="shared" ca="1" si="218"/>
        <v>3.9142123842161988E-4</v>
      </c>
      <c r="S439" s="11">
        <f t="shared" ca="1" si="219"/>
        <v>9.5350366631322876E-5</v>
      </c>
      <c r="T439" s="11">
        <f t="shared" ca="1" si="220"/>
        <v>0.25198721092906273</v>
      </c>
      <c r="U439" s="11">
        <f t="shared" ca="1" si="221"/>
        <v>1.6142566574150557E-5</v>
      </c>
      <c r="V439" s="11">
        <f t="shared" ca="1" si="222"/>
        <v>0.18218920233935823</v>
      </c>
      <c r="W439" s="11">
        <f t="shared" ca="1" si="223"/>
        <v>2.187922272786095</v>
      </c>
      <c r="X439" s="11"/>
      <c r="Y439" s="2">
        <f t="shared" ca="1" si="224"/>
        <v>-9.0046262994012322E-5</v>
      </c>
      <c r="Z439" s="11">
        <f t="shared" ca="1" si="225"/>
        <v>1.6142566574150557E-5</v>
      </c>
      <c r="AA439" s="2">
        <f t="shared" ca="1" si="226"/>
        <v>1.2789952121181615E-2</v>
      </c>
      <c r="AB439" s="2">
        <f t="shared" ca="1" si="227"/>
        <v>3.8843191136926213E-4</v>
      </c>
      <c r="AC439" s="2">
        <f t="shared" ca="1" si="228"/>
        <v>9.5350366631322876E-5</v>
      </c>
      <c r="AD439" s="2">
        <f t="shared" ca="1" si="229"/>
        <v>0.25196547164453642</v>
      </c>
      <c r="AE439" s="2">
        <f t="shared" ca="1" si="230"/>
        <v>1.6142566574150557E-5</v>
      </c>
      <c r="AF439" s="2">
        <f t="shared" ca="1" si="231"/>
        <v>0.18215709865094382</v>
      </c>
      <c r="AG439" s="2">
        <f t="shared" ca="1" si="232"/>
        <v>2.1879092458561669</v>
      </c>
      <c r="AI439" s="2">
        <f t="shared" ca="1" si="233"/>
        <v>-9.0046262994012322E-5</v>
      </c>
      <c r="AJ439" s="11">
        <f t="shared" ca="1" si="234"/>
        <v>1.6142566574150557E-5</v>
      </c>
      <c r="AK439" s="2">
        <f t="shared" ca="1" si="235"/>
        <v>1.2770906879426629E-2</v>
      </c>
      <c r="AL439" s="2">
        <f t="shared" ca="1" si="236"/>
        <v>3.7951794270157057E-4</v>
      </c>
      <c r="AM439" s="2">
        <f t="shared" ca="1" si="237"/>
        <v>9.5350366631322876E-5</v>
      </c>
      <c r="AN439" s="2">
        <f t="shared" ca="1" si="238"/>
        <v>0.25196547164453642</v>
      </c>
      <c r="AO439" s="2">
        <f t="shared" ca="1" si="239"/>
        <v>1.6142566574150557E-5</v>
      </c>
      <c r="AP439" s="2">
        <f t="shared" ca="1" si="240"/>
        <v>0.18215709865094382</v>
      </c>
      <c r="AQ439" s="2">
        <f t="shared" ca="1" si="241"/>
        <v>2.1879092458561669</v>
      </c>
      <c r="AS439" s="2">
        <f t="shared" ca="1" si="242"/>
        <v>8.6826718892571897</v>
      </c>
      <c r="AT439" s="2">
        <f t="shared" ca="1" si="243"/>
        <v>0.3999986522146427</v>
      </c>
      <c r="AU439" s="2">
        <f t="shared" ca="1" si="244"/>
        <v>1.5656796781683428E-4</v>
      </c>
      <c r="AV439" s="2">
        <f t="shared" ca="1" si="245"/>
        <v>0.18203263437154141</v>
      </c>
      <c r="AW439" s="2">
        <f t="shared" ca="1" si="246"/>
        <v>0.70939091722233538</v>
      </c>
      <c r="AX439" s="2">
        <f t="shared" ca="1" si="247"/>
        <v>5.266431001343555E-2</v>
      </c>
      <c r="AY439" s="9">
        <f t="shared" ca="1" si="248"/>
        <v>0.70939091722233538</v>
      </c>
      <c r="AZ439" s="9">
        <f t="shared" ca="1" si="249"/>
        <v>0.70939091722233538</v>
      </c>
      <c r="BB439" s="2">
        <f t="shared" ca="1" si="250"/>
        <v>8.6833693187247043</v>
      </c>
      <c r="BC439" s="2">
        <f t="shared" ca="1" si="251"/>
        <v>0.40003117153197149</v>
      </c>
      <c r="BD439" s="2">
        <f t="shared" ca="1" si="252"/>
        <v>1.518190072363129E-4</v>
      </c>
      <c r="BE439" s="2">
        <f t="shared" ca="1" si="253"/>
        <v>0.1820052796437075</v>
      </c>
      <c r="BF439" s="2">
        <f t="shared" ca="1" si="254"/>
        <v>0.70931681875785935</v>
      </c>
      <c r="BG439" s="2">
        <f t="shared" ca="1" si="255"/>
        <v>5.2594240421629926E-2</v>
      </c>
      <c r="BH439" s="2">
        <f t="shared" ca="1" si="256"/>
        <v>0.70931681875785935</v>
      </c>
      <c r="BI439" s="2">
        <f t="shared" ca="1" si="257"/>
        <v>0.70931681875785935</v>
      </c>
    </row>
    <row r="440" spans="1:61" ht="15" x14ac:dyDescent="0.25">
      <c r="A440" s="66">
        <v>374</v>
      </c>
      <c r="B440" s="66">
        <v>1498730316.526</v>
      </c>
      <c r="C440" s="67">
        <v>3.2597914409521002E-5</v>
      </c>
      <c r="D440" s="67">
        <v>6.9145944655922899E-6</v>
      </c>
      <c r="E440" s="67">
        <v>1.4037780316286001E-2</v>
      </c>
      <c r="F440" s="67">
        <v>4.73765512844254E-4</v>
      </c>
      <c r="G440" s="67">
        <v>9.5933346744016994E-5</v>
      </c>
      <c r="H440" s="67">
        <v>0.25831460706737303</v>
      </c>
      <c r="I440" s="67">
        <v>6.9145944655922899E-6</v>
      </c>
      <c r="J440" s="67">
        <v>0.186711196768201</v>
      </c>
      <c r="K440" s="67">
        <v>2.2442264502636702</v>
      </c>
      <c r="L440" s="67"/>
      <c r="M440" s="67"/>
      <c r="O440" s="11">
        <f t="shared" ca="1" si="215"/>
        <v>1.9793983699560975E-5</v>
      </c>
      <c r="P440" s="11">
        <f t="shared" ca="1" si="216"/>
        <v>6.1494942352875496E-6</v>
      </c>
      <c r="Q440" s="11">
        <f t="shared" ca="1" si="217"/>
        <v>1.3201288704017716E-2</v>
      </c>
      <c r="R440" s="11">
        <f t="shared" ca="1" si="218"/>
        <v>4.621190251979069E-4</v>
      </c>
      <c r="S440" s="11">
        <f t="shared" ca="1" si="219"/>
        <v>8.5005694697046867E-5</v>
      </c>
      <c r="T440" s="11">
        <f t="shared" ca="1" si="220"/>
        <v>0.25717605202879074</v>
      </c>
      <c r="U440" s="11">
        <f t="shared" ca="1" si="221"/>
        <v>6.1494942352875496E-6</v>
      </c>
      <c r="V440" s="11">
        <f t="shared" ca="1" si="222"/>
        <v>0.18606100076250723</v>
      </c>
      <c r="W440" s="11">
        <f t="shared" ca="1" si="223"/>
        <v>2.2371036020001651</v>
      </c>
      <c r="X440" s="11"/>
      <c r="Y440" s="2">
        <f t="shared" ca="1" si="224"/>
        <v>1.9793983699560975E-5</v>
      </c>
      <c r="Z440" s="11">
        <f t="shared" ca="1" si="225"/>
        <v>6.1494942352875496E-6</v>
      </c>
      <c r="AA440" s="2">
        <f t="shared" ca="1" si="226"/>
        <v>1.3201241655785102E-2</v>
      </c>
      <c r="AB440" s="2">
        <f t="shared" ca="1" si="227"/>
        <v>4.6098024411303902E-4</v>
      </c>
      <c r="AC440" s="2">
        <f t="shared" ca="1" si="228"/>
        <v>8.5005694697046867E-5</v>
      </c>
      <c r="AD440" s="2">
        <f t="shared" ca="1" si="229"/>
        <v>0.2571677704705726</v>
      </c>
      <c r="AE440" s="2">
        <f t="shared" ca="1" si="230"/>
        <v>6.1494942352875496E-6</v>
      </c>
      <c r="AF440" s="2">
        <f t="shared" ca="1" si="231"/>
        <v>0.18604877089522256</v>
      </c>
      <c r="AG440" s="2">
        <f t="shared" ca="1" si="232"/>
        <v>2.2370986394045254</v>
      </c>
      <c r="AI440" s="2">
        <f t="shared" ca="1" si="233"/>
        <v>1.9793983699560975E-5</v>
      </c>
      <c r="AJ440" s="11">
        <f t="shared" ca="1" si="234"/>
        <v>6.1494942352875496E-6</v>
      </c>
      <c r="AK440" s="2">
        <f t="shared" ca="1" si="235"/>
        <v>1.3193986390406826E-2</v>
      </c>
      <c r="AL440" s="2">
        <f t="shared" ca="1" si="236"/>
        <v>4.5758447686105312E-4</v>
      </c>
      <c r="AM440" s="2">
        <f t="shared" ca="1" si="237"/>
        <v>8.5005694697046867E-5</v>
      </c>
      <c r="AN440" s="2">
        <f t="shared" ca="1" si="238"/>
        <v>0.2571677704705726</v>
      </c>
      <c r="AO440" s="2">
        <f t="shared" ca="1" si="239"/>
        <v>6.1494942352875496E-6</v>
      </c>
      <c r="AP440" s="2">
        <f t="shared" ca="1" si="240"/>
        <v>0.18604877089522256</v>
      </c>
      <c r="AQ440" s="2">
        <f t="shared" ca="1" si="241"/>
        <v>2.2370986394045254</v>
      </c>
      <c r="AS440" s="2">
        <f t="shared" ca="1" si="242"/>
        <v>8.6987244121381977</v>
      </c>
      <c r="AT440" s="2">
        <f t="shared" ca="1" si="243"/>
        <v>0.40074714751738949</v>
      </c>
      <c r="AU440" s="2">
        <f t="shared" ca="1" si="244"/>
        <v>1.8519288116157782E-4</v>
      </c>
      <c r="AV440" s="2">
        <f t="shared" ca="1" si="245"/>
        <v>0.18587580788134564</v>
      </c>
      <c r="AW440" s="2">
        <f t="shared" ca="1" si="246"/>
        <v>0.70909306750168755</v>
      </c>
      <c r="AX440" s="2">
        <f t="shared" ca="1" si="247"/>
        <v>5.3361548409385243E-2</v>
      </c>
      <c r="AY440" s="9">
        <f t="shared" ca="1" si="248"/>
        <v>0.70909306750168755</v>
      </c>
      <c r="AZ440" s="9">
        <f t="shared" ca="1" si="249"/>
        <v>0.70909306750168755</v>
      </c>
      <c r="BB440" s="2">
        <f t="shared" ca="1" si="250"/>
        <v>8.698985239522905</v>
      </c>
      <c r="BC440" s="2">
        <f t="shared" ca="1" si="251"/>
        <v>0.4007593094869073</v>
      </c>
      <c r="BD440" s="2">
        <f t="shared" ca="1" si="252"/>
        <v>1.8338123897876336E-4</v>
      </c>
      <c r="BE440" s="2">
        <f t="shared" ca="1" si="253"/>
        <v>0.1858653896562438</v>
      </c>
      <c r="BF440" s="2">
        <f t="shared" ca="1" si="254"/>
        <v>0.70906545004780064</v>
      </c>
      <c r="BG440" s="2">
        <f t="shared" ca="1" si="255"/>
        <v>5.3335385204351847E-2</v>
      </c>
      <c r="BH440" s="2">
        <f t="shared" ca="1" si="256"/>
        <v>0.70906545004780064</v>
      </c>
      <c r="BI440" s="2">
        <f t="shared" ca="1" si="257"/>
        <v>0.70906545004780064</v>
      </c>
    </row>
    <row r="441" spans="1:61" ht="15" x14ac:dyDescent="0.25">
      <c r="A441" s="66">
        <v>375</v>
      </c>
      <c r="B441" s="66">
        <v>1498730317.053</v>
      </c>
      <c r="C441" s="67">
        <v>-2.1496974078984199E-5</v>
      </c>
      <c r="D441" s="67">
        <v>-3.4393593636718498E-5</v>
      </c>
      <c r="E441" s="67">
        <v>1.28350004979785E-2</v>
      </c>
      <c r="F441" s="67">
        <v>5.16377033476784E-4</v>
      </c>
      <c r="G441" s="67">
        <v>-1.1336740568391899E-4</v>
      </c>
      <c r="H441" s="67">
        <v>0.23675236249656201</v>
      </c>
      <c r="I441" s="67">
        <v>-3.4393593636718498E-5</v>
      </c>
      <c r="J441" s="67">
        <v>0.17078690582808501</v>
      </c>
      <c r="K441" s="67">
        <v>2.0553113656174902</v>
      </c>
      <c r="L441" s="67"/>
      <c r="M441" s="67"/>
      <c r="O441" s="11">
        <f t="shared" ca="1" si="215"/>
        <v>-3.4300904788944227E-5</v>
      </c>
      <c r="P441" s="11">
        <f t="shared" ca="1" si="216"/>
        <v>-3.5158693867023237E-5</v>
      </c>
      <c r="Q441" s="11">
        <f t="shared" ca="1" si="217"/>
        <v>1.1998508885710215E-2</v>
      </c>
      <c r="R441" s="11">
        <f t="shared" ca="1" si="218"/>
        <v>5.0473054583043684E-4</v>
      </c>
      <c r="S441" s="11">
        <f t="shared" ca="1" si="219"/>
        <v>-1.2429505773088912E-4</v>
      </c>
      <c r="T441" s="11">
        <f t="shared" ca="1" si="220"/>
        <v>0.23561380745797972</v>
      </c>
      <c r="U441" s="11">
        <f t="shared" ca="1" si="221"/>
        <v>-3.5158693867023237E-5</v>
      </c>
      <c r="V441" s="11">
        <f t="shared" ca="1" si="222"/>
        <v>0.17013670982239124</v>
      </c>
      <c r="W441" s="11">
        <f t="shared" ca="1" si="223"/>
        <v>2.0481885173539851</v>
      </c>
      <c r="X441" s="11"/>
      <c r="Y441" s="2">
        <f t="shared" ca="1" si="224"/>
        <v>-3.4300904788944227E-5</v>
      </c>
      <c r="Z441" s="11">
        <f t="shared" ca="1" si="225"/>
        <v>-3.5158693867023237E-5</v>
      </c>
      <c r="AA441" s="2">
        <f t="shared" ca="1" si="226"/>
        <v>1.1998508885710215E-2</v>
      </c>
      <c r="AB441" s="2">
        <f t="shared" ca="1" si="227"/>
        <v>5.0473054583043684E-4</v>
      </c>
      <c r="AC441" s="2">
        <f t="shared" ca="1" si="228"/>
        <v>-1.2429505773088912E-4</v>
      </c>
      <c r="AD441" s="2">
        <f t="shared" ca="1" si="229"/>
        <v>0.23561380745797972</v>
      </c>
      <c r="AE441" s="2">
        <f t="shared" ca="1" si="230"/>
        <v>-3.5158693867023237E-5</v>
      </c>
      <c r="AF441" s="2">
        <f t="shared" ca="1" si="231"/>
        <v>0.17013670982239124</v>
      </c>
      <c r="AG441" s="2">
        <f t="shared" ca="1" si="232"/>
        <v>2.0481885173539851</v>
      </c>
      <c r="AI441" s="2">
        <f t="shared" ca="1" si="233"/>
        <v>-3.4300904788944227E-5</v>
      </c>
      <c r="AJ441" s="11">
        <f t="shared" ca="1" si="234"/>
        <v>-3.5158693867023237E-5</v>
      </c>
      <c r="AK441" s="2">
        <f t="shared" ca="1" si="235"/>
        <v>1.1998508885710215E-2</v>
      </c>
      <c r="AL441" s="2">
        <f t="shared" ca="1" si="236"/>
        <v>5.0473054583043684E-4</v>
      </c>
      <c r="AM441" s="2">
        <f t="shared" ca="1" si="237"/>
        <v>-1.2429505773088912E-4</v>
      </c>
      <c r="AN441" s="2">
        <f t="shared" ca="1" si="238"/>
        <v>0.23561380745797972</v>
      </c>
      <c r="AO441" s="2">
        <f t="shared" ca="1" si="239"/>
        <v>-3.5158693867023237E-5</v>
      </c>
      <c r="AP441" s="2">
        <f t="shared" ca="1" si="240"/>
        <v>0.17013670982239124</v>
      </c>
      <c r="AQ441" s="2">
        <f t="shared" ca="1" si="241"/>
        <v>2.0481885173539851</v>
      </c>
      <c r="AS441" s="2">
        <f t="shared" ca="1" si="242"/>
        <v>8.692990192093335</v>
      </c>
      <c r="AT441" s="2">
        <f t="shared" ca="1" si="243"/>
        <v>0.40047977099963589</v>
      </c>
      <c r="AU441" s="2">
        <f t="shared" ca="1" si="244"/>
        <v>2.0213437341069456E-4</v>
      </c>
      <c r="AV441" s="2">
        <f t="shared" ca="1" si="245"/>
        <v>0.16993457544898055</v>
      </c>
      <c r="AW441" s="2">
        <f t="shared" ca="1" si="246"/>
        <v>0.70784167573970003</v>
      </c>
      <c r="AX441" s="2">
        <f t="shared" ca="1" si="247"/>
        <v>5.2902490573272377E-2</v>
      </c>
      <c r="AY441" s="9" t="str">
        <f t="shared" ca="1" si="248"/>
        <v>rejected</v>
      </c>
      <c r="AZ441" s="9" t="e">
        <f t="shared" ca="1" si="249"/>
        <v>#N/A</v>
      </c>
      <c r="BB441" s="2">
        <f t="shared" ca="1" si="250"/>
        <v>8.692990192093335</v>
      </c>
      <c r="BC441" s="2">
        <f t="shared" ca="1" si="251"/>
        <v>0.40047977099963589</v>
      </c>
      <c r="BD441" s="2">
        <f t="shared" ca="1" si="252"/>
        <v>2.0213437341069456E-4</v>
      </c>
      <c r="BE441" s="2">
        <f t="shared" ca="1" si="253"/>
        <v>0.16993457544898055</v>
      </c>
      <c r="BF441" s="2">
        <f t="shared" ca="1" si="254"/>
        <v>0.70784167573970003</v>
      </c>
      <c r="BG441" s="2">
        <f t="shared" ca="1" si="255"/>
        <v>5.2902490573272377E-2</v>
      </c>
      <c r="BH441" s="2">
        <f t="shared" ca="1" si="256"/>
        <v>0.70784167573970003</v>
      </c>
      <c r="BI441" s="2">
        <f t="shared" ca="1" si="257"/>
        <v>0.70784167573970003</v>
      </c>
    </row>
    <row r="442" spans="1:61" ht="15" x14ac:dyDescent="0.25">
      <c r="A442" s="66">
        <v>376</v>
      </c>
      <c r="B442" s="66">
        <v>1498730317.5799999</v>
      </c>
      <c r="C442" s="67">
        <v>-1.4646692782986401E-5</v>
      </c>
      <c r="D442" s="67">
        <v>3.3777690223085201E-5</v>
      </c>
      <c r="E442" s="67">
        <v>1.4474017613345399E-2</v>
      </c>
      <c r="F442" s="67">
        <v>5.9946282345394299E-4</v>
      </c>
      <c r="G442" s="67">
        <v>7.9911844318868199E-5</v>
      </c>
      <c r="H442" s="67">
        <v>0.26854527223541302</v>
      </c>
      <c r="I442" s="67">
        <v>3.3777690223085201E-5</v>
      </c>
      <c r="J442" s="67">
        <v>0.19374174493501001</v>
      </c>
      <c r="K442" s="67">
        <v>2.3263932114296302</v>
      </c>
      <c r="L442" s="67"/>
      <c r="M442" s="67"/>
      <c r="O442" s="11">
        <f t="shared" ca="1" si="215"/>
        <v>-2.745062349294643E-5</v>
      </c>
      <c r="P442" s="11">
        <f t="shared" ca="1" si="216"/>
        <v>3.3012589992780463E-5</v>
      </c>
      <c r="Q442" s="11">
        <f t="shared" ca="1" si="217"/>
        <v>1.3637526001077115E-2</v>
      </c>
      <c r="R442" s="11">
        <f t="shared" ca="1" si="218"/>
        <v>5.8781633580759583E-4</v>
      </c>
      <c r="S442" s="11">
        <f t="shared" ca="1" si="219"/>
        <v>6.8984192271898071E-5</v>
      </c>
      <c r="T442" s="11">
        <f t="shared" ca="1" si="220"/>
        <v>0.26740671719683073</v>
      </c>
      <c r="U442" s="11">
        <f t="shared" ca="1" si="221"/>
        <v>3.3012589992780463E-5</v>
      </c>
      <c r="V442" s="11">
        <f t="shared" ca="1" si="222"/>
        <v>0.19309154892931624</v>
      </c>
      <c r="W442" s="11">
        <f t="shared" ca="1" si="223"/>
        <v>2.3192703631661251</v>
      </c>
      <c r="X442" s="11"/>
      <c r="Y442" s="2">
        <f t="shared" ca="1" si="224"/>
        <v>-2.745062349294643E-5</v>
      </c>
      <c r="Z442" s="11">
        <f t="shared" ca="1" si="225"/>
        <v>3.3012589992780463E-5</v>
      </c>
      <c r="AA442" s="2">
        <f t="shared" ca="1" si="226"/>
        <v>1.3637273430060092E-2</v>
      </c>
      <c r="AB442" s="2">
        <f t="shared" ca="1" si="227"/>
        <v>5.8170296914557816E-4</v>
      </c>
      <c r="AC442" s="2">
        <f t="shared" ca="1" si="228"/>
        <v>6.8984192271898071E-5</v>
      </c>
      <c r="AD442" s="2">
        <f t="shared" ca="1" si="229"/>
        <v>0.26736225895758442</v>
      </c>
      <c r="AE442" s="2">
        <f t="shared" ca="1" si="230"/>
        <v>3.3012589992780463E-5</v>
      </c>
      <c r="AF442" s="2">
        <f t="shared" ca="1" si="231"/>
        <v>0.19302589481551641</v>
      </c>
      <c r="AG442" s="2">
        <f t="shared" ca="1" si="232"/>
        <v>2.3192437222540616</v>
      </c>
      <c r="AI442" s="2">
        <f t="shared" ca="1" si="233"/>
        <v>-2.745062349294643E-5</v>
      </c>
      <c r="AJ442" s="11">
        <f t="shared" ca="1" si="234"/>
        <v>3.3012589992780463E-5</v>
      </c>
      <c r="AK442" s="2">
        <f t="shared" ca="1" si="235"/>
        <v>1.3598324682072421E-2</v>
      </c>
      <c r="AL442" s="2">
        <f t="shared" ca="1" si="236"/>
        <v>5.6347332818462844E-4</v>
      </c>
      <c r="AM442" s="2">
        <f t="shared" ca="1" si="237"/>
        <v>6.8984192271898071E-5</v>
      </c>
      <c r="AN442" s="2">
        <f t="shared" ca="1" si="238"/>
        <v>0.26736225895758442</v>
      </c>
      <c r="AO442" s="2">
        <f t="shared" ca="1" si="239"/>
        <v>3.3012589992780463E-5</v>
      </c>
      <c r="AP442" s="2">
        <f t="shared" ca="1" si="240"/>
        <v>0.19302589481551641</v>
      </c>
      <c r="AQ442" s="2">
        <f t="shared" ca="1" si="241"/>
        <v>2.3192437222540616</v>
      </c>
      <c r="AS442" s="2">
        <f t="shared" ca="1" si="242"/>
        <v>8.6731941047650416</v>
      </c>
      <c r="AT442" s="2">
        <f t="shared" ca="1" si="243"/>
        <v>0.39955673098147276</v>
      </c>
      <c r="AU442" s="2">
        <f t="shared" ca="1" si="244"/>
        <v>2.3486597355279061E-4</v>
      </c>
      <c r="AV442" s="2">
        <f t="shared" ca="1" si="245"/>
        <v>0.19285668295576344</v>
      </c>
      <c r="AW442" s="2">
        <f t="shared" ca="1" si="246"/>
        <v>0.70862442191049602</v>
      </c>
      <c r="AX442" s="2">
        <f t="shared" ca="1" si="247"/>
        <v>5.2856659559070353E-2</v>
      </c>
      <c r="AY442" s="9">
        <f t="shared" ca="1" si="248"/>
        <v>0.70862442191049602</v>
      </c>
      <c r="AZ442" s="9">
        <f t="shared" ca="1" si="249"/>
        <v>0.70862442191049602</v>
      </c>
      <c r="BB442" s="2">
        <f t="shared" ca="1" si="250"/>
        <v>8.6745366802948691</v>
      </c>
      <c r="BC442" s="2">
        <f t="shared" ca="1" si="251"/>
        <v>0.39961933097630986</v>
      </c>
      <c r="BD442" s="2">
        <f t="shared" ca="1" si="252"/>
        <v>2.2517483443213591E-4</v>
      </c>
      <c r="BE442" s="2">
        <f t="shared" ca="1" si="253"/>
        <v>0.19280071998108428</v>
      </c>
      <c r="BF442" s="2">
        <f t="shared" ca="1" si="254"/>
        <v>0.70848136611186252</v>
      </c>
      <c r="BG442" s="2">
        <f t="shared" ca="1" si="255"/>
        <v>5.272183567685456E-2</v>
      </c>
      <c r="BH442" s="2">
        <f t="shared" ca="1" si="256"/>
        <v>0.70848136611186252</v>
      </c>
      <c r="BI442" s="2">
        <f t="shared" ca="1" si="257"/>
        <v>0.70848136611186252</v>
      </c>
    </row>
    <row r="443" spans="1:61" ht="15" x14ac:dyDescent="0.25">
      <c r="A443" s="66">
        <v>377</v>
      </c>
      <c r="B443" s="66">
        <v>1498730318.1070001</v>
      </c>
      <c r="C443" s="67">
        <v>3.8503648490334003E-5</v>
      </c>
      <c r="D443" s="67">
        <v>5.0626949692358201E-5</v>
      </c>
      <c r="E443" s="67">
        <v>1.41441682056764E-2</v>
      </c>
      <c r="F443" s="67">
        <v>4.5138924110442197E-4</v>
      </c>
      <c r="G443" s="67">
        <v>-3.98608703132436E-5</v>
      </c>
      <c r="H443" s="67">
        <v>0.26232939260923999</v>
      </c>
      <c r="I443" s="67">
        <v>5.0626949692358201E-5</v>
      </c>
      <c r="J443" s="67">
        <v>0.18967329179189901</v>
      </c>
      <c r="K443" s="67">
        <v>2.28148933205448</v>
      </c>
      <c r="L443" s="67"/>
      <c r="M443" s="67"/>
      <c r="O443" s="11">
        <f t="shared" ca="1" si="215"/>
        <v>2.5699717780373976E-5</v>
      </c>
      <c r="P443" s="11">
        <f t="shared" ca="1" si="216"/>
        <v>4.9861849462053462E-5</v>
      </c>
      <c r="Q443" s="11">
        <f t="shared" ca="1" si="217"/>
        <v>1.3307676593408115E-2</v>
      </c>
      <c r="R443" s="11">
        <f t="shared" ca="1" si="218"/>
        <v>4.3974275345807487E-4</v>
      </c>
      <c r="S443" s="11">
        <f t="shared" ca="1" si="219"/>
        <v>-5.0788522360213721E-5</v>
      </c>
      <c r="T443" s="11">
        <f t="shared" ca="1" si="220"/>
        <v>0.2611908375706577</v>
      </c>
      <c r="U443" s="11">
        <f t="shared" ca="1" si="221"/>
        <v>4.9861849462053462E-5</v>
      </c>
      <c r="V443" s="11">
        <f t="shared" ca="1" si="222"/>
        <v>0.18902309578620524</v>
      </c>
      <c r="W443" s="11">
        <f t="shared" ca="1" si="223"/>
        <v>2.2743664837909749</v>
      </c>
      <c r="X443" s="11"/>
      <c r="Y443" s="2">
        <f t="shared" ca="1" si="224"/>
        <v>2.5699717780373976E-5</v>
      </c>
      <c r="Z443" s="11">
        <f t="shared" ca="1" si="225"/>
        <v>4.9861849462053462E-5</v>
      </c>
      <c r="AA443" s="2">
        <f t="shared" ca="1" si="226"/>
        <v>1.3307295112947721E-2</v>
      </c>
      <c r="AB443" s="2">
        <f t="shared" ca="1" si="227"/>
        <v>4.3050919231444674E-4</v>
      </c>
      <c r="AC443" s="2">
        <f t="shared" ca="1" si="228"/>
        <v>-5.0788522360213721E-5</v>
      </c>
      <c r="AD443" s="2">
        <f t="shared" ca="1" si="229"/>
        <v>0.26112368833961791</v>
      </c>
      <c r="AE443" s="2">
        <f t="shared" ca="1" si="230"/>
        <v>4.9861849462053462E-5</v>
      </c>
      <c r="AF443" s="2">
        <f t="shared" ca="1" si="231"/>
        <v>0.18892393254152895</v>
      </c>
      <c r="AG443" s="2">
        <f t="shared" ca="1" si="232"/>
        <v>2.2743262456531275</v>
      </c>
      <c r="AI443" s="2">
        <f t="shared" ca="1" si="233"/>
        <v>2.5699717780373976E-5</v>
      </c>
      <c r="AJ443" s="11">
        <f t="shared" ca="1" si="234"/>
        <v>4.9861849462053462E-5</v>
      </c>
      <c r="AK443" s="2">
        <f t="shared" ca="1" si="235"/>
        <v>1.3248467356345729E-2</v>
      </c>
      <c r="AL443" s="2">
        <f t="shared" ca="1" si="236"/>
        <v>4.0297534496890557E-4</v>
      </c>
      <c r="AM443" s="2">
        <f t="shared" ca="1" si="237"/>
        <v>-5.0788522360213721E-5</v>
      </c>
      <c r="AN443" s="2">
        <f t="shared" ca="1" si="238"/>
        <v>0.26112368833961791</v>
      </c>
      <c r="AO443" s="2">
        <f t="shared" ca="1" si="239"/>
        <v>4.9861849462053462E-5</v>
      </c>
      <c r="AP443" s="2">
        <f t="shared" ca="1" si="240"/>
        <v>0.18892393254152895</v>
      </c>
      <c r="AQ443" s="2">
        <f t="shared" ca="1" si="241"/>
        <v>2.2743262456531275</v>
      </c>
      <c r="AS443" s="2">
        <f t="shared" ca="1" si="242"/>
        <v>8.7076809621076787</v>
      </c>
      <c r="AT443" s="2">
        <f t="shared" ca="1" si="243"/>
        <v>0.4011647798452509</v>
      </c>
      <c r="AU443" s="2">
        <f t="shared" ca="1" si="244"/>
        <v>1.7640930487955304E-4</v>
      </c>
      <c r="AV443" s="2">
        <f t="shared" ca="1" si="245"/>
        <v>0.18884668648132569</v>
      </c>
      <c r="AW443" s="2">
        <f t="shared" ca="1" si="246"/>
        <v>0.708985335002425</v>
      </c>
      <c r="AX443" s="2">
        <f t="shared" ca="1" si="247"/>
        <v>5.3020552309511082E-2</v>
      </c>
      <c r="AY443" s="9">
        <f t="shared" ca="1" si="248"/>
        <v>0.708985335002425</v>
      </c>
      <c r="AZ443" s="9">
        <f t="shared" ca="1" si="249"/>
        <v>0.708985335002425</v>
      </c>
      <c r="BB443" s="2">
        <f t="shared" ca="1" si="250"/>
        <v>8.7097660886864272</v>
      </c>
      <c r="BC443" s="2">
        <f t="shared" ca="1" si="251"/>
        <v>0.40126200734559381</v>
      </c>
      <c r="BD443" s="2">
        <f t="shared" ca="1" si="252"/>
        <v>1.6169869583300617E-4</v>
      </c>
      <c r="BE443" s="2">
        <f t="shared" ca="1" si="253"/>
        <v>0.18876223384569593</v>
      </c>
      <c r="BF443" s="2">
        <f t="shared" ca="1" si="254"/>
        <v>0.70876504816049068</v>
      </c>
      <c r="BG443" s="2">
        <f t="shared" ca="1" si="255"/>
        <v>5.281116118530628E-2</v>
      </c>
      <c r="BH443" s="2">
        <f t="shared" ca="1" si="256"/>
        <v>0.70876504816049068</v>
      </c>
      <c r="BI443" s="2">
        <f t="shared" ca="1" si="257"/>
        <v>0.70876504816049068</v>
      </c>
    </row>
    <row r="444" spans="1:61" ht="15" x14ac:dyDescent="0.25">
      <c r="A444" s="66">
        <v>378</v>
      </c>
      <c r="B444" s="66">
        <v>1498730318.6340001</v>
      </c>
      <c r="C444" s="67">
        <v>5.9044348909844097E-6</v>
      </c>
      <c r="D444" s="67">
        <v>-1.17005565113034E-4</v>
      </c>
      <c r="E444" s="67">
        <v>1.14546163459782E-2</v>
      </c>
      <c r="F444" s="67">
        <v>2.9453136777698601E-4</v>
      </c>
      <c r="G444" s="67">
        <v>-3.5954712187600297E-5</v>
      </c>
      <c r="H444" s="67">
        <v>0.209152041209512</v>
      </c>
      <c r="I444" s="67">
        <v>-1.17005565113034E-4</v>
      </c>
      <c r="J444" s="67">
        <v>0.151311515351817</v>
      </c>
      <c r="K444" s="67">
        <v>1.82015638714826</v>
      </c>
      <c r="L444" s="67"/>
      <c r="M444" s="67"/>
      <c r="O444" s="11">
        <f t="shared" ca="1" si="215"/>
        <v>-6.8994958189756181E-6</v>
      </c>
      <c r="P444" s="11">
        <f t="shared" ca="1" si="216"/>
        <v>-1.1777066534333874E-4</v>
      </c>
      <c r="Q444" s="11">
        <f t="shared" ca="1" si="217"/>
        <v>1.0618124733709915E-2</v>
      </c>
      <c r="R444" s="11">
        <f t="shared" ca="1" si="218"/>
        <v>2.828848801306389E-4</v>
      </c>
      <c r="S444" s="11">
        <f t="shared" ca="1" si="219"/>
        <v>-4.6882364234570418E-5</v>
      </c>
      <c r="T444" s="11">
        <f t="shared" ca="1" si="220"/>
        <v>0.20801348617092971</v>
      </c>
      <c r="U444" s="11">
        <f t="shared" ca="1" si="221"/>
        <v>-1.1777066534333874E-4</v>
      </c>
      <c r="V444" s="11">
        <f t="shared" ca="1" si="222"/>
        <v>0.15066131934612323</v>
      </c>
      <c r="W444" s="11">
        <f t="shared" ca="1" si="223"/>
        <v>1.8130335388847549</v>
      </c>
      <c r="X444" s="11"/>
      <c r="Y444" s="2">
        <f t="shared" ca="1" si="224"/>
        <v>-6.8994958189756181E-6</v>
      </c>
      <c r="Z444" s="11">
        <f t="shared" ca="1" si="225"/>
        <v>-1.1777066534333874E-4</v>
      </c>
      <c r="AA444" s="2">
        <f t="shared" ca="1" si="226"/>
        <v>1.0618124733709915E-2</v>
      </c>
      <c r="AB444" s="2">
        <f t="shared" ca="1" si="227"/>
        <v>2.828848801306389E-4</v>
      </c>
      <c r="AC444" s="2">
        <f t="shared" ca="1" si="228"/>
        <v>-4.6882364234570418E-5</v>
      </c>
      <c r="AD444" s="2">
        <f t="shared" ca="1" si="229"/>
        <v>0.20801348617092971</v>
      </c>
      <c r="AE444" s="2">
        <f t="shared" ca="1" si="230"/>
        <v>-1.1777066534333874E-4</v>
      </c>
      <c r="AF444" s="2">
        <f t="shared" ca="1" si="231"/>
        <v>0.15066131934612323</v>
      </c>
      <c r="AG444" s="2">
        <f t="shared" ca="1" si="232"/>
        <v>1.8130335388847549</v>
      </c>
      <c r="AI444" s="2">
        <f t="shared" ca="1" si="233"/>
        <v>-6.8994958189756181E-6</v>
      </c>
      <c r="AJ444" s="11">
        <f t="shared" ca="1" si="234"/>
        <v>-1.1777066534333874E-4</v>
      </c>
      <c r="AK444" s="2">
        <f t="shared" ca="1" si="235"/>
        <v>1.0618124733709915E-2</v>
      </c>
      <c r="AL444" s="2">
        <f t="shared" ca="1" si="236"/>
        <v>2.828848801306389E-4</v>
      </c>
      <c r="AM444" s="2">
        <f t="shared" ca="1" si="237"/>
        <v>-4.6882364234570418E-5</v>
      </c>
      <c r="AN444" s="2">
        <f t="shared" ca="1" si="238"/>
        <v>0.20801348617092971</v>
      </c>
      <c r="AO444" s="2">
        <f t="shared" ca="1" si="239"/>
        <v>-1.1777066534333874E-4</v>
      </c>
      <c r="AP444" s="2">
        <f t="shared" ca="1" si="240"/>
        <v>0.15066131934612323</v>
      </c>
      <c r="AQ444" s="2">
        <f t="shared" ca="1" si="241"/>
        <v>1.8130335388847549</v>
      </c>
      <c r="AS444" s="2">
        <f t="shared" ca="1" si="242"/>
        <v>8.7159422797949819</v>
      </c>
      <c r="AT444" s="2">
        <f t="shared" ca="1" si="243"/>
        <v>0.40154999901135485</v>
      </c>
      <c r="AU444" s="2">
        <f t="shared" ca="1" si="244"/>
        <v>1.1359242333678528E-4</v>
      </c>
      <c r="AV444" s="2">
        <f t="shared" ca="1" si="245"/>
        <v>0.15054772692278645</v>
      </c>
      <c r="AW444" s="2">
        <f t="shared" ca="1" si="246"/>
        <v>0.70935091438376463</v>
      </c>
      <c r="AX444" s="2">
        <f t="shared" ca="1" si="247"/>
        <v>5.3171350361043264E-2</v>
      </c>
      <c r="AY444" s="9">
        <f t="shared" ca="1" si="248"/>
        <v>0.70935091438376463</v>
      </c>
      <c r="AZ444" s="9">
        <f t="shared" ca="1" si="249"/>
        <v>0.70935091438376463</v>
      </c>
      <c r="BB444" s="2">
        <f t="shared" ca="1" si="250"/>
        <v>8.7159422797949819</v>
      </c>
      <c r="BC444" s="2">
        <f t="shared" ca="1" si="251"/>
        <v>0.40154999901135485</v>
      </c>
      <c r="BD444" s="2">
        <f t="shared" ca="1" si="252"/>
        <v>1.1359242333678528E-4</v>
      </c>
      <c r="BE444" s="2">
        <f t="shared" ca="1" si="253"/>
        <v>0.15054772692278645</v>
      </c>
      <c r="BF444" s="2">
        <f t="shared" ca="1" si="254"/>
        <v>0.70935091438376463</v>
      </c>
      <c r="BG444" s="2">
        <f t="shared" ca="1" si="255"/>
        <v>5.3171350361043264E-2</v>
      </c>
      <c r="BH444" s="2">
        <f t="shared" ca="1" si="256"/>
        <v>0.70935091438376463</v>
      </c>
      <c r="BI444" s="2">
        <f t="shared" ca="1" si="257"/>
        <v>0.70935091438376463</v>
      </c>
    </row>
    <row r="445" spans="1:61" ht="15" x14ac:dyDescent="0.25">
      <c r="A445" s="66">
        <v>379</v>
      </c>
      <c r="B445" s="66">
        <v>1498730319.161</v>
      </c>
      <c r="C445" s="67">
        <v>1.4172250006651301E-5</v>
      </c>
      <c r="D445" s="67">
        <v>8.8517071241249495E-6</v>
      </c>
      <c r="E445" s="67">
        <v>1.11303202042463E-2</v>
      </c>
      <c r="F445" s="67">
        <v>4.2282451621865401E-4</v>
      </c>
      <c r="G445" s="67">
        <v>1.0144722859737601E-4</v>
      </c>
      <c r="H445" s="67">
        <v>0.202477918618227</v>
      </c>
      <c r="I445" s="67">
        <v>8.8517071241249495E-6</v>
      </c>
      <c r="J445" s="67">
        <v>0.14602750280716201</v>
      </c>
      <c r="K445" s="67">
        <v>1.7564334774425401</v>
      </c>
      <c r="L445" s="67"/>
      <c r="M445" s="67"/>
      <c r="O445" s="11">
        <f t="shared" ca="1" si="215"/>
        <v>1.3683192966912727E-6</v>
      </c>
      <c r="P445" s="11">
        <f t="shared" ca="1" si="216"/>
        <v>8.0866068938202092E-6</v>
      </c>
      <c r="Q445" s="11">
        <f t="shared" ca="1" si="217"/>
        <v>1.0293828591978015E-2</v>
      </c>
      <c r="R445" s="11">
        <f t="shared" ca="1" si="218"/>
        <v>4.111780285723069E-4</v>
      </c>
      <c r="S445" s="11">
        <f t="shared" ca="1" si="219"/>
        <v>9.0519576550405879E-5</v>
      </c>
      <c r="T445" s="11">
        <f t="shared" ca="1" si="220"/>
        <v>0.20133936357964471</v>
      </c>
      <c r="U445" s="11">
        <f t="shared" ca="1" si="221"/>
        <v>8.0866068938202092E-6</v>
      </c>
      <c r="V445" s="11">
        <f t="shared" ca="1" si="222"/>
        <v>0.14537730680146824</v>
      </c>
      <c r="W445" s="11">
        <f t="shared" ca="1" si="223"/>
        <v>1.749310629179035</v>
      </c>
      <c r="X445" s="11"/>
      <c r="Y445" s="2">
        <f t="shared" ca="1" si="224"/>
        <v>1.3683192966912727E-6</v>
      </c>
      <c r="Z445" s="11">
        <f t="shared" ca="1" si="225"/>
        <v>8.0866068938202092E-6</v>
      </c>
      <c r="AA445" s="2">
        <f t="shared" ca="1" si="226"/>
        <v>1.0293766723384007E-2</v>
      </c>
      <c r="AB445" s="2">
        <f t="shared" ca="1" si="227"/>
        <v>4.0968052737641971E-4</v>
      </c>
      <c r="AC445" s="2">
        <f t="shared" ca="1" si="228"/>
        <v>9.0519576550405879E-5</v>
      </c>
      <c r="AD445" s="2">
        <f t="shared" ca="1" si="229"/>
        <v>0.20132847330099482</v>
      </c>
      <c r="AE445" s="2">
        <f t="shared" ca="1" si="230"/>
        <v>8.0866068938202092E-6</v>
      </c>
      <c r="AF445" s="2">
        <f t="shared" ca="1" si="231"/>
        <v>0.14536122448228705</v>
      </c>
      <c r="AG445" s="2">
        <f t="shared" ca="1" si="232"/>
        <v>1.7493041033480354</v>
      </c>
      <c r="AI445" s="2">
        <f t="shared" ca="1" si="233"/>
        <v>1.3683192966912727E-6</v>
      </c>
      <c r="AJ445" s="11">
        <f t="shared" ca="1" si="234"/>
        <v>8.0866068938202092E-6</v>
      </c>
      <c r="AK445" s="2">
        <f t="shared" ca="1" si="235"/>
        <v>1.0284226023485827E-2</v>
      </c>
      <c r="AL445" s="2">
        <f t="shared" ca="1" si="236"/>
        <v>4.0521508130572604E-4</v>
      </c>
      <c r="AM445" s="2">
        <f t="shared" ca="1" si="237"/>
        <v>9.0519576550405879E-5</v>
      </c>
      <c r="AN445" s="2">
        <f t="shared" ca="1" si="238"/>
        <v>0.20132847330099482</v>
      </c>
      <c r="AO445" s="2">
        <f t="shared" ca="1" si="239"/>
        <v>8.0866068938202092E-6</v>
      </c>
      <c r="AP445" s="2">
        <f t="shared" ca="1" si="240"/>
        <v>0.14536122448228705</v>
      </c>
      <c r="AQ445" s="2">
        <f t="shared" ca="1" si="241"/>
        <v>1.7493041033480354</v>
      </c>
      <c r="AS445" s="2">
        <f t="shared" ca="1" si="242"/>
        <v>8.6883687227264552</v>
      </c>
      <c r="AT445" s="2">
        <f t="shared" ca="1" si="243"/>
        <v>0.40026428163053801</v>
      </c>
      <c r="AU445" s="2">
        <f t="shared" ca="1" si="244"/>
        <v>1.6457987822875525E-4</v>
      </c>
      <c r="AV445" s="2">
        <f t="shared" ca="1" si="245"/>
        <v>0.14521272692323947</v>
      </c>
      <c r="AW445" s="2">
        <f t="shared" ca="1" si="246"/>
        <v>0.70802306883885568</v>
      </c>
      <c r="AX445" s="2">
        <f t="shared" ca="1" si="247"/>
        <v>5.308373879485178E-2</v>
      </c>
      <c r="AY445" s="9">
        <f t="shared" ca="1" si="248"/>
        <v>0.70802306883885568</v>
      </c>
      <c r="AZ445" s="9">
        <f t="shared" ca="1" si="249"/>
        <v>0.70802306883885568</v>
      </c>
      <c r="BB445" s="2">
        <f t="shared" ca="1" si="250"/>
        <v>8.6888062809315088</v>
      </c>
      <c r="BC445" s="2">
        <f t="shared" ca="1" si="251"/>
        <v>0.40028468398718348</v>
      </c>
      <c r="BD445" s="2">
        <f t="shared" ca="1" si="252"/>
        <v>1.6220139076730342E-4</v>
      </c>
      <c r="BE445" s="2">
        <f t="shared" ca="1" si="253"/>
        <v>0.14519902309151975</v>
      </c>
      <c r="BF445" s="2">
        <f t="shared" ca="1" si="254"/>
        <v>0.70797659178668038</v>
      </c>
      <c r="BG445" s="2">
        <f t="shared" ca="1" si="255"/>
        <v>5.3039821638128176E-2</v>
      </c>
      <c r="BH445" s="2">
        <f t="shared" ca="1" si="256"/>
        <v>0.70797659178668038</v>
      </c>
      <c r="BI445" s="2">
        <f t="shared" ca="1" si="257"/>
        <v>0.70797659178668038</v>
      </c>
    </row>
    <row r="446" spans="1:61" ht="15" x14ac:dyDescent="0.25">
      <c r="A446" s="66">
        <v>380</v>
      </c>
      <c r="B446" s="66">
        <v>1498730319.687</v>
      </c>
      <c r="C446" s="67">
        <v>7.8663572499476905E-5</v>
      </c>
      <c r="D446" s="67">
        <v>1.6246155720887899E-5</v>
      </c>
      <c r="E446" s="67">
        <v>1.16733584779623E-2</v>
      </c>
      <c r="F446" s="67">
        <v>4.91619280678633E-4</v>
      </c>
      <c r="G446" s="67">
        <v>1.17495787400599E-4</v>
      </c>
      <c r="H446" s="67">
        <v>0.21268747033535501</v>
      </c>
      <c r="I446" s="67">
        <v>1.6246155720887899E-5</v>
      </c>
      <c r="J446" s="67">
        <v>0.15351233107475801</v>
      </c>
      <c r="K446" s="67">
        <v>1.8464676101914099</v>
      </c>
      <c r="L446" s="67"/>
      <c r="M446" s="67"/>
      <c r="O446" s="11">
        <f t="shared" ca="1" si="215"/>
        <v>6.5859641789516884E-5</v>
      </c>
      <c r="P446" s="11">
        <f t="shared" ca="1" si="216"/>
        <v>1.5481055490583157E-5</v>
      </c>
      <c r="Q446" s="11">
        <f t="shared" ca="1" si="217"/>
        <v>1.0836866865694015E-2</v>
      </c>
      <c r="R446" s="11">
        <f t="shared" ca="1" si="218"/>
        <v>4.7997279303228589E-4</v>
      </c>
      <c r="S446" s="11">
        <f t="shared" ca="1" si="219"/>
        <v>1.0656813535362887E-4</v>
      </c>
      <c r="T446" s="11">
        <f t="shared" ca="1" si="220"/>
        <v>0.21154891529677272</v>
      </c>
      <c r="U446" s="11">
        <f t="shared" ca="1" si="221"/>
        <v>1.5481055490583157E-5</v>
      </c>
      <c r="V446" s="11">
        <f t="shared" ca="1" si="222"/>
        <v>0.15286213506906424</v>
      </c>
      <c r="W446" s="11">
        <f t="shared" ca="1" si="223"/>
        <v>1.8393447619279049</v>
      </c>
      <c r="X446" s="11"/>
      <c r="Y446" s="2">
        <f t="shared" ca="1" si="224"/>
        <v>6.5859641789516884E-5</v>
      </c>
      <c r="Z446" s="11">
        <f t="shared" ca="1" si="225"/>
        <v>1.5481055490583157E-5</v>
      </c>
      <c r="AA446" s="2">
        <f t="shared" ca="1" si="226"/>
        <v>1.0836748424034919E-2</v>
      </c>
      <c r="AB446" s="2">
        <f t="shared" ca="1" si="227"/>
        <v>4.771059665109595E-4</v>
      </c>
      <c r="AC446" s="2">
        <f t="shared" ca="1" si="228"/>
        <v>1.0656813535362887E-4</v>
      </c>
      <c r="AD446" s="2">
        <f t="shared" ca="1" si="229"/>
        <v>0.21152806687291575</v>
      </c>
      <c r="AE446" s="2">
        <f t="shared" ca="1" si="230"/>
        <v>1.5481055490583157E-5</v>
      </c>
      <c r="AF446" s="2">
        <f t="shared" ca="1" si="231"/>
        <v>0.15283134696733872</v>
      </c>
      <c r="AG446" s="2">
        <f t="shared" ca="1" si="232"/>
        <v>1.8393322688324505</v>
      </c>
      <c r="AI446" s="2">
        <f t="shared" ca="1" si="233"/>
        <v>6.5859641789516884E-5</v>
      </c>
      <c r="AJ446" s="11">
        <f t="shared" ca="1" si="234"/>
        <v>1.5481055490583157E-5</v>
      </c>
      <c r="AK446" s="2">
        <f t="shared" ca="1" si="235"/>
        <v>1.0818483642961464E-2</v>
      </c>
      <c r="AL446" s="2">
        <f t="shared" ca="1" si="236"/>
        <v>4.6855728604233867E-4</v>
      </c>
      <c r="AM446" s="2">
        <f t="shared" ca="1" si="237"/>
        <v>1.0656813535362887E-4</v>
      </c>
      <c r="AN446" s="2">
        <f t="shared" ca="1" si="238"/>
        <v>0.21152806687291575</v>
      </c>
      <c r="AO446" s="2">
        <f t="shared" ca="1" si="239"/>
        <v>1.5481055490583157E-5</v>
      </c>
      <c r="AP446" s="2">
        <f t="shared" ca="1" si="240"/>
        <v>0.15283134696733872</v>
      </c>
      <c r="AQ446" s="2">
        <f t="shared" ca="1" si="241"/>
        <v>1.8393322688324505</v>
      </c>
      <c r="AS446" s="2">
        <f t="shared" ca="1" si="242"/>
        <v>8.6946546586994717</v>
      </c>
      <c r="AT446" s="2">
        <f t="shared" ca="1" si="243"/>
        <v>0.40055738190720758</v>
      </c>
      <c r="AU446" s="2">
        <f t="shared" ca="1" si="244"/>
        <v>1.9225664536370244E-4</v>
      </c>
      <c r="AV446" s="2">
        <f t="shared" ca="1" si="245"/>
        <v>0.15266987842370053</v>
      </c>
      <c r="AW446" s="2">
        <f t="shared" ca="1" si="246"/>
        <v>0.70819980052284148</v>
      </c>
      <c r="AX446" s="2">
        <f t="shared" ca="1" si="247"/>
        <v>5.3226461369997639E-2</v>
      </c>
      <c r="AY446" s="9">
        <f t="shared" ca="1" si="248"/>
        <v>0.70819980052284148</v>
      </c>
      <c r="AZ446" s="9">
        <f t="shared" ca="1" si="249"/>
        <v>0.70819980052284148</v>
      </c>
      <c r="BB446" s="2">
        <f t="shared" ca="1" si="250"/>
        <v>8.6954525516346983</v>
      </c>
      <c r="BC446" s="2">
        <f t="shared" ca="1" si="251"/>
        <v>0.40059458619894733</v>
      </c>
      <c r="BD446" s="2">
        <f t="shared" ca="1" si="252"/>
        <v>1.8770151211263246E-4</v>
      </c>
      <c r="BE446" s="2">
        <f t="shared" ca="1" si="253"/>
        <v>0.15264364545522607</v>
      </c>
      <c r="BF446" s="2">
        <f t="shared" ca="1" si="254"/>
        <v>0.70811517684617853</v>
      </c>
      <c r="BG446" s="2">
        <f t="shared" ca="1" si="255"/>
        <v>5.3146397391646331E-2</v>
      </c>
      <c r="BH446" s="2">
        <f t="shared" ca="1" si="256"/>
        <v>0.70811517684617853</v>
      </c>
      <c r="BI446" s="2">
        <f t="shared" ca="1" si="257"/>
        <v>0.70811517684617853</v>
      </c>
    </row>
    <row r="447" spans="1:61" ht="15" x14ac:dyDescent="0.25">
      <c r="A447" s="66">
        <v>381</v>
      </c>
      <c r="B447" s="66">
        <v>1498730320.214</v>
      </c>
      <c r="C447" s="67">
        <v>1.05831501665981E-4</v>
      </c>
      <c r="D447" s="67">
        <v>5.8284501487004002E-5</v>
      </c>
      <c r="E447" s="67">
        <v>1.1616322138845E-2</v>
      </c>
      <c r="F447" s="67">
        <v>3.9140426231951402E-4</v>
      </c>
      <c r="G447" s="67">
        <v>7.7037672812102406E-5</v>
      </c>
      <c r="H447" s="67">
        <v>0.210865651940121</v>
      </c>
      <c r="I447" s="67">
        <v>5.8284501487004002E-5</v>
      </c>
      <c r="J447" s="67">
        <v>0.15234714965180499</v>
      </c>
      <c r="K447" s="67">
        <v>1.8314706163752199</v>
      </c>
      <c r="L447" s="67"/>
      <c r="M447" s="67"/>
      <c r="O447" s="11">
        <f t="shared" ca="1" si="215"/>
        <v>9.3027570956020963E-5</v>
      </c>
      <c r="P447" s="11">
        <f t="shared" ca="1" si="216"/>
        <v>5.7519401256699264E-5</v>
      </c>
      <c r="Q447" s="11">
        <f t="shared" ca="1" si="217"/>
        <v>1.0779830526576715E-2</v>
      </c>
      <c r="R447" s="11">
        <f t="shared" ca="1" si="218"/>
        <v>3.7975777467316691E-4</v>
      </c>
      <c r="S447" s="11">
        <f t="shared" ca="1" si="219"/>
        <v>6.6110020765132278E-5</v>
      </c>
      <c r="T447" s="11">
        <f t="shared" ca="1" si="220"/>
        <v>0.20972709690153871</v>
      </c>
      <c r="U447" s="11">
        <f t="shared" ca="1" si="221"/>
        <v>5.7519401256699264E-5</v>
      </c>
      <c r="V447" s="11">
        <f t="shared" ca="1" si="222"/>
        <v>0.15169695364611122</v>
      </c>
      <c r="W447" s="11">
        <f t="shared" ca="1" si="223"/>
        <v>1.8243477681117148</v>
      </c>
      <c r="X447" s="11"/>
      <c r="Y447" s="2">
        <f t="shared" ca="1" si="224"/>
        <v>9.3027570956020963E-5</v>
      </c>
      <c r="Z447" s="11">
        <f t="shared" ca="1" si="225"/>
        <v>5.7519401256699264E-5</v>
      </c>
      <c r="AA447" s="2">
        <f t="shared" ca="1" si="226"/>
        <v>1.0779390460114887E-2</v>
      </c>
      <c r="AB447" s="2">
        <f t="shared" ca="1" si="227"/>
        <v>3.6910616599481648E-4</v>
      </c>
      <c r="AC447" s="2">
        <f t="shared" ca="1" si="228"/>
        <v>6.6110020765132278E-5</v>
      </c>
      <c r="AD447" s="2">
        <f t="shared" ca="1" si="229"/>
        <v>0.20964963520274638</v>
      </c>
      <c r="AE447" s="2">
        <f t="shared" ca="1" si="230"/>
        <v>5.7519401256699264E-5</v>
      </c>
      <c r="AF447" s="2">
        <f t="shared" ca="1" si="231"/>
        <v>0.15158256136981202</v>
      </c>
      <c r="AG447" s="2">
        <f t="shared" ca="1" si="232"/>
        <v>1.8243013503871088</v>
      </c>
      <c r="AI447" s="2">
        <f t="shared" ca="1" si="233"/>
        <v>9.3027570956020963E-5</v>
      </c>
      <c r="AJ447" s="11">
        <f t="shared" ca="1" si="234"/>
        <v>5.7519401256699264E-5</v>
      </c>
      <c r="AK447" s="2">
        <f t="shared" ca="1" si="235"/>
        <v>1.071152820924518E-2</v>
      </c>
      <c r="AL447" s="2">
        <f t="shared" ca="1" si="236"/>
        <v>3.3734379795802397E-4</v>
      </c>
      <c r="AM447" s="2">
        <f t="shared" ca="1" si="237"/>
        <v>6.6110020765132278E-5</v>
      </c>
      <c r="AN447" s="2">
        <f t="shared" ca="1" si="238"/>
        <v>0.20964963520274638</v>
      </c>
      <c r="AO447" s="2">
        <f t="shared" ca="1" si="239"/>
        <v>5.7519401256699264E-5</v>
      </c>
      <c r="AP447" s="2">
        <f t="shared" ca="1" si="240"/>
        <v>0.15158256136981202</v>
      </c>
      <c r="AQ447" s="2">
        <f t="shared" ca="1" si="241"/>
        <v>1.8243013503871088</v>
      </c>
      <c r="AS447" s="2">
        <f t="shared" ca="1" si="242"/>
        <v>8.698674587424426</v>
      </c>
      <c r="AT447" s="2">
        <f t="shared" ca="1" si="243"/>
        <v>0.40074482427008334</v>
      </c>
      <c r="AU447" s="2">
        <f t="shared" ca="1" si="244"/>
        <v>1.5218596267659617E-4</v>
      </c>
      <c r="AV447" s="2">
        <f t="shared" ca="1" si="245"/>
        <v>0.15154476768343461</v>
      </c>
      <c r="AW447" s="2">
        <f t="shared" ca="1" si="246"/>
        <v>0.70892215527501479</v>
      </c>
      <c r="AX447" s="2">
        <f t="shared" ca="1" si="247"/>
        <v>5.3431511738541021E-2</v>
      </c>
      <c r="AY447" s="9">
        <f t="shared" ca="1" si="248"/>
        <v>0.70892215527501479</v>
      </c>
      <c r="AZ447" s="9">
        <f t="shared" ca="1" si="249"/>
        <v>0.70892215527501479</v>
      </c>
      <c r="BB447" s="2">
        <f t="shared" ca="1" si="250"/>
        <v>8.7016671821197171</v>
      </c>
      <c r="BC447" s="2">
        <f t="shared" ca="1" si="251"/>
        <v>0.40088436449620862</v>
      </c>
      <c r="BD447" s="2">
        <f t="shared" ca="1" si="252"/>
        <v>1.3523585406113983E-4</v>
      </c>
      <c r="BE447" s="2">
        <f t="shared" ca="1" si="253"/>
        <v>0.15144732551575088</v>
      </c>
      <c r="BF447" s="2">
        <f t="shared" ca="1" si="254"/>
        <v>0.70860533306399553</v>
      </c>
      <c r="BG447" s="2">
        <f t="shared" ca="1" si="255"/>
        <v>5.3131277229744124E-2</v>
      </c>
      <c r="BH447" s="2">
        <f t="shared" ca="1" si="256"/>
        <v>0.70860533306399553</v>
      </c>
      <c r="BI447" s="2">
        <f t="shared" ca="1" si="257"/>
        <v>0.70860533306399553</v>
      </c>
    </row>
    <row r="448" spans="1:61" ht="15" x14ac:dyDescent="0.25">
      <c r="A448" s="66">
        <v>382</v>
      </c>
      <c r="B448" s="66">
        <v>1498730320.7409999</v>
      </c>
      <c r="C448" s="67">
        <v>-2.9055850274793799E-5</v>
      </c>
      <c r="D448" s="67">
        <v>9.8141674881770607E-5</v>
      </c>
      <c r="E448" s="67">
        <v>1.1590572609800899E-2</v>
      </c>
      <c r="F448" s="67">
        <v>4.6329145090355002E-4</v>
      </c>
      <c r="G448" s="67">
        <v>1.36729207600975E-4</v>
      </c>
      <c r="H448" s="67">
        <v>0.20962682754682099</v>
      </c>
      <c r="I448" s="67">
        <v>9.8141674881770607E-5</v>
      </c>
      <c r="J448" s="67">
        <v>0.15123505925531799</v>
      </c>
      <c r="K448" s="67">
        <v>1.8169724060764501</v>
      </c>
      <c r="L448" s="67"/>
      <c r="M448" s="67"/>
      <c r="O448" s="11">
        <f t="shared" ca="1" si="215"/>
        <v>-4.185978098475383E-5</v>
      </c>
      <c r="P448" s="11">
        <f t="shared" ca="1" si="216"/>
        <v>9.7376574651465868E-5</v>
      </c>
      <c r="Q448" s="11">
        <f t="shared" ca="1" si="217"/>
        <v>1.0754080997532615E-2</v>
      </c>
      <c r="R448" s="11">
        <f t="shared" ca="1" si="218"/>
        <v>4.5164496325720291E-4</v>
      </c>
      <c r="S448" s="11">
        <f t="shared" ca="1" si="219"/>
        <v>1.2580155555400488E-4</v>
      </c>
      <c r="T448" s="11">
        <f t="shared" ca="1" si="220"/>
        <v>0.2084882725082387</v>
      </c>
      <c r="U448" s="11">
        <f t="shared" ca="1" si="221"/>
        <v>9.7376574651465868E-5</v>
      </c>
      <c r="V448" s="11">
        <f t="shared" ca="1" si="222"/>
        <v>0.15058486324962422</v>
      </c>
      <c r="W448" s="11">
        <f t="shared" ca="1" si="223"/>
        <v>1.809849557812945</v>
      </c>
      <c r="X448" s="11"/>
      <c r="Y448" s="2">
        <f t="shared" ca="1" si="224"/>
        <v>-4.185978098475383E-5</v>
      </c>
      <c r="Z448" s="11">
        <f t="shared" ca="1" si="225"/>
        <v>9.7376574651465868E-5</v>
      </c>
      <c r="AA448" s="2">
        <f t="shared" ca="1" si="226"/>
        <v>1.0753335993868884E-2</v>
      </c>
      <c r="AB448" s="2">
        <f t="shared" ca="1" si="227"/>
        <v>4.3361248821462259E-4</v>
      </c>
      <c r="AC448" s="2">
        <f t="shared" ca="1" si="228"/>
        <v>1.2580155555400488E-4</v>
      </c>
      <c r="AD448" s="2">
        <f t="shared" ca="1" si="229"/>
        <v>0.20835713493152058</v>
      </c>
      <c r="AE448" s="2">
        <f t="shared" ca="1" si="230"/>
        <v>9.7376574651465868E-5</v>
      </c>
      <c r="AF448" s="2">
        <f t="shared" ca="1" si="231"/>
        <v>0.15039120462680777</v>
      </c>
      <c r="AG448" s="2">
        <f t="shared" ca="1" si="232"/>
        <v>1.8097709756489013</v>
      </c>
      <c r="AI448" s="2">
        <f t="shared" ca="1" si="233"/>
        <v>-4.185978098475383E-5</v>
      </c>
      <c r="AJ448" s="11">
        <f t="shared" ca="1" si="234"/>
        <v>9.7376574651465868E-5</v>
      </c>
      <c r="AK448" s="2">
        <f t="shared" ca="1" si="235"/>
        <v>1.063844965302644E-2</v>
      </c>
      <c r="AL448" s="2">
        <f t="shared" ca="1" si="236"/>
        <v>3.7984088185803126E-4</v>
      </c>
      <c r="AM448" s="2">
        <f t="shared" ca="1" si="237"/>
        <v>1.2580155555400488E-4</v>
      </c>
      <c r="AN448" s="2">
        <f t="shared" ca="1" si="238"/>
        <v>0.20835713493152058</v>
      </c>
      <c r="AO448" s="2">
        <f t="shared" ca="1" si="239"/>
        <v>9.7376574651465868E-5</v>
      </c>
      <c r="AP448" s="2">
        <f t="shared" ca="1" si="240"/>
        <v>0.15039120462680777</v>
      </c>
      <c r="AQ448" s="2">
        <f t="shared" ca="1" si="241"/>
        <v>1.8097709756489013</v>
      </c>
      <c r="AS448" s="2">
        <f t="shared" ca="1" si="242"/>
        <v>8.6808218804797583</v>
      </c>
      <c r="AT448" s="2">
        <f t="shared" ca="1" si="243"/>
        <v>0.39991239128325085</v>
      </c>
      <c r="AU448" s="2">
        <f t="shared" ca="1" si="244"/>
        <v>1.8061841726722399E-4</v>
      </c>
      <c r="AV448" s="2">
        <f t="shared" ca="1" si="245"/>
        <v>0.15040424483235701</v>
      </c>
      <c r="AW448" s="2">
        <f t="shared" ca="1" si="246"/>
        <v>0.70850013354909092</v>
      </c>
      <c r="AX448" s="2">
        <f t="shared" ca="1" si="247"/>
        <v>5.3508005363805768E-2</v>
      </c>
      <c r="AY448" s="9">
        <f t="shared" ca="1" si="248"/>
        <v>0.70850013354909092</v>
      </c>
      <c r="AZ448" s="9">
        <f t="shared" ca="1" si="249"/>
        <v>0.70850013354909092</v>
      </c>
      <c r="BB448" s="2">
        <f t="shared" ca="1" si="250"/>
        <v>8.6859083383139595</v>
      </c>
      <c r="BC448" s="2">
        <f t="shared" ca="1" si="251"/>
        <v>0.40014955966179283</v>
      </c>
      <c r="BD448" s="2">
        <f t="shared" ca="1" si="252"/>
        <v>1.5199316161703828E-4</v>
      </c>
      <c r="BE448" s="2">
        <f t="shared" ca="1" si="253"/>
        <v>0.15023921146519073</v>
      </c>
      <c r="BF448" s="2">
        <f t="shared" ca="1" si="254"/>
        <v>0.70795928167809496</v>
      </c>
      <c r="BG448" s="2">
        <f t="shared" ca="1" si="255"/>
        <v>5.2997742046290368E-2</v>
      </c>
      <c r="BH448" s="2">
        <f t="shared" ca="1" si="256"/>
        <v>0.70795928167809496</v>
      </c>
      <c r="BI448" s="2">
        <f t="shared" ca="1" si="257"/>
        <v>0.70795928167809496</v>
      </c>
    </row>
    <row r="449" spans="1:61" ht="15" x14ac:dyDescent="0.25">
      <c r="A449" s="66">
        <v>383</v>
      </c>
      <c r="B449" s="66">
        <v>1498730321.2679999</v>
      </c>
      <c r="C449" s="67">
        <v>1.11028929404352E-4</v>
      </c>
      <c r="D449" s="67">
        <v>5.1075987341234502E-5</v>
      </c>
      <c r="E449" s="67">
        <v>1.24671473010188E-2</v>
      </c>
      <c r="F449" s="67">
        <v>6.3684177931923097E-4</v>
      </c>
      <c r="G449" s="67">
        <v>3.08999338338613E-4</v>
      </c>
      <c r="H449" s="67">
        <v>0.226350085335421</v>
      </c>
      <c r="I449" s="67">
        <v>5.1075987341234502E-5</v>
      </c>
      <c r="J449" s="67">
        <v>0.16344895503736401</v>
      </c>
      <c r="K449" s="67">
        <v>1.96477328581939</v>
      </c>
      <c r="L449" s="67"/>
      <c r="M449" s="67"/>
      <c r="O449" s="11">
        <f t="shared" ca="1" si="215"/>
        <v>9.8224998694391969E-5</v>
      </c>
      <c r="P449" s="11">
        <f t="shared" ca="1" si="216"/>
        <v>5.0310887110929763E-5</v>
      </c>
      <c r="Q449" s="11">
        <f t="shared" ca="1" si="217"/>
        <v>1.1630655688750515E-2</v>
      </c>
      <c r="R449" s="11">
        <f t="shared" ca="1" si="218"/>
        <v>6.2519529167288381E-4</v>
      </c>
      <c r="S449" s="11">
        <f t="shared" ca="1" si="219"/>
        <v>2.9807168629164289E-4</v>
      </c>
      <c r="T449" s="11">
        <f t="shared" ca="1" si="220"/>
        <v>0.22521153029683871</v>
      </c>
      <c r="U449" s="11">
        <f t="shared" ca="1" si="221"/>
        <v>5.0310887110929763E-5</v>
      </c>
      <c r="V449" s="11">
        <f t="shared" ca="1" si="222"/>
        <v>0.16279875903167024</v>
      </c>
      <c r="W449" s="11">
        <f t="shared" ca="1" si="223"/>
        <v>1.957650437555885</v>
      </c>
      <c r="X449" s="11"/>
      <c r="Y449" s="2">
        <f t="shared" ca="1" si="224"/>
        <v>9.8224998694391969E-5</v>
      </c>
      <c r="Z449" s="11">
        <f t="shared" ca="1" si="225"/>
        <v>5.0310887110929763E-5</v>
      </c>
      <c r="AA449" s="2">
        <f t="shared" ca="1" si="226"/>
        <v>1.1630270772816089E-2</v>
      </c>
      <c r="AB449" s="2">
        <f t="shared" ca="1" si="227"/>
        <v>6.1587857644188385E-4</v>
      </c>
      <c r="AC449" s="2">
        <f t="shared" ca="1" si="228"/>
        <v>2.9807168629164289E-4</v>
      </c>
      <c r="AD449" s="2">
        <f t="shared" ca="1" si="229"/>
        <v>0.22514377634429028</v>
      </c>
      <c r="AE449" s="2">
        <f t="shared" ca="1" si="230"/>
        <v>5.0310887110929763E-5</v>
      </c>
      <c r="AF449" s="2">
        <f t="shared" ca="1" si="231"/>
        <v>0.16269870275894294</v>
      </c>
      <c r="AG449" s="2">
        <f t="shared" ca="1" si="232"/>
        <v>1.9576098370480288</v>
      </c>
      <c r="AI449" s="2">
        <f t="shared" ca="1" si="233"/>
        <v>9.8224998694391969E-5</v>
      </c>
      <c r="AJ449" s="11">
        <f t="shared" ca="1" si="234"/>
        <v>5.0310887110929763E-5</v>
      </c>
      <c r="AK449" s="2">
        <f t="shared" ca="1" si="235"/>
        <v>1.1570913234872285E-2</v>
      </c>
      <c r="AL449" s="2">
        <f t="shared" ca="1" si="236"/>
        <v>5.8809676929922423E-4</v>
      </c>
      <c r="AM449" s="2">
        <f t="shared" ca="1" si="237"/>
        <v>2.9807168629164289E-4</v>
      </c>
      <c r="AN449" s="2">
        <f t="shared" ca="1" si="238"/>
        <v>0.22514377634429028</v>
      </c>
      <c r="AO449" s="2">
        <f t="shared" ca="1" si="239"/>
        <v>5.0310887110929763E-5</v>
      </c>
      <c r="AP449" s="2">
        <f t="shared" ca="1" si="240"/>
        <v>0.16269870275894294</v>
      </c>
      <c r="AQ449" s="2">
        <f t="shared" ca="1" si="241"/>
        <v>1.9576098370480288</v>
      </c>
      <c r="AS449" s="2">
        <f t="shared" ca="1" si="242"/>
        <v>8.6924964941875551</v>
      </c>
      <c r="AT449" s="2">
        <f t="shared" ca="1" si="243"/>
        <v>0.40045675084128179</v>
      </c>
      <c r="AU449" s="2">
        <f t="shared" ca="1" si="244"/>
        <v>2.5036367514459054E-4</v>
      </c>
      <c r="AV449" s="2">
        <f t="shared" ca="1" si="245"/>
        <v>0.16254839535652565</v>
      </c>
      <c r="AW449" s="2">
        <f t="shared" ca="1" si="246"/>
        <v>0.70836908953000233</v>
      </c>
      <c r="AX449" s="2">
        <f t="shared" ca="1" si="247"/>
        <v>5.3646070632997853E-2</v>
      </c>
      <c r="AY449" s="9">
        <f t="shared" ca="1" si="248"/>
        <v>0.70836908953000233</v>
      </c>
      <c r="AZ449" s="9">
        <f t="shared" ca="1" si="249"/>
        <v>0.70836908953000233</v>
      </c>
      <c r="BB449" s="2">
        <f t="shared" ca="1" si="250"/>
        <v>8.6949320511282906</v>
      </c>
      <c r="BC449" s="2">
        <f t="shared" ca="1" si="251"/>
        <v>0.40057031620533962</v>
      </c>
      <c r="BD449" s="2">
        <f t="shared" ca="1" si="252"/>
        <v>2.3557410883752892E-4</v>
      </c>
      <c r="BE449" s="2">
        <f t="shared" ca="1" si="253"/>
        <v>0.1624631286501054</v>
      </c>
      <c r="BF449" s="2">
        <f t="shared" ca="1" si="254"/>
        <v>0.70811065924535643</v>
      </c>
      <c r="BG449" s="2">
        <f t="shared" ca="1" si="255"/>
        <v>5.3401877643695569E-2</v>
      </c>
      <c r="BH449" s="2">
        <f t="shared" ca="1" si="256"/>
        <v>0.70811065924535643</v>
      </c>
      <c r="BI449" s="2">
        <f t="shared" ca="1" si="257"/>
        <v>0.70811065924535643</v>
      </c>
    </row>
    <row r="450" spans="1:61" ht="15" x14ac:dyDescent="0.25">
      <c r="A450" s="66">
        <v>384</v>
      </c>
      <c r="B450" s="66">
        <v>1498730321.7950001</v>
      </c>
      <c r="C450" s="67">
        <v>1.1953386988345101E-4</v>
      </c>
      <c r="D450" s="67">
        <v>3.71567652901274E-5</v>
      </c>
      <c r="E450" s="67">
        <v>1.11471579470355E-2</v>
      </c>
      <c r="F450" s="67">
        <v>3.9568878419699602E-4</v>
      </c>
      <c r="G450" s="67">
        <v>1.97400253801397E-4</v>
      </c>
      <c r="H450" s="67">
        <v>0.202943340881548</v>
      </c>
      <c r="I450" s="67">
        <v>3.71567652901274E-5</v>
      </c>
      <c r="J450" s="67">
        <v>0.14666343585573799</v>
      </c>
      <c r="K450" s="67">
        <v>1.7631295227582799</v>
      </c>
      <c r="L450" s="67"/>
      <c r="M450" s="67"/>
      <c r="O450" s="11">
        <f t="shared" ca="1" si="215"/>
        <v>1.0672993917349097E-4</v>
      </c>
      <c r="P450" s="11">
        <f t="shared" ca="1" si="216"/>
        <v>3.6391665059822661E-5</v>
      </c>
      <c r="Q450" s="11">
        <f t="shared" ca="1" si="217"/>
        <v>1.0310666334767215E-2</v>
      </c>
      <c r="R450" s="11">
        <f t="shared" ca="1" si="218"/>
        <v>3.8404229655064891E-4</v>
      </c>
      <c r="S450" s="11">
        <f t="shared" ca="1" si="219"/>
        <v>1.8647260175442689E-4</v>
      </c>
      <c r="T450" s="11">
        <f t="shared" ca="1" si="220"/>
        <v>0.20180478584296571</v>
      </c>
      <c r="U450" s="11">
        <f t="shared" ca="1" si="221"/>
        <v>3.6391665059822661E-5</v>
      </c>
      <c r="V450" s="11">
        <f t="shared" ca="1" si="222"/>
        <v>0.14601323985004422</v>
      </c>
      <c r="W450" s="11">
        <f t="shared" ca="1" si="223"/>
        <v>1.7560066744947749</v>
      </c>
      <c r="X450" s="11"/>
      <c r="Y450" s="2">
        <f t="shared" ca="1" si="224"/>
        <v>1.0672993917349097E-4</v>
      </c>
      <c r="Z450" s="11">
        <f t="shared" ca="1" si="225"/>
        <v>3.6391665059822661E-5</v>
      </c>
      <c r="AA450" s="2">
        <f t="shared" ca="1" si="226"/>
        <v>1.0310387911297342E-2</v>
      </c>
      <c r="AB450" s="2">
        <f t="shared" ca="1" si="227"/>
        <v>3.7730318301848774E-4</v>
      </c>
      <c r="AC450" s="2">
        <f t="shared" ca="1" si="228"/>
        <v>1.8647260175442689E-4</v>
      </c>
      <c r="AD450" s="2">
        <f t="shared" ca="1" si="229"/>
        <v>0.20175577698446187</v>
      </c>
      <c r="AE450" s="2">
        <f t="shared" ca="1" si="230"/>
        <v>3.6391665059822661E-5</v>
      </c>
      <c r="AF450" s="2">
        <f t="shared" ca="1" si="231"/>
        <v>0.1459408655673925</v>
      </c>
      <c r="AG450" s="2">
        <f t="shared" ca="1" si="232"/>
        <v>1.7559773066945232</v>
      </c>
      <c r="AI450" s="2">
        <f t="shared" ca="1" si="233"/>
        <v>1.0672993917349097E-4</v>
      </c>
      <c r="AJ450" s="11">
        <f t="shared" ca="1" si="234"/>
        <v>3.6391665059822661E-5</v>
      </c>
      <c r="AK450" s="2">
        <f t="shared" ca="1" si="235"/>
        <v>1.0267452479948978E-2</v>
      </c>
      <c r="AL450" s="2">
        <f t="shared" ca="1" si="236"/>
        <v>3.5720760771958555E-4</v>
      </c>
      <c r="AM450" s="2">
        <f t="shared" ca="1" si="237"/>
        <v>1.8647260175442689E-4</v>
      </c>
      <c r="AN450" s="2">
        <f t="shared" ca="1" si="238"/>
        <v>0.20175577698446187</v>
      </c>
      <c r="AO450" s="2">
        <f t="shared" ca="1" si="239"/>
        <v>3.6391665059822661E-5</v>
      </c>
      <c r="AP450" s="2">
        <f t="shared" ca="1" si="240"/>
        <v>0.1459408655673925</v>
      </c>
      <c r="AQ450" s="2">
        <f t="shared" ca="1" si="241"/>
        <v>1.7559773066945232</v>
      </c>
      <c r="AS450" s="2">
        <f t="shared" ca="1" si="242"/>
        <v>8.7015115482008962</v>
      </c>
      <c r="AT450" s="2">
        <f t="shared" ca="1" si="243"/>
        <v>0.40087710750440736</v>
      </c>
      <c r="AU450" s="2">
        <f t="shared" ca="1" si="244"/>
        <v>1.5395376500057398E-4</v>
      </c>
      <c r="AV450" s="2">
        <f t="shared" ca="1" si="245"/>
        <v>0.14585928608504364</v>
      </c>
      <c r="AW450" s="2">
        <f t="shared" ca="1" si="246"/>
        <v>0.70899545833825151</v>
      </c>
      <c r="AX450" s="2">
        <f t="shared" ca="1" si="247"/>
        <v>5.3130053646691627E-2</v>
      </c>
      <c r="AY450" s="9">
        <f t="shared" ca="1" si="248"/>
        <v>0.70899545833825151</v>
      </c>
      <c r="AZ450" s="9">
        <f t="shared" ca="1" si="249"/>
        <v>0.70899545833825151</v>
      </c>
      <c r="BB450" s="2">
        <f t="shared" ca="1" si="250"/>
        <v>8.7034796868778592</v>
      </c>
      <c r="BC450" s="2">
        <f t="shared" ca="1" si="251"/>
        <v>0.4009688791721211</v>
      </c>
      <c r="BD450" s="2">
        <f t="shared" ca="1" si="252"/>
        <v>1.4322913409907693E-4</v>
      </c>
      <c r="BE450" s="2">
        <f t="shared" ca="1" si="253"/>
        <v>0.14579763643329341</v>
      </c>
      <c r="BF450" s="2">
        <f t="shared" ca="1" si="254"/>
        <v>0.70878721163303327</v>
      </c>
      <c r="BG450" s="2">
        <f t="shared" ca="1" si="255"/>
        <v>5.2932475890797977E-2</v>
      </c>
      <c r="BH450" s="2">
        <f t="shared" ca="1" si="256"/>
        <v>0.70878721163303327</v>
      </c>
      <c r="BI450" s="2">
        <f t="shared" ca="1" si="257"/>
        <v>0.70878721163303327</v>
      </c>
    </row>
    <row r="451" spans="1:61" ht="15" x14ac:dyDescent="0.25">
      <c r="A451" s="66">
        <v>385</v>
      </c>
      <c r="B451" s="66">
        <v>1498730322.322</v>
      </c>
      <c r="C451" s="67">
        <v>-4.8425207670815099E-5</v>
      </c>
      <c r="D451" s="67">
        <v>4.8594065451613902E-6</v>
      </c>
      <c r="E451" s="67">
        <v>1.1382194014421801E-2</v>
      </c>
      <c r="F451" s="67">
        <v>3.5403448962165402E-4</v>
      </c>
      <c r="G451" s="67">
        <v>3.6030929225396802E-5</v>
      </c>
      <c r="H451" s="67">
        <v>0.20777268245839201</v>
      </c>
      <c r="I451" s="67">
        <v>4.8594065451613902E-6</v>
      </c>
      <c r="J451" s="67">
        <v>0.15017112077790501</v>
      </c>
      <c r="K451" s="67">
        <v>1.8029213371820501</v>
      </c>
      <c r="L451" s="67"/>
      <c r="M451" s="67"/>
      <c r="O451" s="11">
        <f t="shared" ref="O451:O514" ca="1" si="258">C451-AVERAGE(OFFSET(C$67,$J$2,0,$J$3))</f>
        <v>-6.122913838077512E-5</v>
      </c>
      <c r="P451" s="11">
        <f t="shared" ref="P451:P514" ca="1" si="259">D451-AVERAGE(OFFSET(D$67,$J$2,0,$J$3))</f>
        <v>4.0943063148566499E-6</v>
      </c>
      <c r="Q451" s="11">
        <f t="shared" ref="Q451:Q514" ca="1" si="260">E451-AVERAGE(OFFSET(E$67,$J$2,0,$J$3))</f>
        <v>1.0545702402153516E-2</v>
      </c>
      <c r="R451" s="11">
        <f t="shared" ref="R451:R514" ca="1" si="261">F451-AVERAGE(OFFSET(F$67,$J$2,0,$J$3))</f>
        <v>3.4238800197530691E-4</v>
      </c>
      <c r="S451" s="11">
        <f t="shared" ref="S451:S514" ca="1" si="262">G451-AVERAGE(OFFSET(G$67,$J$2,0,$J$3))</f>
        <v>2.5103277178426682E-5</v>
      </c>
      <c r="T451" s="11">
        <f t="shared" ref="T451:T514" ca="1" si="263">H451-AVERAGE(OFFSET(H$67,$J$2,0,$J$3))</f>
        <v>0.20663412741980972</v>
      </c>
      <c r="U451" s="11">
        <f t="shared" ref="U451:U514" ca="1" si="264">I451-AVERAGE(OFFSET(I$67,$J$2,0,$J$3))</f>
        <v>4.0943063148566499E-6</v>
      </c>
      <c r="V451" s="11">
        <f t="shared" ref="V451:V514" ca="1" si="265">J451-AVERAGE(OFFSET(J$67,$J$2,0,$J$3))</f>
        <v>0.14952092477221124</v>
      </c>
      <c r="W451" s="11">
        <f t="shared" ref="W451:W514" ca="1" si="266">K451-AVERAGE(OFFSET(K$67,$J$2,0,$J$3))</f>
        <v>1.795798488918545</v>
      </c>
      <c r="X451" s="11"/>
      <c r="Y451" s="2">
        <f t="shared" ref="Y451:Y514" ca="1" si="267">O451</f>
        <v>-6.122913838077512E-5</v>
      </c>
      <c r="Z451" s="11">
        <f t="shared" ref="Z451:Z514" ca="1" si="268">P451</f>
        <v>4.0943063148566499E-6</v>
      </c>
      <c r="AA451" s="2">
        <f t="shared" ref="AA451:AA514" ca="1" si="269">IF($U451&gt;0,Q451-($B$14/$B$18*$U451), Q451)</f>
        <v>1.0545671077646406E-2</v>
      </c>
      <c r="AB451" s="2">
        <f t="shared" ref="AB451:AB514" ca="1" si="270">IF($U451&gt;0,R451-($B$15/$B$18*$U451), R451)</f>
        <v>3.4162980651912468E-4</v>
      </c>
      <c r="AC451" s="2">
        <f t="shared" ref="AC451:AC514" ca="1" si="271">S451</f>
        <v>2.5103277178426682E-5</v>
      </c>
      <c r="AD451" s="2">
        <f t="shared" ref="AD451:AD514" ca="1" si="272">IF($U451&gt;0,T451-($B$17/$B$18*$U451), T451)</f>
        <v>0.20662861359463777</v>
      </c>
      <c r="AE451" s="2">
        <f t="shared" ref="AE451:AE514" ca="1" si="273">U451</f>
        <v>4.0943063148566499E-6</v>
      </c>
      <c r="AF451" s="2">
        <f t="shared" ref="AF451:AF514" ca="1" si="274">IF($U451&gt;0,V451-($B$19/$B$18*$U451), V451)</f>
        <v>0.1495127821801642</v>
      </c>
      <c r="AG451" s="2">
        <f t="shared" ref="AG451:AG514" ca="1" si="275">IF($U451&gt;0,W451-($B$20/$B$18*$U451), W451)</f>
        <v>1.795795184844114</v>
      </c>
      <c r="AI451" s="2">
        <f t="shared" ref="AI451:AI514" ca="1" si="276">Y451</f>
        <v>-6.122913838077512E-5</v>
      </c>
      <c r="AJ451" s="11">
        <f t="shared" ref="AJ451:AJ514" ca="1" si="277">Z451</f>
        <v>4.0943063148566499E-6</v>
      </c>
      <c r="AK451" s="2">
        <f t="shared" ref="AK451:AK514" ca="1" si="278">IF($AJ451&gt;0,AA451-($B$25/$B$24*$AJ451),AA451)</f>
        <v>1.0540840553750021E-2</v>
      </c>
      <c r="AL451" s="2">
        <f t="shared" ref="AL451:AL514" ca="1" si="279">IF($AJ451&gt;0,AB451-($B$26/$B$25*$AJ451),AB451)</f>
        <v>3.3936891956295708E-4</v>
      </c>
      <c r="AM451" s="2">
        <f t="shared" ref="AM451:AM514" ca="1" si="280">AC451</f>
        <v>2.5103277178426682E-5</v>
      </c>
      <c r="AN451" s="2">
        <f t="shared" ref="AN451:AN514" ca="1" si="281">AD451</f>
        <v>0.20662861359463777</v>
      </c>
      <c r="AO451" s="2">
        <f t="shared" ref="AO451:AO514" ca="1" si="282">AE451</f>
        <v>4.0943063148566499E-6</v>
      </c>
      <c r="AP451" s="2">
        <f t="shared" ref="AP451:AP514" ca="1" si="283">AF451</f>
        <v>0.1495127821801642</v>
      </c>
      <c r="AQ451" s="2">
        <f t="shared" ref="AQ451:AQ514" ca="1" si="284">AG451</f>
        <v>1.795795184844114</v>
      </c>
      <c r="AS451" s="2">
        <f t="shared" ref="AS451:AS514" ca="1" si="285">IF(AND(T451&gt;0,W451&gt;0),W451/T451, #N/A)</f>
        <v>8.6907158625840051</v>
      </c>
      <c r="AT451" s="2">
        <f t="shared" ref="AT451:AT514" ca="1" si="286">$B$8*((AS451/$B$10)^$B$11)</f>
        <v>0.40037372363788237</v>
      </c>
      <c r="AU451" s="2">
        <f t="shared" ref="AU451:AU514" ca="1" si="287">AT451*R451</f>
        <v>1.3708315927978825E-4</v>
      </c>
      <c r="AV451" s="2">
        <f t="shared" ref="AV451:AV514" ca="1" si="288">V451-AU451</f>
        <v>0.14938384161293145</v>
      </c>
      <c r="AW451" s="2">
        <f t="shared" ref="AW451:AW514" ca="1" si="289">(AV451/T451)/((AS451/$B$10)^$B$12)</f>
        <v>0.70960050575121869</v>
      </c>
      <c r="AX451" s="2">
        <f t="shared" ref="AX451:AX514" ca="1" si="290">(Q451/T451)/((AS451/$B$10)^$B$13)</f>
        <v>5.3003769743365577E-2</v>
      </c>
      <c r="AY451" s="9" t="str">
        <f t="shared" ref="AY451:AY514" ca="1" si="291">IF(AND(AW451&lt;$M$3,AW451&gt;$M$4),AW451,"rejected")</f>
        <v>rejected</v>
      </c>
      <c r="AZ451" s="9" t="e">
        <f t="shared" ref="AZ451:AZ514" ca="1" si="292">IF(AND(AW451&lt;$M$3,AW451&gt;$M$4),AW451,#N/A)</f>
        <v>#N/A</v>
      </c>
      <c r="BB451" s="2">
        <f t="shared" ref="BB451:BB514" ca="1" si="293">IF(AND(AQ451&gt;0, AN451&gt;0),AQ451/AN451, #N/A)</f>
        <v>8.6909317814380227</v>
      </c>
      <c r="BC451" s="2">
        <f t="shared" ref="BC451:BC514" ca="1" si="294">$B$8*((BB451/$B$10)^$B$11)</f>
        <v>0.40038379148066472</v>
      </c>
      <c r="BD451" s="2">
        <f t="shared" ref="BD451:BD514" ca="1" si="295">BC451*AL451</f>
        <v>1.3587781472531349E-4</v>
      </c>
      <c r="BE451" s="2">
        <f t="shared" ref="BE451:BE514" ca="1" si="296">AP451-BD451</f>
        <v>0.14937690436543888</v>
      </c>
      <c r="BF451" s="2">
        <f t="shared" ref="BF451:BF514" ca="1" si="297">(BE451/AN451)/((BB451/$B$10)^$B$12)</f>
        <v>0.70957760922657886</v>
      </c>
      <c r="BG451" s="2">
        <f t="shared" ref="BG451:BG514" ca="1" si="298">(AK451/AN451)/((BB451/$B$10)^$B$13)</f>
        <v>5.2982094237968881E-2</v>
      </c>
      <c r="BH451" s="2" t="str">
        <f t="shared" ref="BH451:BH514" ca="1" si="299">IF(AND(BF451&lt;$P$3,BF451&gt;$P$4),BF451,"rejected")</f>
        <v>rejected</v>
      </c>
      <c r="BI451" s="2" t="e">
        <f t="shared" ref="BI451:BI514" ca="1" si="300">IF(AND(BF451&lt;$P$3,BF451&gt;$P$4),BF451,#N/A)</f>
        <v>#N/A</v>
      </c>
    </row>
    <row r="452" spans="1:61" ht="15" x14ac:dyDescent="0.25">
      <c r="A452" s="66">
        <v>386</v>
      </c>
      <c r="B452" s="66">
        <v>1498730322.848</v>
      </c>
      <c r="C452" s="67">
        <v>3.8267418452135801E-5</v>
      </c>
      <c r="D452" s="67">
        <v>3.4510207213998503E-5</v>
      </c>
      <c r="E452" s="67">
        <v>1.23968199489769E-2</v>
      </c>
      <c r="F452" s="67">
        <v>4.24252733062043E-4</v>
      </c>
      <c r="G452" s="67">
        <v>8.1796592282406904E-5</v>
      </c>
      <c r="H452" s="67">
        <v>0.22842498193148</v>
      </c>
      <c r="I452" s="67">
        <v>3.4510207213998503E-5</v>
      </c>
      <c r="J452" s="67">
        <v>0.164949743236673</v>
      </c>
      <c r="K452" s="67">
        <v>1.98118076143708</v>
      </c>
      <c r="L452" s="67"/>
      <c r="M452" s="67"/>
      <c r="O452" s="11">
        <f t="shared" ca="1" si="258"/>
        <v>2.5463487742175773E-5</v>
      </c>
      <c r="P452" s="11">
        <f t="shared" ca="1" si="259"/>
        <v>3.3745106983693764E-5</v>
      </c>
      <c r="Q452" s="11">
        <f t="shared" ca="1" si="260"/>
        <v>1.1560328336708616E-2</v>
      </c>
      <c r="R452" s="11">
        <f t="shared" ca="1" si="261"/>
        <v>4.1260624541569589E-4</v>
      </c>
      <c r="S452" s="11">
        <f t="shared" ca="1" si="262"/>
        <v>7.0868940235436776E-5</v>
      </c>
      <c r="T452" s="11">
        <f t="shared" ca="1" si="263"/>
        <v>0.22728642689289771</v>
      </c>
      <c r="U452" s="11">
        <f t="shared" ca="1" si="264"/>
        <v>3.3745106983693764E-5</v>
      </c>
      <c r="V452" s="11">
        <f t="shared" ca="1" si="265"/>
        <v>0.16429954723097923</v>
      </c>
      <c r="W452" s="11">
        <f t="shared" ca="1" si="266"/>
        <v>1.9740579131735749</v>
      </c>
      <c r="X452" s="11"/>
      <c r="Y452" s="2">
        <f t="shared" ca="1" si="267"/>
        <v>2.5463487742175773E-5</v>
      </c>
      <c r="Z452" s="11">
        <f t="shared" ca="1" si="268"/>
        <v>3.3745106983693764E-5</v>
      </c>
      <c r="AA452" s="2">
        <f t="shared" ca="1" si="269"/>
        <v>1.1560070161388466E-2</v>
      </c>
      <c r="AB452" s="2">
        <f t="shared" ca="1" si="270"/>
        <v>4.0635722914385991E-4</v>
      </c>
      <c r="AC452" s="2">
        <f t="shared" ca="1" si="271"/>
        <v>7.0868940235436776E-5</v>
      </c>
      <c r="AD452" s="2">
        <f t="shared" ca="1" si="272"/>
        <v>0.22724098216893024</v>
      </c>
      <c r="AE452" s="2">
        <f t="shared" ca="1" si="273"/>
        <v>3.3745106983693764E-5</v>
      </c>
      <c r="AF452" s="2">
        <f t="shared" ca="1" si="274"/>
        <v>0.16423243631679227</v>
      </c>
      <c r="AG452" s="2">
        <f t="shared" ca="1" si="275"/>
        <v>1.9740306811258042</v>
      </c>
      <c r="AI452" s="2">
        <f t="shared" ca="1" si="276"/>
        <v>2.5463487742175773E-5</v>
      </c>
      <c r="AJ452" s="11">
        <f t="shared" ca="1" si="277"/>
        <v>3.3745106983693764E-5</v>
      </c>
      <c r="AK452" s="2">
        <f t="shared" ca="1" si="278"/>
        <v>1.152025717888657E-2</v>
      </c>
      <c r="AL452" s="2">
        <f t="shared" ca="1" si="279"/>
        <v>3.8772309033087665E-4</v>
      </c>
      <c r="AM452" s="2">
        <f t="shared" ca="1" si="280"/>
        <v>7.0868940235436776E-5</v>
      </c>
      <c r="AN452" s="2">
        <f t="shared" ca="1" si="281"/>
        <v>0.22724098216893024</v>
      </c>
      <c r="AO452" s="2">
        <f t="shared" ca="1" si="282"/>
        <v>3.3745106983693764E-5</v>
      </c>
      <c r="AP452" s="2">
        <f t="shared" ca="1" si="283"/>
        <v>0.16423243631679227</v>
      </c>
      <c r="AQ452" s="2">
        <f t="shared" ca="1" si="284"/>
        <v>1.9740306811258042</v>
      </c>
      <c r="AS452" s="2">
        <f t="shared" ca="1" si="285"/>
        <v>8.6853312807094891</v>
      </c>
      <c r="AT452" s="2">
        <f t="shared" ca="1" si="286"/>
        <v>0.40012265287285964</v>
      </c>
      <c r="AU452" s="2">
        <f t="shared" ca="1" si="287"/>
        <v>1.6509310550763843E-4</v>
      </c>
      <c r="AV452" s="2">
        <f t="shared" ca="1" si="288"/>
        <v>0.16413445412547159</v>
      </c>
      <c r="AW452" s="2">
        <f t="shared" ca="1" si="289"/>
        <v>0.7090455664042622</v>
      </c>
      <c r="AX452" s="2">
        <f t="shared" ca="1" si="290"/>
        <v>5.279035038060638E-2</v>
      </c>
      <c r="AY452" s="9">
        <f t="shared" ca="1" si="291"/>
        <v>0.7090455664042622</v>
      </c>
      <c r="AZ452" s="9">
        <f t="shared" ca="1" si="292"/>
        <v>0.7090455664042622</v>
      </c>
      <c r="BB452" s="2">
        <f t="shared" ca="1" si="293"/>
        <v>8.6869483764962609</v>
      </c>
      <c r="BC452" s="2">
        <f t="shared" ca="1" si="294"/>
        <v>0.40019805416083643</v>
      </c>
      <c r="BD452" s="2">
        <f t="shared" ca="1" si="295"/>
        <v>1.5516602630364306E-4</v>
      </c>
      <c r="BE452" s="2">
        <f t="shared" ca="1" si="296"/>
        <v>0.16407727029048863</v>
      </c>
      <c r="BF452" s="2">
        <f t="shared" ca="1" si="297"/>
        <v>0.70887382370692298</v>
      </c>
      <c r="BG452" s="2">
        <f t="shared" ca="1" si="298"/>
        <v>5.2627910290126673E-2</v>
      </c>
      <c r="BH452" s="2">
        <f t="shared" ca="1" si="299"/>
        <v>0.70887382370692298</v>
      </c>
      <c r="BI452" s="2">
        <f t="shared" ca="1" si="300"/>
        <v>0.70887382370692298</v>
      </c>
    </row>
    <row r="453" spans="1:61" ht="15" x14ac:dyDescent="0.25">
      <c r="A453" s="66">
        <v>387</v>
      </c>
      <c r="B453" s="66">
        <v>1498730323.375</v>
      </c>
      <c r="C453" s="67">
        <v>-3.5197394780369103E-5</v>
      </c>
      <c r="D453" s="67">
        <v>2.9831643364374501E-5</v>
      </c>
      <c r="E453" s="67">
        <v>1.2144693242922701E-2</v>
      </c>
      <c r="F453" s="67">
        <v>5.1209199388811005E-4</v>
      </c>
      <c r="G453" s="67">
        <v>2.5481685309012801E-5</v>
      </c>
      <c r="H453" s="67">
        <v>0.222012162282817</v>
      </c>
      <c r="I453" s="67">
        <v>2.9831643364374501E-5</v>
      </c>
      <c r="J453" s="67">
        <v>0.160408721935791</v>
      </c>
      <c r="K453" s="67">
        <v>1.9275782525646801</v>
      </c>
      <c r="L453" s="67"/>
      <c r="M453" s="67"/>
      <c r="O453" s="11">
        <f t="shared" ca="1" si="258"/>
        <v>-4.8001325490329131E-5</v>
      </c>
      <c r="P453" s="11">
        <f t="shared" ca="1" si="259"/>
        <v>2.9066543134069759E-5</v>
      </c>
      <c r="Q453" s="11">
        <f t="shared" ca="1" si="260"/>
        <v>1.1308201630654416E-2</v>
      </c>
      <c r="R453" s="11">
        <f t="shared" ca="1" si="261"/>
        <v>5.0044550624176289E-4</v>
      </c>
      <c r="S453" s="11">
        <f t="shared" ca="1" si="262"/>
        <v>1.4554033262042678E-5</v>
      </c>
      <c r="T453" s="11">
        <f t="shared" ca="1" si="263"/>
        <v>0.22087360724423472</v>
      </c>
      <c r="U453" s="11">
        <f t="shared" ca="1" si="264"/>
        <v>2.9066543134069759E-5</v>
      </c>
      <c r="V453" s="11">
        <f t="shared" ca="1" si="265"/>
        <v>0.15975852593009723</v>
      </c>
      <c r="W453" s="11">
        <f t="shared" ca="1" si="266"/>
        <v>1.920455404301175</v>
      </c>
      <c r="X453" s="11"/>
      <c r="Y453" s="2">
        <f t="shared" ca="1" si="267"/>
        <v>-4.8001325490329131E-5</v>
      </c>
      <c r="Z453" s="11">
        <f t="shared" ca="1" si="268"/>
        <v>2.9066543134069759E-5</v>
      </c>
      <c r="AA453" s="2">
        <f t="shared" ca="1" si="269"/>
        <v>1.1307979249848721E-2</v>
      </c>
      <c r="AB453" s="2">
        <f t="shared" ca="1" si="270"/>
        <v>4.9506287992208354E-4</v>
      </c>
      <c r="AC453" s="2">
        <f t="shared" ca="1" si="271"/>
        <v>1.4554033262042678E-5</v>
      </c>
      <c r="AD453" s="2">
        <f t="shared" ca="1" si="272"/>
        <v>0.22083446316832306</v>
      </c>
      <c r="AE453" s="2">
        <f t="shared" ca="1" si="273"/>
        <v>2.9066543134069759E-5</v>
      </c>
      <c r="AF453" s="2">
        <f t="shared" ca="1" si="274"/>
        <v>0.15970071955588941</v>
      </c>
      <c r="AG453" s="2">
        <f t="shared" ca="1" si="275"/>
        <v>1.9204319478192755</v>
      </c>
      <c r="AI453" s="2">
        <f t="shared" ca="1" si="276"/>
        <v>-4.8001325490329131E-5</v>
      </c>
      <c r="AJ453" s="11">
        <f t="shared" ca="1" si="277"/>
        <v>2.9066543134069759E-5</v>
      </c>
      <c r="AK453" s="2">
        <f t="shared" ca="1" si="278"/>
        <v>1.1273686107031111E-2</v>
      </c>
      <c r="AL453" s="2">
        <f t="shared" ca="1" si="279"/>
        <v>4.7901225664696558E-4</v>
      </c>
      <c r="AM453" s="2">
        <f t="shared" ca="1" si="280"/>
        <v>1.4554033262042678E-5</v>
      </c>
      <c r="AN453" s="2">
        <f t="shared" ca="1" si="281"/>
        <v>0.22083446316832306</v>
      </c>
      <c r="AO453" s="2">
        <f t="shared" ca="1" si="282"/>
        <v>2.9066543134069759E-5</v>
      </c>
      <c r="AP453" s="2">
        <f t="shared" ca="1" si="283"/>
        <v>0.15970071955588941</v>
      </c>
      <c r="AQ453" s="2">
        <f t="shared" ca="1" si="284"/>
        <v>1.9204319478192755</v>
      </c>
      <c r="AS453" s="2">
        <f t="shared" ca="1" si="285"/>
        <v>8.6948161360791243</v>
      </c>
      <c r="AT453" s="2">
        <f t="shared" ca="1" si="286"/>
        <v>0.40056491129944821</v>
      </c>
      <c r="AU453" s="2">
        <f t="shared" ca="1" si="287"/>
        <v>2.0046090981793921E-4</v>
      </c>
      <c r="AV453" s="2">
        <f t="shared" ca="1" si="288"/>
        <v>0.1595580650202793</v>
      </c>
      <c r="AW453" s="2">
        <f t="shared" ca="1" si="289"/>
        <v>0.70889859942523448</v>
      </c>
      <c r="AX453" s="2">
        <f t="shared" ca="1" si="290"/>
        <v>5.3197672534664793E-2</v>
      </c>
      <c r="AY453" s="9">
        <f t="shared" ca="1" si="291"/>
        <v>0.70889859942523448</v>
      </c>
      <c r="AZ453" s="9">
        <f t="shared" ca="1" si="292"/>
        <v>0.70889859942523448</v>
      </c>
      <c r="BB453" s="2">
        <f t="shared" ca="1" si="293"/>
        <v>8.6962511207116062</v>
      </c>
      <c r="BC453" s="2">
        <f t="shared" ca="1" si="294"/>
        <v>0.40063182205939851</v>
      </c>
      <c r="BD453" s="2">
        <f t="shared" ca="1" si="295"/>
        <v>1.9190755316925804E-4</v>
      </c>
      <c r="BE453" s="2">
        <f t="shared" ca="1" si="296"/>
        <v>0.15950881200272016</v>
      </c>
      <c r="BF453" s="2">
        <f t="shared" ca="1" si="297"/>
        <v>0.70874648768524384</v>
      </c>
      <c r="BG453" s="2">
        <f t="shared" ca="1" si="298"/>
        <v>5.3053658431037577E-2</v>
      </c>
      <c r="BH453" s="2">
        <f t="shared" ca="1" si="299"/>
        <v>0.70874648768524384</v>
      </c>
      <c r="BI453" s="2">
        <f t="shared" ca="1" si="300"/>
        <v>0.70874648768524384</v>
      </c>
    </row>
    <row r="454" spans="1:61" ht="15" x14ac:dyDescent="0.25">
      <c r="A454" s="66">
        <v>388</v>
      </c>
      <c r="B454" s="66">
        <v>1498730323.902</v>
      </c>
      <c r="C454" s="67">
        <v>-1.19521680535776E-4</v>
      </c>
      <c r="D454" s="67">
        <v>-4.2657889064867898E-5</v>
      </c>
      <c r="E454" s="67">
        <v>1.23245709136879E-2</v>
      </c>
      <c r="F454" s="67">
        <v>4.3115580992800798E-4</v>
      </c>
      <c r="G454" s="67">
        <v>-1.5216022156373899E-4</v>
      </c>
      <c r="H454" s="67">
        <v>0.225847262454027</v>
      </c>
      <c r="I454" s="67">
        <v>-4.2657889064867898E-5</v>
      </c>
      <c r="J454" s="67">
        <v>0.16318762343878401</v>
      </c>
      <c r="K454" s="67">
        <v>1.96159337091911</v>
      </c>
      <c r="L454" s="67"/>
      <c r="M454" s="67"/>
      <c r="O454" s="11">
        <f t="shared" ca="1" si="258"/>
        <v>-1.3232561124573602E-4</v>
      </c>
      <c r="P454" s="11">
        <f t="shared" ca="1" si="259"/>
        <v>-4.3422989295172636E-5</v>
      </c>
      <c r="Q454" s="11">
        <f t="shared" ca="1" si="260"/>
        <v>1.1488079301419615E-2</v>
      </c>
      <c r="R454" s="11">
        <f t="shared" ca="1" si="261"/>
        <v>4.1950932228166087E-4</v>
      </c>
      <c r="S454" s="11">
        <f t="shared" ca="1" si="262"/>
        <v>-1.630878736107091E-4</v>
      </c>
      <c r="T454" s="11">
        <f t="shared" ca="1" si="263"/>
        <v>0.22470870741544471</v>
      </c>
      <c r="U454" s="11">
        <f t="shared" ca="1" si="264"/>
        <v>-4.3422989295172636E-5</v>
      </c>
      <c r="V454" s="11">
        <f t="shared" ca="1" si="265"/>
        <v>0.16253742743309024</v>
      </c>
      <c r="W454" s="11">
        <f t="shared" ca="1" si="266"/>
        <v>1.9544705226556049</v>
      </c>
      <c r="X454" s="11"/>
      <c r="Y454" s="2">
        <f t="shared" ca="1" si="267"/>
        <v>-1.3232561124573602E-4</v>
      </c>
      <c r="Z454" s="11">
        <f t="shared" ca="1" si="268"/>
        <v>-4.3422989295172636E-5</v>
      </c>
      <c r="AA454" s="2">
        <f t="shared" ca="1" si="269"/>
        <v>1.1488079301419615E-2</v>
      </c>
      <c r="AB454" s="2">
        <f t="shared" ca="1" si="270"/>
        <v>4.1950932228166087E-4</v>
      </c>
      <c r="AC454" s="2">
        <f t="shared" ca="1" si="271"/>
        <v>-1.630878736107091E-4</v>
      </c>
      <c r="AD454" s="2">
        <f t="shared" ca="1" si="272"/>
        <v>0.22470870741544471</v>
      </c>
      <c r="AE454" s="2">
        <f t="shared" ca="1" si="273"/>
        <v>-4.3422989295172636E-5</v>
      </c>
      <c r="AF454" s="2">
        <f t="shared" ca="1" si="274"/>
        <v>0.16253742743309024</v>
      </c>
      <c r="AG454" s="2">
        <f t="shared" ca="1" si="275"/>
        <v>1.9544705226556049</v>
      </c>
      <c r="AI454" s="2">
        <f t="shared" ca="1" si="276"/>
        <v>-1.3232561124573602E-4</v>
      </c>
      <c r="AJ454" s="11">
        <f t="shared" ca="1" si="277"/>
        <v>-4.3422989295172636E-5</v>
      </c>
      <c r="AK454" s="2">
        <f t="shared" ca="1" si="278"/>
        <v>1.1488079301419615E-2</v>
      </c>
      <c r="AL454" s="2">
        <f t="shared" ca="1" si="279"/>
        <v>4.1950932228166087E-4</v>
      </c>
      <c r="AM454" s="2">
        <f t="shared" ca="1" si="280"/>
        <v>-1.630878736107091E-4</v>
      </c>
      <c r="AN454" s="2">
        <f t="shared" ca="1" si="281"/>
        <v>0.22470870741544471</v>
      </c>
      <c r="AO454" s="2">
        <f t="shared" ca="1" si="282"/>
        <v>-4.3422989295172636E-5</v>
      </c>
      <c r="AP454" s="2">
        <f t="shared" ca="1" si="283"/>
        <v>0.16253742743309024</v>
      </c>
      <c r="AQ454" s="2">
        <f t="shared" ca="1" si="284"/>
        <v>1.9544705226556049</v>
      </c>
      <c r="AS454" s="2">
        <f t="shared" ca="1" si="285"/>
        <v>8.6977961162944677</v>
      </c>
      <c r="AT454" s="2">
        <f t="shared" ca="1" si="286"/>
        <v>0.40070386258238172</v>
      </c>
      <c r="AU454" s="2">
        <f t="shared" ca="1" si="287"/>
        <v>1.6809900582757871E-4</v>
      </c>
      <c r="AV454" s="2">
        <f t="shared" ca="1" si="288"/>
        <v>0.16236932842726268</v>
      </c>
      <c r="AW454" s="2">
        <f t="shared" ca="1" si="289"/>
        <v>0.7089544440439719</v>
      </c>
      <c r="AX454" s="2">
        <f t="shared" ca="1" si="290"/>
        <v>5.314014268113762E-2</v>
      </c>
      <c r="AY454" s="9">
        <f t="shared" ca="1" si="291"/>
        <v>0.7089544440439719</v>
      </c>
      <c r="AZ454" s="9">
        <f t="shared" ca="1" si="292"/>
        <v>0.7089544440439719</v>
      </c>
      <c r="BB454" s="2">
        <f t="shared" ca="1" si="293"/>
        <v>8.6977961162944677</v>
      </c>
      <c r="BC454" s="2">
        <f t="shared" ca="1" si="294"/>
        <v>0.40070386258238172</v>
      </c>
      <c r="BD454" s="2">
        <f t="shared" ca="1" si="295"/>
        <v>1.6809900582757871E-4</v>
      </c>
      <c r="BE454" s="2">
        <f t="shared" ca="1" si="296"/>
        <v>0.16236932842726268</v>
      </c>
      <c r="BF454" s="2">
        <f t="shared" ca="1" si="297"/>
        <v>0.7089544440439719</v>
      </c>
      <c r="BG454" s="2">
        <f t="shared" ca="1" si="298"/>
        <v>5.314014268113762E-2</v>
      </c>
      <c r="BH454" s="2">
        <f t="shared" ca="1" si="299"/>
        <v>0.7089544440439719</v>
      </c>
      <c r="BI454" s="2">
        <f t="shared" ca="1" si="300"/>
        <v>0.7089544440439719</v>
      </c>
    </row>
    <row r="455" spans="1:61" ht="15" x14ac:dyDescent="0.25">
      <c r="A455" s="66">
        <v>389</v>
      </c>
      <c r="B455" s="66">
        <v>1498730324.4289999</v>
      </c>
      <c r="C455" s="67">
        <v>2.8818263045869799E-5</v>
      </c>
      <c r="D455" s="67">
        <v>8.6154718474827893E-6</v>
      </c>
      <c r="E455" s="67">
        <v>1.21271165522736E-2</v>
      </c>
      <c r="F455" s="67">
        <v>3.2142633982399201E-4</v>
      </c>
      <c r="G455" s="67">
        <v>-1.6562933103565601E-4</v>
      </c>
      <c r="H455" s="67">
        <v>0.22141281713036901</v>
      </c>
      <c r="I455" s="67">
        <v>8.6154718474827893E-6</v>
      </c>
      <c r="J455" s="67">
        <v>0.16005734261895899</v>
      </c>
      <c r="K455" s="67">
        <v>1.9241390960750999</v>
      </c>
      <c r="L455" s="67"/>
      <c r="M455" s="67"/>
      <c r="O455" s="11">
        <f t="shared" ca="1" si="258"/>
        <v>1.6014332335909771E-5</v>
      </c>
      <c r="P455" s="11">
        <f t="shared" ca="1" si="259"/>
        <v>7.850371617178049E-6</v>
      </c>
      <c r="Q455" s="11">
        <f t="shared" ca="1" si="260"/>
        <v>1.1290624940005316E-2</v>
      </c>
      <c r="R455" s="11">
        <f t="shared" ca="1" si="261"/>
        <v>3.097798521776449E-4</v>
      </c>
      <c r="S455" s="11">
        <f t="shared" ca="1" si="262"/>
        <v>-1.7655698308262612E-4</v>
      </c>
      <c r="T455" s="11">
        <f t="shared" ca="1" si="263"/>
        <v>0.22027426209178672</v>
      </c>
      <c r="U455" s="11">
        <f t="shared" ca="1" si="264"/>
        <v>7.850371617178049E-6</v>
      </c>
      <c r="V455" s="11">
        <f t="shared" ca="1" si="265"/>
        <v>0.15940714661326522</v>
      </c>
      <c r="W455" s="11">
        <f t="shared" ca="1" si="266"/>
        <v>1.9170162478115949</v>
      </c>
      <c r="X455" s="11"/>
      <c r="Y455" s="2">
        <f t="shared" ca="1" si="267"/>
        <v>1.6014332335909771E-5</v>
      </c>
      <c r="Z455" s="11">
        <f t="shared" ca="1" si="268"/>
        <v>7.850371617178049E-6</v>
      </c>
      <c r="AA455" s="2">
        <f t="shared" ca="1" si="269"/>
        <v>1.129056487878795E-2</v>
      </c>
      <c r="AB455" s="2">
        <f t="shared" ca="1" si="270"/>
        <v>3.083260977118668E-4</v>
      </c>
      <c r="AC455" s="2">
        <f t="shared" ca="1" si="271"/>
        <v>-1.7655698308262612E-4</v>
      </c>
      <c r="AD455" s="2">
        <f t="shared" ca="1" si="272"/>
        <v>0.22026368995250273</v>
      </c>
      <c r="AE455" s="2">
        <f t="shared" ca="1" si="273"/>
        <v>7.850371617178049E-6</v>
      </c>
      <c r="AF455" s="2">
        <f t="shared" ca="1" si="274"/>
        <v>0.15939153410931936</v>
      </c>
      <c r="AG455" s="2">
        <f t="shared" ca="1" si="275"/>
        <v>1.9170099126206885</v>
      </c>
      <c r="AI455" s="2">
        <f t="shared" ca="1" si="276"/>
        <v>1.6014332335909771E-5</v>
      </c>
      <c r="AJ455" s="11">
        <f t="shared" ca="1" si="277"/>
        <v>7.850371617178049E-6</v>
      </c>
      <c r="AK455" s="2">
        <f t="shared" ca="1" si="278"/>
        <v>1.1281302892806423E-2</v>
      </c>
      <c r="AL455" s="2">
        <f t="shared" ca="1" si="279"/>
        <v>3.0399110139614353E-4</v>
      </c>
      <c r="AM455" s="2">
        <f t="shared" ca="1" si="280"/>
        <v>-1.7655698308262612E-4</v>
      </c>
      <c r="AN455" s="2">
        <f t="shared" ca="1" si="281"/>
        <v>0.22026368995250273</v>
      </c>
      <c r="AO455" s="2">
        <f t="shared" ca="1" si="282"/>
        <v>7.850371617178049E-6</v>
      </c>
      <c r="AP455" s="2">
        <f t="shared" ca="1" si="283"/>
        <v>0.15939153410931936</v>
      </c>
      <c r="AQ455" s="2">
        <f t="shared" ca="1" si="284"/>
        <v>1.9170099126206885</v>
      </c>
      <c r="AS455" s="2">
        <f t="shared" ca="1" si="285"/>
        <v>8.702860831796988</v>
      </c>
      <c r="AT455" s="2">
        <f t="shared" ca="1" si="286"/>
        <v>0.40094002276230151</v>
      </c>
      <c r="AU455" s="2">
        <f t="shared" ca="1" si="287"/>
        <v>1.2420314098340735E-4</v>
      </c>
      <c r="AV455" s="2">
        <f t="shared" ca="1" si="288"/>
        <v>0.15928294347228181</v>
      </c>
      <c r="AW455" s="2">
        <f t="shared" ca="1" si="289"/>
        <v>0.70927138309295379</v>
      </c>
      <c r="AX455" s="2">
        <f t="shared" ca="1" si="290"/>
        <v>5.3309930016083862E-2</v>
      </c>
      <c r="AY455" s="9">
        <f t="shared" ca="1" si="291"/>
        <v>0.70927138309295379</v>
      </c>
      <c r="AZ455" s="9">
        <f t="shared" ca="1" si="292"/>
        <v>0.70927138309295379</v>
      </c>
      <c r="BB455" s="2">
        <f t="shared" ca="1" si="293"/>
        <v>8.7032497868081169</v>
      </c>
      <c r="BC455" s="2">
        <f t="shared" ca="1" si="294"/>
        <v>0.40095815922712408</v>
      </c>
      <c r="BD455" s="2">
        <f t="shared" ca="1" si="295"/>
        <v>1.2188771243722374E-4</v>
      </c>
      <c r="BE455" s="2">
        <f t="shared" ca="1" si="296"/>
        <v>0.15926964639688213</v>
      </c>
      <c r="BF455" s="2">
        <f t="shared" ca="1" si="297"/>
        <v>0.70923025057680278</v>
      </c>
      <c r="BG455" s="2">
        <f t="shared" ca="1" si="298"/>
        <v>5.3270907651424886E-2</v>
      </c>
      <c r="BH455" s="2">
        <f t="shared" ca="1" si="299"/>
        <v>0.70923025057680278</v>
      </c>
      <c r="BI455" s="2">
        <f t="shared" ca="1" si="300"/>
        <v>0.70923025057680278</v>
      </c>
    </row>
    <row r="456" spans="1:61" ht="15" x14ac:dyDescent="0.25">
      <c r="A456" s="66">
        <v>390</v>
      </c>
      <c r="B456" s="66">
        <v>1498730324.9560001</v>
      </c>
      <c r="C456" s="67">
        <v>3.7086269104953297E-5</v>
      </c>
      <c r="D456" s="67">
        <v>-4.9316048930935401E-5</v>
      </c>
      <c r="E456" s="67">
        <v>1.17619276108851E-2</v>
      </c>
      <c r="F456" s="67">
        <v>4.59244683659141E-4</v>
      </c>
      <c r="G456" s="67">
        <v>-4.4331584775022303E-5</v>
      </c>
      <c r="H456" s="67">
        <v>0.21559654936435399</v>
      </c>
      <c r="I456" s="67">
        <v>-4.9316048930935401E-5</v>
      </c>
      <c r="J456" s="67">
        <v>0.15572870157555799</v>
      </c>
      <c r="K456" s="67">
        <v>1.87251113426972</v>
      </c>
      <c r="L456" s="67"/>
      <c r="M456" s="67"/>
      <c r="O456" s="11">
        <f t="shared" ca="1" si="258"/>
        <v>2.428233839499327E-5</v>
      </c>
      <c r="P456" s="11">
        <f t="shared" ca="1" si="259"/>
        <v>-5.008114916124014E-5</v>
      </c>
      <c r="Q456" s="11">
        <f t="shared" ca="1" si="260"/>
        <v>1.0925435998616815E-2</v>
      </c>
      <c r="R456" s="11">
        <f t="shared" ca="1" si="261"/>
        <v>4.4759819601279389E-4</v>
      </c>
      <c r="S456" s="11">
        <f t="shared" ca="1" si="262"/>
        <v>-5.5259236821992423E-5</v>
      </c>
      <c r="T456" s="11">
        <f t="shared" ca="1" si="263"/>
        <v>0.2144579943257717</v>
      </c>
      <c r="U456" s="11">
        <f t="shared" ca="1" si="264"/>
        <v>-5.008114916124014E-5</v>
      </c>
      <c r="V456" s="11">
        <f t="shared" ca="1" si="265"/>
        <v>0.15507850556986422</v>
      </c>
      <c r="W456" s="11">
        <f t="shared" ca="1" si="266"/>
        <v>1.865388286006215</v>
      </c>
      <c r="X456" s="11"/>
      <c r="Y456" s="2">
        <f t="shared" ca="1" si="267"/>
        <v>2.428233839499327E-5</v>
      </c>
      <c r="Z456" s="11">
        <f t="shared" ca="1" si="268"/>
        <v>-5.008114916124014E-5</v>
      </c>
      <c r="AA456" s="2">
        <f t="shared" ca="1" si="269"/>
        <v>1.0925435998616815E-2</v>
      </c>
      <c r="AB456" s="2">
        <f t="shared" ca="1" si="270"/>
        <v>4.4759819601279389E-4</v>
      </c>
      <c r="AC456" s="2">
        <f t="shared" ca="1" si="271"/>
        <v>-5.5259236821992423E-5</v>
      </c>
      <c r="AD456" s="2">
        <f t="shared" ca="1" si="272"/>
        <v>0.2144579943257717</v>
      </c>
      <c r="AE456" s="2">
        <f t="shared" ca="1" si="273"/>
        <v>-5.008114916124014E-5</v>
      </c>
      <c r="AF456" s="2">
        <f t="shared" ca="1" si="274"/>
        <v>0.15507850556986422</v>
      </c>
      <c r="AG456" s="2">
        <f t="shared" ca="1" si="275"/>
        <v>1.865388286006215</v>
      </c>
      <c r="AI456" s="2">
        <f t="shared" ca="1" si="276"/>
        <v>2.428233839499327E-5</v>
      </c>
      <c r="AJ456" s="11">
        <f t="shared" ca="1" si="277"/>
        <v>-5.008114916124014E-5</v>
      </c>
      <c r="AK456" s="2">
        <f t="shared" ca="1" si="278"/>
        <v>1.0925435998616815E-2</v>
      </c>
      <c r="AL456" s="2">
        <f t="shared" ca="1" si="279"/>
        <v>4.4759819601279389E-4</v>
      </c>
      <c r="AM456" s="2">
        <f t="shared" ca="1" si="280"/>
        <v>-5.5259236821992423E-5</v>
      </c>
      <c r="AN456" s="2">
        <f t="shared" ca="1" si="281"/>
        <v>0.2144579943257717</v>
      </c>
      <c r="AO456" s="2">
        <f t="shared" ca="1" si="282"/>
        <v>-5.008114916124014E-5</v>
      </c>
      <c r="AP456" s="2">
        <f t="shared" ca="1" si="283"/>
        <v>0.15507850556986422</v>
      </c>
      <c r="AQ456" s="2">
        <f t="shared" ca="1" si="284"/>
        <v>1.865388286006215</v>
      </c>
      <c r="AS456" s="2">
        <f t="shared" ca="1" si="285"/>
        <v>8.698152250610919</v>
      </c>
      <c r="AT456" s="2">
        <f t="shared" ca="1" si="286"/>
        <v>0.40072046854339782</v>
      </c>
      <c r="AU456" s="2">
        <f t="shared" ca="1" si="287"/>
        <v>1.7936175882542638E-4</v>
      </c>
      <c r="AV456" s="2">
        <f t="shared" ca="1" si="288"/>
        <v>0.15489914381103878</v>
      </c>
      <c r="AW456" s="2">
        <f t="shared" ca="1" si="289"/>
        <v>0.70865043607704936</v>
      </c>
      <c r="AX456" s="2">
        <f t="shared" ca="1" si="290"/>
        <v>5.295536009443573E-2</v>
      </c>
      <c r="AY456" s="9">
        <f t="shared" ca="1" si="291"/>
        <v>0.70865043607704936</v>
      </c>
      <c r="AZ456" s="9">
        <f t="shared" ca="1" si="292"/>
        <v>0.70865043607704936</v>
      </c>
      <c r="BB456" s="2">
        <f t="shared" ca="1" si="293"/>
        <v>8.698152250610919</v>
      </c>
      <c r="BC456" s="2">
        <f t="shared" ca="1" si="294"/>
        <v>0.40072046854339782</v>
      </c>
      <c r="BD456" s="2">
        <f t="shared" ca="1" si="295"/>
        <v>1.7936175882542638E-4</v>
      </c>
      <c r="BE456" s="2">
        <f t="shared" ca="1" si="296"/>
        <v>0.15489914381103878</v>
      </c>
      <c r="BF456" s="2">
        <f t="shared" ca="1" si="297"/>
        <v>0.70865043607704936</v>
      </c>
      <c r="BG456" s="2">
        <f t="shared" ca="1" si="298"/>
        <v>5.295536009443573E-2</v>
      </c>
      <c r="BH456" s="2">
        <f t="shared" ca="1" si="299"/>
        <v>0.70865043607704936</v>
      </c>
      <c r="BI456" s="2">
        <f t="shared" ca="1" si="300"/>
        <v>0.70865043607704936</v>
      </c>
    </row>
    <row r="457" spans="1:61" ht="15" x14ac:dyDescent="0.25">
      <c r="A457" s="66">
        <v>391</v>
      </c>
      <c r="B457" s="66">
        <v>1498730325.483</v>
      </c>
      <c r="C457" s="67">
        <v>9.6854190606117998E-5</v>
      </c>
      <c r="D457" s="67">
        <v>-3.1630804122060097E-5</v>
      </c>
      <c r="E457" s="67">
        <v>1.1753503582245899E-2</v>
      </c>
      <c r="F457" s="67">
        <v>4.3186992405078498E-4</v>
      </c>
      <c r="G457" s="67">
        <v>-7.1692657602795003E-5</v>
      </c>
      <c r="H457" s="67">
        <v>0.21576237204763099</v>
      </c>
      <c r="I457" s="67">
        <v>-3.1630804122060097E-5</v>
      </c>
      <c r="J457" s="67">
        <v>0.15576894368151201</v>
      </c>
      <c r="K457" s="67">
        <v>1.87378367716065</v>
      </c>
      <c r="L457" s="67"/>
      <c r="M457" s="67"/>
      <c r="O457" s="11">
        <f t="shared" ca="1" si="258"/>
        <v>8.4050259896157963E-5</v>
      </c>
      <c r="P457" s="11">
        <f t="shared" ca="1" si="259"/>
        <v>-3.2395904352364836E-5</v>
      </c>
      <c r="Q457" s="11">
        <f t="shared" ca="1" si="260"/>
        <v>1.0917011969977615E-2</v>
      </c>
      <c r="R457" s="11">
        <f t="shared" ca="1" si="261"/>
        <v>4.2022343640443787E-4</v>
      </c>
      <c r="S457" s="11">
        <f t="shared" ca="1" si="262"/>
        <v>-8.262030964976513E-5</v>
      </c>
      <c r="T457" s="11">
        <f t="shared" ca="1" si="263"/>
        <v>0.2146238170090487</v>
      </c>
      <c r="U457" s="11">
        <f t="shared" ca="1" si="264"/>
        <v>-3.2395904352364836E-5</v>
      </c>
      <c r="V457" s="11">
        <f t="shared" ca="1" si="265"/>
        <v>0.15511874767581824</v>
      </c>
      <c r="W457" s="11">
        <f t="shared" ca="1" si="266"/>
        <v>1.8666608288971449</v>
      </c>
      <c r="X457" s="11"/>
      <c r="Y457" s="2">
        <f t="shared" ca="1" si="267"/>
        <v>8.4050259896157963E-5</v>
      </c>
      <c r="Z457" s="11">
        <f t="shared" ca="1" si="268"/>
        <v>-3.2395904352364836E-5</v>
      </c>
      <c r="AA457" s="2">
        <f t="shared" ca="1" si="269"/>
        <v>1.0917011969977615E-2</v>
      </c>
      <c r="AB457" s="2">
        <f t="shared" ca="1" si="270"/>
        <v>4.2022343640443787E-4</v>
      </c>
      <c r="AC457" s="2">
        <f t="shared" ca="1" si="271"/>
        <v>-8.262030964976513E-5</v>
      </c>
      <c r="AD457" s="2">
        <f t="shared" ca="1" si="272"/>
        <v>0.2146238170090487</v>
      </c>
      <c r="AE457" s="2">
        <f t="shared" ca="1" si="273"/>
        <v>-3.2395904352364836E-5</v>
      </c>
      <c r="AF457" s="2">
        <f t="shared" ca="1" si="274"/>
        <v>0.15511874767581824</v>
      </c>
      <c r="AG457" s="2">
        <f t="shared" ca="1" si="275"/>
        <v>1.8666608288971449</v>
      </c>
      <c r="AI457" s="2">
        <f t="shared" ca="1" si="276"/>
        <v>8.4050259896157963E-5</v>
      </c>
      <c r="AJ457" s="11">
        <f t="shared" ca="1" si="277"/>
        <v>-3.2395904352364836E-5</v>
      </c>
      <c r="AK457" s="2">
        <f t="shared" ca="1" si="278"/>
        <v>1.0917011969977615E-2</v>
      </c>
      <c r="AL457" s="2">
        <f t="shared" ca="1" si="279"/>
        <v>4.2022343640443787E-4</v>
      </c>
      <c r="AM457" s="2">
        <f t="shared" ca="1" si="280"/>
        <v>-8.262030964976513E-5</v>
      </c>
      <c r="AN457" s="2">
        <f t="shared" ca="1" si="281"/>
        <v>0.2146238170090487</v>
      </c>
      <c r="AO457" s="2">
        <f t="shared" ca="1" si="282"/>
        <v>-3.2395904352364836E-5</v>
      </c>
      <c r="AP457" s="2">
        <f t="shared" ca="1" si="283"/>
        <v>0.15511874767581824</v>
      </c>
      <c r="AQ457" s="2">
        <f t="shared" ca="1" si="284"/>
        <v>1.8666608288971449</v>
      </c>
      <c r="AS457" s="2">
        <f t="shared" ca="1" si="285"/>
        <v>8.6973610613702075</v>
      </c>
      <c r="AT457" s="2">
        <f t="shared" ca="1" si="286"/>
        <v>0.40068357669362281</v>
      </c>
      <c r="AU457" s="2">
        <f t="shared" ca="1" si="287"/>
        <v>1.6837662950901531E-4</v>
      </c>
      <c r="AV457" s="2">
        <f t="shared" ca="1" si="288"/>
        <v>0.15495037104630921</v>
      </c>
      <c r="AW457" s="2">
        <f t="shared" ca="1" si="289"/>
        <v>0.7083695467860438</v>
      </c>
      <c r="AX457" s="2">
        <f t="shared" ca="1" si="290"/>
        <v>5.2868724937638494E-2</v>
      </c>
      <c r="AY457" s="9">
        <f t="shared" ca="1" si="291"/>
        <v>0.7083695467860438</v>
      </c>
      <c r="AZ457" s="9">
        <f t="shared" ca="1" si="292"/>
        <v>0.7083695467860438</v>
      </c>
      <c r="BB457" s="2">
        <f t="shared" ca="1" si="293"/>
        <v>8.6973610613702075</v>
      </c>
      <c r="BC457" s="2">
        <f t="shared" ca="1" si="294"/>
        <v>0.40068357669362281</v>
      </c>
      <c r="BD457" s="2">
        <f t="shared" ca="1" si="295"/>
        <v>1.6837662950901531E-4</v>
      </c>
      <c r="BE457" s="2">
        <f t="shared" ca="1" si="296"/>
        <v>0.15495037104630921</v>
      </c>
      <c r="BF457" s="2">
        <f t="shared" ca="1" si="297"/>
        <v>0.7083695467860438</v>
      </c>
      <c r="BG457" s="2">
        <f t="shared" ca="1" si="298"/>
        <v>5.2868724937638494E-2</v>
      </c>
      <c r="BH457" s="2">
        <f t="shared" ca="1" si="299"/>
        <v>0.7083695467860438</v>
      </c>
      <c r="BI457" s="2">
        <f t="shared" ca="1" si="300"/>
        <v>0.7083695467860438</v>
      </c>
    </row>
    <row r="458" spans="1:61" ht="15" x14ac:dyDescent="0.25">
      <c r="A458" s="66">
        <v>392</v>
      </c>
      <c r="B458" s="66">
        <v>1498730326.0090001</v>
      </c>
      <c r="C458" s="67">
        <v>1.2709387817698401E-4</v>
      </c>
      <c r="D458" s="67">
        <v>4.8712654096960898E-5</v>
      </c>
      <c r="E458" s="67">
        <v>1.19788103431103E-2</v>
      </c>
      <c r="F458" s="67">
        <v>4.2044415935090803E-4</v>
      </c>
      <c r="G458" s="67">
        <v>1.29869801625823E-4</v>
      </c>
      <c r="H458" s="67">
        <v>0.218053210172439</v>
      </c>
      <c r="I458" s="67">
        <v>4.8712654096960898E-5</v>
      </c>
      <c r="J458" s="67">
        <v>0.15742086121065299</v>
      </c>
      <c r="K458" s="67">
        <v>1.8927351374966299</v>
      </c>
      <c r="L458" s="67"/>
      <c r="M458" s="67"/>
      <c r="O458" s="11">
        <f t="shared" ca="1" si="258"/>
        <v>1.1428994746702398E-4</v>
      </c>
      <c r="P458" s="11">
        <f t="shared" ca="1" si="259"/>
        <v>4.7947553866656159E-5</v>
      </c>
      <c r="Q458" s="11">
        <f t="shared" ca="1" si="260"/>
        <v>1.1142318730842015E-2</v>
      </c>
      <c r="R458" s="11">
        <f t="shared" ca="1" si="261"/>
        <v>4.0879767170456092E-4</v>
      </c>
      <c r="S458" s="11">
        <f t="shared" ca="1" si="262"/>
        <v>1.1894214957885287E-4</v>
      </c>
      <c r="T458" s="11">
        <f t="shared" ca="1" si="263"/>
        <v>0.21691465513385672</v>
      </c>
      <c r="U458" s="11">
        <f t="shared" ca="1" si="264"/>
        <v>4.7947553866656159E-5</v>
      </c>
      <c r="V458" s="11">
        <f t="shared" ca="1" si="265"/>
        <v>0.15677066520495922</v>
      </c>
      <c r="W458" s="11">
        <f t="shared" ca="1" si="266"/>
        <v>1.8856122892331248</v>
      </c>
      <c r="X458" s="11"/>
      <c r="Y458" s="2">
        <f t="shared" ca="1" si="267"/>
        <v>1.1428994746702398E-4</v>
      </c>
      <c r="Z458" s="11">
        <f t="shared" ca="1" si="268"/>
        <v>4.7947553866656159E-5</v>
      </c>
      <c r="AA458" s="2">
        <f t="shared" ca="1" si="269"/>
        <v>1.1141951896175409E-2</v>
      </c>
      <c r="AB458" s="2">
        <f t="shared" ca="1" si="270"/>
        <v>3.9991860534236947E-4</v>
      </c>
      <c r="AC458" s="2">
        <f t="shared" ca="1" si="271"/>
        <v>1.1894214957885287E-4</v>
      </c>
      <c r="AD458" s="2">
        <f t="shared" ca="1" si="272"/>
        <v>0.21685008389538238</v>
      </c>
      <c r="AE458" s="2">
        <f t="shared" ca="1" si="273"/>
        <v>4.7947553866656159E-5</v>
      </c>
      <c r="AF458" s="2">
        <f t="shared" ca="1" si="274"/>
        <v>0.1566753090345202</v>
      </c>
      <c r="AG458" s="2">
        <f t="shared" ca="1" si="275"/>
        <v>1.8855735959174384</v>
      </c>
      <c r="AI458" s="2">
        <f t="shared" ca="1" si="276"/>
        <v>1.1428994746702398E-4</v>
      </c>
      <c r="AJ458" s="11">
        <f t="shared" ca="1" si="277"/>
        <v>4.7947553866656159E-5</v>
      </c>
      <c r="AK458" s="2">
        <f t="shared" ca="1" si="278"/>
        <v>1.1085382654180581E-2</v>
      </c>
      <c r="AL458" s="2">
        <f t="shared" ca="1" si="279"/>
        <v>3.7344183717192035E-4</v>
      </c>
      <c r="AM458" s="2">
        <f t="shared" ca="1" si="280"/>
        <v>1.1894214957885287E-4</v>
      </c>
      <c r="AN458" s="2">
        <f t="shared" ca="1" si="281"/>
        <v>0.21685008389538238</v>
      </c>
      <c r="AO458" s="2">
        <f t="shared" ca="1" si="282"/>
        <v>4.7947553866656159E-5</v>
      </c>
      <c r="AP458" s="2">
        <f t="shared" ca="1" si="283"/>
        <v>0.1566753090345202</v>
      </c>
      <c r="AQ458" s="2">
        <f t="shared" ca="1" si="284"/>
        <v>1.8855735959174384</v>
      </c>
      <c r="AS458" s="2">
        <f t="shared" ca="1" si="285"/>
        <v>8.6928764129354246</v>
      </c>
      <c r="AT458" s="2">
        <f t="shared" ca="1" si="286"/>
        <v>0.4004744657007962</v>
      </c>
      <c r="AU458" s="2">
        <f t="shared" ca="1" si="287"/>
        <v>1.6371302915561353E-4</v>
      </c>
      <c r="AV458" s="2">
        <f t="shared" ca="1" si="288"/>
        <v>0.15660695217580362</v>
      </c>
      <c r="AW458" s="2">
        <f t="shared" ca="1" si="289"/>
        <v>0.70856569316648843</v>
      </c>
      <c r="AX458" s="2">
        <f t="shared" ca="1" si="290"/>
        <v>5.3361796795667459E-2</v>
      </c>
      <c r="AY458" s="9">
        <f t="shared" ca="1" si="291"/>
        <v>0.70856569316648843</v>
      </c>
      <c r="AZ458" s="9">
        <f t="shared" ca="1" si="292"/>
        <v>0.70856569316648843</v>
      </c>
      <c r="BB458" s="2">
        <f t="shared" ca="1" si="293"/>
        <v>8.6952864488035821</v>
      </c>
      <c r="BC458" s="2">
        <f t="shared" ca="1" si="294"/>
        <v>0.40058684112358961</v>
      </c>
      <c r="BD458" s="2">
        <f t="shared" ca="1" si="295"/>
        <v>1.4959588589608948E-4</v>
      </c>
      <c r="BE458" s="2">
        <f t="shared" ca="1" si="296"/>
        <v>0.15652571314862412</v>
      </c>
      <c r="BF458" s="2">
        <f t="shared" ca="1" si="297"/>
        <v>0.70831012222984879</v>
      </c>
      <c r="BG458" s="2">
        <f t="shared" ca="1" si="298"/>
        <v>5.3119997238545512E-2</v>
      </c>
      <c r="BH458" s="2">
        <f t="shared" ca="1" si="299"/>
        <v>0.70831012222984879</v>
      </c>
      <c r="BI458" s="2">
        <f t="shared" ca="1" si="300"/>
        <v>0.70831012222984879</v>
      </c>
    </row>
    <row r="459" spans="1:61" ht="15" x14ac:dyDescent="0.25">
      <c r="A459" s="66">
        <v>393</v>
      </c>
      <c r="B459" s="66">
        <v>1498730326.536</v>
      </c>
      <c r="C459" s="67">
        <v>-5.4802840158205703E-5</v>
      </c>
      <c r="D459" s="67">
        <v>-1.05868765821935E-4</v>
      </c>
      <c r="E459" s="67">
        <v>1.1568192710821599E-2</v>
      </c>
      <c r="F459" s="67">
        <v>4.2020612397613302E-4</v>
      </c>
      <c r="G459" s="67">
        <v>-2.0748487619955101E-4</v>
      </c>
      <c r="H459" s="67">
        <v>0.212806520301107</v>
      </c>
      <c r="I459" s="67">
        <v>-1.05868765821935E-4</v>
      </c>
      <c r="J459" s="67">
        <v>0.153668883706822</v>
      </c>
      <c r="K459" s="67">
        <v>1.84704967524839</v>
      </c>
      <c r="L459" s="67"/>
      <c r="M459" s="67"/>
      <c r="O459" s="11">
        <f t="shared" ca="1" si="258"/>
        <v>-6.7606770868165731E-5</v>
      </c>
      <c r="P459" s="11">
        <f t="shared" ca="1" si="259"/>
        <v>-1.0663386605223974E-4</v>
      </c>
      <c r="Q459" s="11">
        <f t="shared" ca="1" si="260"/>
        <v>1.0731701098553315E-2</v>
      </c>
      <c r="R459" s="11">
        <f t="shared" ca="1" si="261"/>
        <v>4.0855963632978592E-4</v>
      </c>
      <c r="S459" s="11">
        <f t="shared" ca="1" si="262"/>
        <v>-2.1841252824652112E-4</v>
      </c>
      <c r="T459" s="11">
        <f t="shared" ca="1" si="263"/>
        <v>0.21166796526252471</v>
      </c>
      <c r="U459" s="11">
        <f t="shared" ca="1" si="264"/>
        <v>-1.0663386605223974E-4</v>
      </c>
      <c r="V459" s="11">
        <f t="shared" ca="1" si="265"/>
        <v>0.15301868770112823</v>
      </c>
      <c r="W459" s="11">
        <f t="shared" ca="1" si="266"/>
        <v>1.839926826984885</v>
      </c>
      <c r="X459" s="11"/>
      <c r="Y459" s="2">
        <f t="shared" ca="1" si="267"/>
        <v>-6.7606770868165731E-5</v>
      </c>
      <c r="Z459" s="11">
        <f t="shared" ca="1" si="268"/>
        <v>-1.0663386605223974E-4</v>
      </c>
      <c r="AA459" s="2">
        <f t="shared" ca="1" si="269"/>
        <v>1.0731701098553315E-2</v>
      </c>
      <c r="AB459" s="2">
        <f t="shared" ca="1" si="270"/>
        <v>4.0855963632978592E-4</v>
      </c>
      <c r="AC459" s="2">
        <f t="shared" ca="1" si="271"/>
        <v>-2.1841252824652112E-4</v>
      </c>
      <c r="AD459" s="2">
        <f t="shared" ca="1" si="272"/>
        <v>0.21166796526252471</v>
      </c>
      <c r="AE459" s="2">
        <f t="shared" ca="1" si="273"/>
        <v>-1.0663386605223974E-4</v>
      </c>
      <c r="AF459" s="2">
        <f t="shared" ca="1" si="274"/>
        <v>0.15301868770112823</v>
      </c>
      <c r="AG459" s="2">
        <f t="shared" ca="1" si="275"/>
        <v>1.839926826984885</v>
      </c>
      <c r="AI459" s="2">
        <f t="shared" ca="1" si="276"/>
        <v>-6.7606770868165731E-5</v>
      </c>
      <c r="AJ459" s="11">
        <f t="shared" ca="1" si="277"/>
        <v>-1.0663386605223974E-4</v>
      </c>
      <c r="AK459" s="2">
        <f t="shared" ca="1" si="278"/>
        <v>1.0731701098553315E-2</v>
      </c>
      <c r="AL459" s="2">
        <f t="shared" ca="1" si="279"/>
        <v>4.0855963632978592E-4</v>
      </c>
      <c r="AM459" s="2">
        <f t="shared" ca="1" si="280"/>
        <v>-2.1841252824652112E-4</v>
      </c>
      <c r="AN459" s="2">
        <f t="shared" ca="1" si="281"/>
        <v>0.21166796526252471</v>
      </c>
      <c r="AO459" s="2">
        <f t="shared" ca="1" si="282"/>
        <v>-1.0663386605223974E-4</v>
      </c>
      <c r="AP459" s="2">
        <f t="shared" ca="1" si="283"/>
        <v>0.15301868770112823</v>
      </c>
      <c r="AQ459" s="2">
        <f t="shared" ca="1" si="284"/>
        <v>1.839926826984885</v>
      </c>
      <c r="AS459" s="2">
        <f t="shared" ca="1" si="285"/>
        <v>8.6925143571106052</v>
      </c>
      <c r="AT459" s="2">
        <f t="shared" ca="1" si="286"/>
        <v>0.40045758375383006</v>
      </c>
      <c r="AU459" s="2">
        <f t="shared" ca="1" si="287"/>
        <v>1.636108047839696E-4</v>
      </c>
      <c r="AV459" s="2">
        <f t="shared" ca="1" si="288"/>
        <v>0.15285507689634426</v>
      </c>
      <c r="AW459" s="2">
        <f t="shared" ca="1" si="289"/>
        <v>0.70874795767469823</v>
      </c>
      <c r="AX459" s="2">
        <f t="shared" ca="1" si="290"/>
        <v>5.2667012722697415E-2</v>
      </c>
      <c r="AY459" s="9">
        <f t="shared" ca="1" si="291"/>
        <v>0.70874795767469823</v>
      </c>
      <c r="AZ459" s="9">
        <f t="shared" ca="1" si="292"/>
        <v>0.70874795767469823</v>
      </c>
      <c r="BB459" s="2">
        <f t="shared" ca="1" si="293"/>
        <v>8.6925143571106052</v>
      </c>
      <c r="BC459" s="2">
        <f t="shared" ca="1" si="294"/>
        <v>0.40045758375383006</v>
      </c>
      <c r="BD459" s="2">
        <f t="shared" ca="1" si="295"/>
        <v>1.636108047839696E-4</v>
      </c>
      <c r="BE459" s="2">
        <f t="shared" ca="1" si="296"/>
        <v>0.15285507689634426</v>
      </c>
      <c r="BF459" s="2">
        <f t="shared" ca="1" si="297"/>
        <v>0.70874795767469823</v>
      </c>
      <c r="BG459" s="2">
        <f t="shared" ca="1" si="298"/>
        <v>5.2667012722697415E-2</v>
      </c>
      <c r="BH459" s="2">
        <f t="shared" ca="1" si="299"/>
        <v>0.70874795767469823</v>
      </c>
      <c r="BI459" s="2">
        <f t="shared" ca="1" si="300"/>
        <v>0.70874795767469823</v>
      </c>
    </row>
    <row r="460" spans="1:61" ht="15" x14ac:dyDescent="0.25">
      <c r="A460" s="66">
        <v>394</v>
      </c>
      <c r="B460" s="66">
        <v>1498730327.063</v>
      </c>
      <c r="C460" s="67">
        <v>-5.1979513160710703E-6</v>
      </c>
      <c r="D460" s="67">
        <v>-5.1842255000754198E-5</v>
      </c>
      <c r="E460" s="67">
        <v>1.17879221989175E-2</v>
      </c>
      <c r="F460" s="67">
        <v>3.1952224718542798E-4</v>
      </c>
      <c r="G460" s="67">
        <v>-1.4660250142099299E-4</v>
      </c>
      <c r="H460" s="67">
        <v>0.21580033812582999</v>
      </c>
      <c r="I460" s="67">
        <v>-5.1842255000754198E-5</v>
      </c>
      <c r="J460" s="67">
        <v>0.15583251389824601</v>
      </c>
      <c r="K460" s="67">
        <v>1.87332195860893</v>
      </c>
      <c r="L460" s="67"/>
      <c r="M460" s="67"/>
      <c r="O460" s="11">
        <f t="shared" ca="1" si="258"/>
        <v>-1.8001882026031096E-5</v>
      </c>
      <c r="P460" s="11">
        <f t="shared" ca="1" si="259"/>
        <v>-5.2607355231058937E-5</v>
      </c>
      <c r="Q460" s="11">
        <f t="shared" ca="1" si="260"/>
        <v>1.0951430586649215E-2</v>
      </c>
      <c r="R460" s="11">
        <f t="shared" ca="1" si="261"/>
        <v>3.0787575953908087E-4</v>
      </c>
      <c r="S460" s="11">
        <f t="shared" ca="1" si="262"/>
        <v>-1.575301534679631E-4</v>
      </c>
      <c r="T460" s="11">
        <f t="shared" ca="1" si="263"/>
        <v>0.2146617830872477</v>
      </c>
      <c r="U460" s="11">
        <f t="shared" ca="1" si="264"/>
        <v>-5.2607355231058937E-5</v>
      </c>
      <c r="V460" s="11">
        <f t="shared" ca="1" si="265"/>
        <v>0.15518231789255224</v>
      </c>
      <c r="W460" s="11">
        <f t="shared" ca="1" si="266"/>
        <v>1.866199110345425</v>
      </c>
      <c r="X460" s="11"/>
      <c r="Y460" s="2">
        <f t="shared" ca="1" si="267"/>
        <v>-1.8001882026031096E-5</v>
      </c>
      <c r="Z460" s="11">
        <f t="shared" ca="1" si="268"/>
        <v>-5.2607355231058937E-5</v>
      </c>
      <c r="AA460" s="2">
        <f t="shared" ca="1" si="269"/>
        <v>1.0951430586649215E-2</v>
      </c>
      <c r="AB460" s="2">
        <f t="shared" ca="1" si="270"/>
        <v>3.0787575953908087E-4</v>
      </c>
      <c r="AC460" s="2">
        <f t="shared" ca="1" si="271"/>
        <v>-1.575301534679631E-4</v>
      </c>
      <c r="AD460" s="2">
        <f t="shared" ca="1" si="272"/>
        <v>0.2146617830872477</v>
      </c>
      <c r="AE460" s="2">
        <f t="shared" ca="1" si="273"/>
        <v>-5.2607355231058937E-5</v>
      </c>
      <c r="AF460" s="2">
        <f t="shared" ca="1" si="274"/>
        <v>0.15518231789255224</v>
      </c>
      <c r="AG460" s="2">
        <f t="shared" ca="1" si="275"/>
        <v>1.866199110345425</v>
      </c>
      <c r="AI460" s="2">
        <f t="shared" ca="1" si="276"/>
        <v>-1.8001882026031096E-5</v>
      </c>
      <c r="AJ460" s="11">
        <f t="shared" ca="1" si="277"/>
        <v>-5.2607355231058937E-5</v>
      </c>
      <c r="AK460" s="2">
        <f t="shared" ca="1" si="278"/>
        <v>1.0951430586649215E-2</v>
      </c>
      <c r="AL460" s="2">
        <f t="shared" ca="1" si="279"/>
        <v>3.0787575953908087E-4</v>
      </c>
      <c r="AM460" s="2">
        <f t="shared" ca="1" si="280"/>
        <v>-1.575301534679631E-4</v>
      </c>
      <c r="AN460" s="2">
        <f t="shared" ca="1" si="281"/>
        <v>0.2146617830872477</v>
      </c>
      <c r="AO460" s="2">
        <f t="shared" ca="1" si="282"/>
        <v>-5.2607355231058937E-5</v>
      </c>
      <c r="AP460" s="2">
        <f t="shared" ca="1" si="283"/>
        <v>0.15518231789255224</v>
      </c>
      <c r="AQ460" s="2">
        <f t="shared" ca="1" si="284"/>
        <v>1.866199110345425</v>
      </c>
      <c r="AS460" s="2">
        <f t="shared" ca="1" si="285"/>
        <v>8.693671894018145</v>
      </c>
      <c r="AT460" s="2">
        <f t="shared" ca="1" si="286"/>
        <v>0.40051155744017658</v>
      </c>
      <c r="AU460" s="2">
        <f t="shared" ca="1" si="287"/>
        <v>1.2330779995107458E-4</v>
      </c>
      <c r="AV460" s="2">
        <f t="shared" ca="1" si="288"/>
        <v>0.15505901009260117</v>
      </c>
      <c r="AW460" s="2">
        <f t="shared" ca="1" si="289"/>
        <v>0.70889226873627753</v>
      </c>
      <c r="AX460" s="2">
        <f t="shared" ca="1" si="290"/>
        <v>5.300301182197549E-2</v>
      </c>
      <c r="AY460" s="9">
        <f t="shared" ca="1" si="291"/>
        <v>0.70889226873627753</v>
      </c>
      <c r="AZ460" s="9">
        <f t="shared" ca="1" si="292"/>
        <v>0.70889226873627753</v>
      </c>
      <c r="BB460" s="2">
        <f t="shared" ca="1" si="293"/>
        <v>8.693671894018145</v>
      </c>
      <c r="BC460" s="2">
        <f t="shared" ca="1" si="294"/>
        <v>0.40051155744017658</v>
      </c>
      <c r="BD460" s="2">
        <f t="shared" ca="1" si="295"/>
        <v>1.2330779995107458E-4</v>
      </c>
      <c r="BE460" s="2">
        <f t="shared" ca="1" si="296"/>
        <v>0.15505901009260117</v>
      </c>
      <c r="BF460" s="2">
        <f t="shared" ca="1" si="297"/>
        <v>0.70889226873627753</v>
      </c>
      <c r="BG460" s="2">
        <f t="shared" ca="1" si="298"/>
        <v>5.300301182197549E-2</v>
      </c>
      <c r="BH460" s="2">
        <f t="shared" ca="1" si="299"/>
        <v>0.70889226873627753</v>
      </c>
      <c r="BI460" s="2">
        <f t="shared" ca="1" si="300"/>
        <v>0.70889226873627753</v>
      </c>
    </row>
    <row r="461" spans="1:61" ht="15" x14ac:dyDescent="0.25">
      <c r="A461" s="66">
        <v>395</v>
      </c>
      <c r="B461" s="66">
        <v>1498730327.5910001</v>
      </c>
      <c r="C461" s="67">
        <v>-9.8972725142519802E-5</v>
      </c>
      <c r="D461" s="67">
        <v>-3.0237573376116001E-5</v>
      </c>
      <c r="E461" s="67">
        <v>1.2041163712423E-2</v>
      </c>
      <c r="F461" s="67">
        <v>5.0685474824301697E-4</v>
      </c>
      <c r="G461" s="67">
        <v>-4.0755029380140402E-5</v>
      </c>
      <c r="H461" s="67">
        <v>0.21937153073215501</v>
      </c>
      <c r="I461" s="67">
        <v>-3.0237573376116001E-5</v>
      </c>
      <c r="J461" s="67">
        <v>0.158664461191243</v>
      </c>
      <c r="K461" s="67">
        <v>1.9043158160510101</v>
      </c>
      <c r="L461" s="67"/>
      <c r="M461" s="67"/>
      <c r="O461" s="11">
        <f t="shared" ca="1" si="258"/>
        <v>-1.1177665585247984E-4</v>
      </c>
      <c r="P461" s="11">
        <f t="shared" ca="1" si="259"/>
        <v>-3.1002673606420743E-5</v>
      </c>
      <c r="Q461" s="11">
        <f t="shared" ca="1" si="260"/>
        <v>1.1204672100154715E-2</v>
      </c>
      <c r="R461" s="11">
        <f t="shared" ca="1" si="261"/>
        <v>4.9520826059666981E-4</v>
      </c>
      <c r="S461" s="11">
        <f t="shared" ca="1" si="262"/>
        <v>-5.1682681427110523E-5</v>
      </c>
      <c r="T461" s="11">
        <f t="shared" ca="1" si="263"/>
        <v>0.21823297569357272</v>
      </c>
      <c r="U461" s="11">
        <f t="shared" ca="1" si="264"/>
        <v>-3.1002673606420743E-5</v>
      </c>
      <c r="V461" s="11">
        <f t="shared" ca="1" si="265"/>
        <v>0.15801426518554923</v>
      </c>
      <c r="W461" s="11">
        <f t="shared" ca="1" si="266"/>
        <v>1.897192967787505</v>
      </c>
      <c r="X461" s="11"/>
      <c r="Y461" s="2">
        <f t="shared" ca="1" si="267"/>
        <v>-1.1177665585247984E-4</v>
      </c>
      <c r="Z461" s="11">
        <f t="shared" ca="1" si="268"/>
        <v>-3.1002673606420743E-5</v>
      </c>
      <c r="AA461" s="2">
        <f t="shared" ca="1" si="269"/>
        <v>1.1204672100154715E-2</v>
      </c>
      <c r="AB461" s="2">
        <f t="shared" ca="1" si="270"/>
        <v>4.9520826059666981E-4</v>
      </c>
      <c r="AC461" s="2">
        <f t="shared" ca="1" si="271"/>
        <v>-5.1682681427110523E-5</v>
      </c>
      <c r="AD461" s="2">
        <f t="shared" ca="1" si="272"/>
        <v>0.21823297569357272</v>
      </c>
      <c r="AE461" s="2">
        <f t="shared" ca="1" si="273"/>
        <v>-3.1002673606420743E-5</v>
      </c>
      <c r="AF461" s="2">
        <f t="shared" ca="1" si="274"/>
        <v>0.15801426518554923</v>
      </c>
      <c r="AG461" s="2">
        <f t="shared" ca="1" si="275"/>
        <v>1.897192967787505</v>
      </c>
      <c r="AI461" s="2">
        <f t="shared" ca="1" si="276"/>
        <v>-1.1177665585247984E-4</v>
      </c>
      <c r="AJ461" s="11">
        <f t="shared" ca="1" si="277"/>
        <v>-3.1002673606420743E-5</v>
      </c>
      <c r="AK461" s="2">
        <f t="shared" ca="1" si="278"/>
        <v>1.1204672100154715E-2</v>
      </c>
      <c r="AL461" s="2">
        <f t="shared" ca="1" si="279"/>
        <v>4.9520826059666981E-4</v>
      </c>
      <c r="AM461" s="2">
        <f t="shared" ca="1" si="280"/>
        <v>-5.1682681427110523E-5</v>
      </c>
      <c r="AN461" s="2">
        <f t="shared" ca="1" si="281"/>
        <v>0.21823297569357272</v>
      </c>
      <c r="AO461" s="2">
        <f t="shared" ca="1" si="282"/>
        <v>-3.1002673606420743E-5</v>
      </c>
      <c r="AP461" s="2">
        <f t="shared" ca="1" si="283"/>
        <v>0.15801426518554923</v>
      </c>
      <c r="AQ461" s="2">
        <f t="shared" ca="1" si="284"/>
        <v>1.897192967787505</v>
      </c>
      <c r="AS461" s="2">
        <f t="shared" ca="1" si="285"/>
        <v>8.6934294038652027</v>
      </c>
      <c r="AT461" s="2">
        <f t="shared" ca="1" si="286"/>
        <v>0.40050025059049743</v>
      </c>
      <c r="AU461" s="2">
        <f t="shared" ca="1" si="287"/>
        <v>1.9833103246345062E-4</v>
      </c>
      <c r="AV461" s="2">
        <f t="shared" ca="1" si="288"/>
        <v>0.15781593415308579</v>
      </c>
      <c r="AW461" s="2">
        <f t="shared" ca="1" si="289"/>
        <v>0.70969956929370748</v>
      </c>
      <c r="AX461" s="2">
        <f t="shared" ca="1" si="290"/>
        <v>5.3339729363339597E-2</v>
      </c>
      <c r="AY461" s="9" t="str">
        <f t="shared" ca="1" si="291"/>
        <v>rejected</v>
      </c>
      <c r="AZ461" s="9" t="e">
        <f t="shared" ca="1" si="292"/>
        <v>#N/A</v>
      </c>
      <c r="BB461" s="2">
        <f t="shared" ca="1" si="293"/>
        <v>8.6934294038652027</v>
      </c>
      <c r="BC461" s="2">
        <f t="shared" ca="1" si="294"/>
        <v>0.40050025059049743</v>
      </c>
      <c r="BD461" s="2">
        <f t="shared" ca="1" si="295"/>
        <v>1.9833103246345062E-4</v>
      </c>
      <c r="BE461" s="2">
        <f t="shared" ca="1" si="296"/>
        <v>0.15781593415308579</v>
      </c>
      <c r="BF461" s="2">
        <f t="shared" ca="1" si="297"/>
        <v>0.70969956929370748</v>
      </c>
      <c r="BG461" s="2">
        <f t="shared" ca="1" si="298"/>
        <v>5.3339729363339597E-2</v>
      </c>
      <c r="BH461" s="2" t="str">
        <f t="shared" ca="1" si="299"/>
        <v>rejected</v>
      </c>
      <c r="BI461" s="2" t="e">
        <f t="shared" ca="1" si="300"/>
        <v>#N/A</v>
      </c>
    </row>
    <row r="462" spans="1:61" ht="15" x14ac:dyDescent="0.25">
      <c r="A462" s="66">
        <v>396</v>
      </c>
      <c r="B462" s="66">
        <v>1498730328.1170001</v>
      </c>
      <c r="C462" s="67">
        <v>-1.15758616762073E-5</v>
      </c>
      <c r="D462" s="67">
        <v>-2.3200278271271899E-5</v>
      </c>
      <c r="E462" s="67">
        <v>1.2024311071228399E-2</v>
      </c>
      <c r="F462" s="67">
        <v>4.4448602440435198E-4</v>
      </c>
      <c r="G462" s="67">
        <v>-1.32165098129479E-4</v>
      </c>
      <c r="H462" s="67">
        <v>0.22121522321425099</v>
      </c>
      <c r="I462" s="67">
        <v>-2.3200278271271899E-5</v>
      </c>
      <c r="J462" s="67">
        <v>0.159831417337296</v>
      </c>
      <c r="K462" s="67">
        <v>1.92006385433106</v>
      </c>
      <c r="L462" s="67"/>
      <c r="M462" s="67"/>
      <c r="O462" s="11">
        <f t="shared" ca="1" si="258"/>
        <v>-2.4379792386167326E-5</v>
      </c>
      <c r="P462" s="11">
        <f t="shared" ca="1" si="259"/>
        <v>-2.3965378501576641E-5</v>
      </c>
      <c r="Q462" s="11">
        <f t="shared" ca="1" si="260"/>
        <v>1.1187819458960115E-2</v>
      </c>
      <c r="R462" s="11">
        <f t="shared" ca="1" si="261"/>
        <v>4.3283953675800487E-4</v>
      </c>
      <c r="S462" s="11">
        <f t="shared" ca="1" si="262"/>
        <v>-1.4309275017644911E-4</v>
      </c>
      <c r="T462" s="11">
        <f t="shared" ca="1" si="263"/>
        <v>0.2200766681756687</v>
      </c>
      <c r="U462" s="11">
        <f t="shared" ca="1" si="264"/>
        <v>-2.3965378501576641E-5</v>
      </c>
      <c r="V462" s="11">
        <f t="shared" ca="1" si="265"/>
        <v>0.15918122133160223</v>
      </c>
      <c r="W462" s="11">
        <f t="shared" ca="1" si="266"/>
        <v>1.9129410060675549</v>
      </c>
      <c r="X462" s="11"/>
      <c r="Y462" s="2">
        <f t="shared" ca="1" si="267"/>
        <v>-2.4379792386167326E-5</v>
      </c>
      <c r="Z462" s="11">
        <f t="shared" ca="1" si="268"/>
        <v>-2.3965378501576641E-5</v>
      </c>
      <c r="AA462" s="2">
        <f t="shared" ca="1" si="269"/>
        <v>1.1187819458960115E-2</v>
      </c>
      <c r="AB462" s="2">
        <f t="shared" ca="1" si="270"/>
        <v>4.3283953675800487E-4</v>
      </c>
      <c r="AC462" s="2">
        <f t="shared" ca="1" si="271"/>
        <v>-1.4309275017644911E-4</v>
      </c>
      <c r="AD462" s="2">
        <f t="shared" ca="1" si="272"/>
        <v>0.2200766681756687</v>
      </c>
      <c r="AE462" s="2">
        <f t="shared" ca="1" si="273"/>
        <v>-2.3965378501576641E-5</v>
      </c>
      <c r="AF462" s="2">
        <f t="shared" ca="1" si="274"/>
        <v>0.15918122133160223</v>
      </c>
      <c r="AG462" s="2">
        <f t="shared" ca="1" si="275"/>
        <v>1.9129410060675549</v>
      </c>
      <c r="AI462" s="2">
        <f t="shared" ca="1" si="276"/>
        <v>-2.4379792386167326E-5</v>
      </c>
      <c r="AJ462" s="11">
        <f t="shared" ca="1" si="277"/>
        <v>-2.3965378501576641E-5</v>
      </c>
      <c r="AK462" s="2">
        <f t="shared" ca="1" si="278"/>
        <v>1.1187819458960115E-2</v>
      </c>
      <c r="AL462" s="2">
        <f t="shared" ca="1" si="279"/>
        <v>4.3283953675800487E-4</v>
      </c>
      <c r="AM462" s="2">
        <f t="shared" ca="1" si="280"/>
        <v>-1.4309275017644911E-4</v>
      </c>
      <c r="AN462" s="2">
        <f t="shared" ca="1" si="281"/>
        <v>0.2200766681756687</v>
      </c>
      <c r="AO462" s="2">
        <f t="shared" ca="1" si="282"/>
        <v>-2.3965378501576641E-5</v>
      </c>
      <c r="AP462" s="2">
        <f t="shared" ca="1" si="283"/>
        <v>0.15918122133160223</v>
      </c>
      <c r="AQ462" s="2">
        <f t="shared" ca="1" si="284"/>
        <v>1.9129410060675549</v>
      </c>
      <c r="AS462" s="2">
        <f t="shared" ca="1" si="285"/>
        <v>8.6921572464947303</v>
      </c>
      <c r="AT462" s="2">
        <f t="shared" ca="1" si="286"/>
        <v>0.40044093240053003</v>
      </c>
      <c r="AU462" s="2">
        <f t="shared" ca="1" si="287"/>
        <v>1.7332666767918897E-4</v>
      </c>
      <c r="AV462" s="2">
        <f t="shared" ca="1" si="288"/>
        <v>0.15900789466392304</v>
      </c>
      <c r="AW462" s="2">
        <f t="shared" ca="1" si="289"/>
        <v>0.70912167092138934</v>
      </c>
      <c r="AX462" s="2">
        <f t="shared" ca="1" si="290"/>
        <v>5.2805412863229512E-2</v>
      </c>
      <c r="AY462" s="9">
        <f t="shared" ca="1" si="291"/>
        <v>0.70912167092138934</v>
      </c>
      <c r="AZ462" s="9">
        <f t="shared" ca="1" si="292"/>
        <v>0.70912167092138934</v>
      </c>
      <c r="BB462" s="2">
        <f t="shared" ca="1" si="293"/>
        <v>8.6921572464947303</v>
      </c>
      <c r="BC462" s="2">
        <f t="shared" ca="1" si="294"/>
        <v>0.40044093240053003</v>
      </c>
      <c r="BD462" s="2">
        <f t="shared" ca="1" si="295"/>
        <v>1.7332666767918897E-4</v>
      </c>
      <c r="BE462" s="2">
        <f t="shared" ca="1" si="296"/>
        <v>0.15900789466392304</v>
      </c>
      <c r="BF462" s="2">
        <f t="shared" ca="1" si="297"/>
        <v>0.70912167092138934</v>
      </c>
      <c r="BG462" s="2">
        <f t="shared" ca="1" si="298"/>
        <v>5.2805412863229512E-2</v>
      </c>
      <c r="BH462" s="2">
        <f t="shared" ca="1" si="299"/>
        <v>0.70912167092138934</v>
      </c>
      <c r="BI462" s="2">
        <f t="shared" ca="1" si="300"/>
        <v>0.70912167092138934</v>
      </c>
    </row>
    <row r="463" spans="1:61" ht="15" x14ac:dyDescent="0.25">
      <c r="A463" s="66">
        <v>397</v>
      </c>
      <c r="B463" s="66">
        <v>1498730328.6440001</v>
      </c>
      <c r="C463" s="67">
        <v>-8.2688021629118999E-6</v>
      </c>
      <c r="D463" s="67">
        <v>-7.6133044914141495E-5</v>
      </c>
      <c r="E463" s="67">
        <v>1.2228006097467801E-2</v>
      </c>
      <c r="F463" s="67">
        <v>4.4020129320742799E-4</v>
      </c>
      <c r="G463" s="67">
        <v>-1.10163432270621E-4</v>
      </c>
      <c r="H463" s="67">
        <v>0.22263751940917001</v>
      </c>
      <c r="I463" s="67">
        <v>-7.6133044914141495E-5</v>
      </c>
      <c r="J463" s="67">
        <v>0.160920093725512</v>
      </c>
      <c r="K463" s="67">
        <v>1.93452484843602</v>
      </c>
      <c r="L463" s="67"/>
      <c r="M463" s="67"/>
      <c r="O463" s="11">
        <f t="shared" ca="1" si="258"/>
        <v>-2.1072732872871928E-5</v>
      </c>
      <c r="P463" s="11">
        <f t="shared" ca="1" si="259"/>
        <v>-7.6898145144446234E-5</v>
      </c>
      <c r="Q463" s="11">
        <f t="shared" ca="1" si="260"/>
        <v>1.1391514485199516E-2</v>
      </c>
      <c r="R463" s="11">
        <f t="shared" ca="1" si="261"/>
        <v>4.2855480556108088E-4</v>
      </c>
      <c r="S463" s="11">
        <f t="shared" ca="1" si="262"/>
        <v>-1.2109108431759113E-4</v>
      </c>
      <c r="T463" s="11">
        <f t="shared" ca="1" si="263"/>
        <v>0.22149896437058772</v>
      </c>
      <c r="U463" s="11">
        <f t="shared" ca="1" si="264"/>
        <v>-7.6898145144446234E-5</v>
      </c>
      <c r="V463" s="11">
        <f t="shared" ca="1" si="265"/>
        <v>0.16026989771981823</v>
      </c>
      <c r="W463" s="11">
        <f t="shared" ca="1" si="266"/>
        <v>1.927402000172515</v>
      </c>
      <c r="X463" s="11"/>
      <c r="Y463" s="2">
        <f t="shared" ca="1" si="267"/>
        <v>-2.1072732872871928E-5</v>
      </c>
      <c r="Z463" s="11">
        <f t="shared" ca="1" si="268"/>
        <v>-7.6898145144446234E-5</v>
      </c>
      <c r="AA463" s="2">
        <f t="shared" ca="1" si="269"/>
        <v>1.1391514485199516E-2</v>
      </c>
      <c r="AB463" s="2">
        <f t="shared" ca="1" si="270"/>
        <v>4.2855480556108088E-4</v>
      </c>
      <c r="AC463" s="2">
        <f t="shared" ca="1" si="271"/>
        <v>-1.2109108431759113E-4</v>
      </c>
      <c r="AD463" s="2">
        <f t="shared" ca="1" si="272"/>
        <v>0.22149896437058772</v>
      </c>
      <c r="AE463" s="2">
        <f t="shared" ca="1" si="273"/>
        <v>-7.6898145144446234E-5</v>
      </c>
      <c r="AF463" s="2">
        <f t="shared" ca="1" si="274"/>
        <v>0.16026989771981823</v>
      </c>
      <c r="AG463" s="2">
        <f t="shared" ca="1" si="275"/>
        <v>1.927402000172515</v>
      </c>
      <c r="AI463" s="2">
        <f t="shared" ca="1" si="276"/>
        <v>-2.1072732872871928E-5</v>
      </c>
      <c r="AJ463" s="11">
        <f t="shared" ca="1" si="277"/>
        <v>-7.6898145144446234E-5</v>
      </c>
      <c r="AK463" s="2">
        <f t="shared" ca="1" si="278"/>
        <v>1.1391514485199516E-2</v>
      </c>
      <c r="AL463" s="2">
        <f t="shared" ca="1" si="279"/>
        <v>4.2855480556108088E-4</v>
      </c>
      <c r="AM463" s="2">
        <f t="shared" ca="1" si="280"/>
        <v>-1.2109108431759113E-4</v>
      </c>
      <c r="AN463" s="2">
        <f t="shared" ca="1" si="281"/>
        <v>0.22149896437058772</v>
      </c>
      <c r="AO463" s="2">
        <f t="shared" ca="1" si="282"/>
        <v>-7.6898145144446234E-5</v>
      </c>
      <c r="AP463" s="2">
        <f t="shared" ca="1" si="283"/>
        <v>0.16026989771981823</v>
      </c>
      <c r="AQ463" s="2">
        <f t="shared" ca="1" si="284"/>
        <v>1.927402000172515</v>
      </c>
      <c r="AS463" s="2">
        <f t="shared" ca="1" si="285"/>
        <v>8.7016298502768521</v>
      </c>
      <c r="AT463" s="2">
        <f t="shared" ca="1" si="286"/>
        <v>0.40088262376448397</v>
      </c>
      <c r="AU463" s="2">
        <f t="shared" ca="1" si="287"/>
        <v>1.7180017488020437E-4</v>
      </c>
      <c r="AV463" s="2">
        <f t="shared" ca="1" si="288"/>
        <v>0.16009809754493803</v>
      </c>
      <c r="AW463" s="2">
        <f t="shared" ca="1" si="289"/>
        <v>0.70900994812867901</v>
      </c>
      <c r="AX463" s="2">
        <f t="shared" ca="1" si="290"/>
        <v>5.3481156675383203E-2</v>
      </c>
      <c r="AY463" s="9">
        <f t="shared" ca="1" si="291"/>
        <v>0.70900994812867901</v>
      </c>
      <c r="AZ463" s="9">
        <f t="shared" ca="1" si="292"/>
        <v>0.70900994812867901</v>
      </c>
      <c r="BB463" s="2">
        <f t="shared" ca="1" si="293"/>
        <v>8.7016298502768521</v>
      </c>
      <c r="BC463" s="2">
        <f t="shared" ca="1" si="294"/>
        <v>0.40088262376448397</v>
      </c>
      <c r="BD463" s="2">
        <f t="shared" ca="1" si="295"/>
        <v>1.7180017488020437E-4</v>
      </c>
      <c r="BE463" s="2">
        <f t="shared" ca="1" si="296"/>
        <v>0.16009809754493803</v>
      </c>
      <c r="BF463" s="2">
        <f t="shared" ca="1" si="297"/>
        <v>0.70900994812867901</v>
      </c>
      <c r="BG463" s="2">
        <f t="shared" ca="1" si="298"/>
        <v>5.3481156675383203E-2</v>
      </c>
      <c r="BH463" s="2">
        <f t="shared" ca="1" si="299"/>
        <v>0.70900994812867901</v>
      </c>
      <c r="BI463" s="2">
        <f t="shared" ca="1" si="300"/>
        <v>0.70900994812867901</v>
      </c>
    </row>
    <row r="464" spans="1:61" ht="15" x14ac:dyDescent="0.25">
      <c r="A464" s="66">
        <v>398</v>
      </c>
      <c r="B464" s="66">
        <v>1498730329.171</v>
      </c>
      <c r="C464" s="67">
        <v>-2.69299221653932E-5</v>
      </c>
      <c r="D464" s="67">
        <v>6.7148146664535702E-5</v>
      </c>
      <c r="E464" s="67">
        <v>1.0772945156908501E-2</v>
      </c>
      <c r="F464" s="67">
        <v>4.5376967171850902E-4</v>
      </c>
      <c r="G464" s="67">
        <v>-5.8048357279333503E-5</v>
      </c>
      <c r="H464" s="67">
        <v>0.19538131957475899</v>
      </c>
      <c r="I464" s="67">
        <v>6.7148146664535702E-5</v>
      </c>
      <c r="J464" s="67">
        <v>0.141114721104524</v>
      </c>
      <c r="K464" s="67">
        <v>1.6989427683528699</v>
      </c>
      <c r="L464" s="67"/>
      <c r="M464" s="67"/>
      <c r="O464" s="11">
        <f t="shared" ca="1" si="258"/>
        <v>-3.9733852875353227E-5</v>
      </c>
      <c r="P464" s="11">
        <f t="shared" ca="1" si="259"/>
        <v>6.6383046434230963E-5</v>
      </c>
      <c r="Q464" s="11">
        <f t="shared" ca="1" si="260"/>
        <v>9.9364535446402162E-3</v>
      </c>
      <c r="R464" s="11">
        <f t="shared" ca="1" si="261"/>
        <v>4.4212318407216191E-4</v>
      </c>
      <c r="S464" s="11">
        <f t="shared" ca="1" si="262"/>
        <v>-6.897600932630363E-5</v>
      </c>
      <c r="T464" s="11">
        <f t="shared" ca="1" si="263"/>
        <v>0.1942427645361767</v>
      </c>
      <c r="U464" s="11">
        <f t="shared" ca="1" si="264"/>
        <v>6.6383046434230963E-5</v>
      </c>
      <c r="V464" s="11">
        <f t="shared" ca="1" si="265"/>
        <v>0.14046452509883023</v>
      </c>
      <c r="W464" s="11">
        <f t="shared" ca="1" si="266"/>
        <v>1.6918199200893649</v>
      </c>
      <c r="X464" s="11"/>
      <c r="Y464" s="2">
        <f t="shared" ca="1" si="267"/>
        <v>-3.9733852875353227E-5</v>
      </c>
      <c r="Z464" s="11">
        <f t="shared" ca="1" si="268"/>
        <v>6.6383046434230963E-5</v>
      </c>
      <c r="AA464" s="2">
        <f t="shared" ca="1" si="269"/>
        <v>9.9359456646600456E-3</v>
      </c>
      <c r="AB464" s="2">
        <f t="shared" ca="1" si="270"/>
        <v>4.2983018000665381E-4</v>
      </c>
      <c r="AC464" s="2">
        <f t="shared" ca="1" si="271"/>
        <v>-6.897600932630363E-5</v>
      </c>
      <c r="AD464" s="2">
        <f t="shared" ca="1" si="272"/>
        <v>0.19415336611693973</v>
      </c>
      <c r="AE464" s="2">
        <f t="shared" ca="1" si="273"/>
        <v>6.6383046434230963E-5</v>
      </c>
      <c r="AF464" s="2">
        <f t="shared" ca="1" si="274"/>
        <v>0.14033250516080276</v>
      </c>
      <c r="AG464" s="2">
        <f t="shared" ca="1" si="275"/>
        <v>1.6917663494697031</v>
      </c>
      <c r="AI464" s="2">
        <f t="shared" ca="1" si="276"/>
        <v>-3.9733852875353227E-5</v>
      </c>
      <c r="AJ464" s="11">
        <f t="shared" ca="1" si="277"/>
        <v>6.6383046434230963E-5</v>
      </c>
      <c r="AK464" s="2">
        <f t="shared" ca="1" si="278"/>
        <v>9.8576259524900504E-3</v>
      </c>
      <c r="AL464" s="2">
        <f t="shared" ca="1" si="279"/>
        <v>3.9317328326953844E-4</v>
      </c>
      <c r="AM464" s="2">
        <f t="shared" ca="1" si="280"/>
        <v>-6.897600932630363E-5</v>
      </c>
      <c r="AN464" s="2">
        <f t="shared" ca="1" si="281"/>
        <v>0.19415336611693973</v>
      </c>
      <c r="AO464" s="2">
        <f t="shared" ca="1" si="282"/>
        <v>6.6383046434230963E-5</v>
      </c>
      <c r="AP464" s="2">
        <f t="shared" ca="1" si="283"/>
        <v>0.14033250516080276</v>
      </c>
      <c r="AQ464" s="2">
        <f t="shared" ca="1" si="284"/>
        <v>1.6917663494697031</v>
      </c>
      <c r="AS464" s="2">
        <f t="shared" ca="1" si="285"/>
        <v>8.7098220833562756</v>
      </c>
      <c r="AT464" s="2">
        <f t="shared" ca="1" si="286"/>
        <v>0.40126461832852128</v>
      </c>
      <c r="AU464" s="2">
        <f t="shared" ca="1" si="287"/>
        <v>1.774083907109066E-4</v>
      </c>
      <c r="AV464" s="2">
        <f t="shared" ca="1" si="288"/>
        <v>0.14028711670811933</v>
      </c>
      <c r="AW464" s="2">
        <f t="shared" ca="1" si="289"/>
        <v>0.70811694787641732</v>
      </c>
      <c r="AX464" s="2">
        <f t="shared" ca="1" si="290"/>
        <v>5.3247075638624207E-2</v>
      </c>
      <c r="AY464" s="9">
        <f t="shared" ca="1" si="291"/>
        <v>0.70811694787641732</v>
      </c>
      <c r="AZ464" s="9">
        <f t="shared" ca="1" si="292"/>
        <v>0.70811694787641732</v>
      </c>
      <c r="BB464" s="2">
        <f t="shared" ca="1" si="293"/>
        <v>8.7135566243581994</v>
      </c>
      <c r="BC464" s="2">
        <f t="shared" ca="1" si="294"/>
        <v>0.40143875719844746</v>
      </c>
      <c r="BD464" s="2">
        <f t="shared" ca="1" si="295"/>
        <v>1.5783499419935664E-4</v>
      </c>
      <c r="BE464" s="2">
        <f t="shared" ca="1" si="296"/>
        <v>0.1401746701666034</v>
      </c>
      <c r="BF464" s="2">
        <f t="shared" ca="1" si="297"/>
        <v>0.70772235224749802</v>
      </c>
      <c r="BG464" s="2">
        <f t="shared" ca="1" si="298"/>
        <v>5.2872167914488476E-2</v>
      </c>
      <c r="BH464" s="2" t="str">
        <f t="shared" ca="1" si="299"/>
        <v>rejected</v>
      </c>
      <c r="BI464" s="2" t="e">
        <f t="shared" ca="1" si="300"/>
        <v>#N/A</v>
      </c>
    </row>
    <row r="465" spans="1:61" ht="15" x14ac:dyDescent="0.25">
      <c r="A465" s="66">
        <v>399</v>
      </c>
      <c r="B465" s="66">
        <v>1498730329.698</v>
      </c>
      <c r="C465" s="67">
        <v>3.04718587458871E-5</v>
      </c>
      <c r="D465" s="67">
        <v>2.14674882171457E-5</v>
      </c>
      <c r="E465" s="67">
        <v>1.03605044740358E-2</v>
      </c>
      <c r="F465" s="67">
        <v>3.0428963675268401E-4</v>
      </c>
      <c r="G465" s="67">
        <v>6.70729543773384E-5</v>
      </c>
      <c r="H465" s="67">
        <v>0.18867608199027</v>
      </c>
      <c r="I465" s="67">
        <v>2.14674882171457E-5</v>
      </c>
      <c r="J465" s="67">
        <v>0.13615767454602801</v>
      </c>
      <c r="K465" s="67">
        <v>1.63755374340754</v>
      </c>
      <c r="L465" s="67"/>
      <c r="M465" s="67"/>
      <c r="O465" s="11">
        <f t="shared" ca="1" si="258"/>
        <v>1.7667928035927072E-5</v>
      </c>
      <c r="P465" s="11">
        <f t="shared" ca="1" si="259"/>
        <v>2.0702387986840958E-5</v>
      </c>
      <c r="Q465" s="11">
        <f t="shared" ca="1" si="260"/>
        <v>9.5240128617675151E-3</v>
      </c>
      <c r="R465" s="11">
        <f t="shared" ca="1" si="261"/>
        <v>2.9264314910633691E-4</v>
      </c>
      <c r="S465" s="11">
        <f t="shared" ca="1" si="262"/>
        <v>5.6145302330368279E-5</v>
      </c>
      <c r="T465" s="11">
        <f t="shared" ca="1" si="263"/>
        <v>0.18753752695168771</v>
      </c>
      <c r="U465" s="11">
        <f t="shared" ca="1" si="264"/>
        <v>2.0702387986840958E-5</v>
      </c>
      <c r="V465" s="11">
        <f t="shared" ca="1" si="265"/>
        <v>0.13550747854033424</v>
      </c>
      <c r="W465" s="11">
        <f t="shared" ca="1" si="266"/>
        <v>1.6304308951440349</v>
      </c>
      <c r="X465" s="11"/>
      <c r="Y465" s="2">
        <f t="shared" ca="1" si="267"/>
        <v>1.7667928035927072E-5</v>
      </c>
      <c r="Z465" s="11">
        <f t="shared" ca="1" si="268"/>
        <v>2.0702387986840958E-5</v>
      </c>
      <c r="AA465" s="2">
        <f t="shared" ca="1" si="269"/>
        <v>9.5238544730076573E-3</v>
      </c>
      <c r="AB465" s="2">
        <f t="shared" ca="1" si="270"/>
        <v>2.8880942116888677E-4</v>
      </c>
      <c r="AC465" s="2">
        <f t="shared" ca="1" si="271"/>
        <v>5.6145302330368279E-5</v>
      </c>
      <c r="AD465" s="2">
        <f t="shared" ca="1" si="272"/>
        <v>0.18750964693020833</v>
      </c>
      <c r="AE465" s="2">
        <f t="shared" ca="1" si="273"/>
        <v>2.0702387986840958E-5</v>
      </c>
      <c r="AF465" s="2">
        <f t="shared" ca="1" si="274"/>
        <v>0.13546630646213276</v>
      </c>
      <c r="AG465" s="2">
        <f t="shared" ca="1" si="275"/>
        <v>1.6304141884724899</v>
      </c>
      <c r="AI465" s="2">
        <f t="shared" ca="1" si="276"/>
        <v>1.7667928035927072E-5</v>
      </c>
      <c r="AJ465" s="11">
        <f t="shared" ca="1" si="277"/>
        <v>2.0702387986840958E-5</v>
      </c>
      <c r="AK465" s="2">
        <f t="shared" ca="1" si="278"/>
        <v>9.4994294856734687E-3</v>
      </c>
      <c r="AL465" s="2">
        <f t="shared" ca="1" si="279"/>
        <v>2.7737750685628902E-4</v>
      </c>
      <c r="AM465" s="2">
        <f t="shared" ca="1" si="280"/>
        <v>5.6145302330368279E-5</v>
      </c>
      <c r="AN465" s="2">
        <f t="shared" ca="1" si="281"/>
        <v>0.18750964693020833</v>
      </c>
      <c r="AO465" s="2">
        <f t="shared" ca="1" si="282"/>
        <v>2.0702387986840958E-5</v>
      </c>
      <c r="AP465" s="2">
        <f t="shared" ca="1" si="283"/>
        <v>0.13546630646213276</v>
      </c>
      <c r="AQ465" s="2">
        <f t="shared" ca="1" si="284"/>
        <v>1.6304141884724899</v>
      </c>
      <c r="AS465" s="2">
        <f t="shared" ca="1" si="285"/>
        <v>8.6938914128053781</v>
      </c>
      <c r="AT465" s="2">
        <f t="shared" ca="1" si="286"/>
        <v>0.40052179318253078</v>
      </c>
      <c r="AU465" s="2">
        <f t="shared" ca="1" si="287"/>
        <v>1.1720995884265279E-4</v>
      </c>
      <c r="AV465" s="2">
        <f t="shared" ca="1" si="288"/>
        <v>0.13539026858149159</v>
      </c>
      <c r="AW465" s="2">
        <f t="shared" ca="1" si="289"/>
        <v>0.70848670999299113</v>
      </c>
      <c r="AX465" s="2">
        <f t="shared" ca="1" si="290"/>
        <v>5.2762751543453036E-2</v>
      </c>
      <c r="AY465" s="9">
        <f t="shared" ca="1" si="291"/>
        <v>0.70848670999299113</v>
      </c>
      <c r="AZ465" s="9">
        <f t="shared" ca="1" si="292"/>
        <v>0.70848670999299113</v>
      </c>
      <c r="BB465" s="2">
        <f t="shared" ca="1" si="293"/>
        <v>8.6950949733233465</v>
      </c>
      <c r="BC465" s="2">
        <f t="shared" ca="1" si="294"/>
        <v>0.40057791296960354</v>
      </c>
      <c r="BD465" s="2">
        <f t="shared" ca="1" si="295"/>
        <v>1.1111130280120416E-4</v>
      </c>
      <c r="BE465" s="2">
        <f t="shared" ca="1" si="296"/>
        <v>0.13535519515933156</v>
      </c>
      <c r="BF465" s="2">
        <f t="shared" ca="1" si="297"/>
        <v>0.708359105731595</v>
      </c>
      <c r="BG465" s="2">
        <f t="shared" ca="1" si="298"/>
        <v>5.2641841184464799E-2</v>
      </c>
      <c r="BH465" s="2">
        <f t="shared" ca="1" si="299"/>
        <v>0.708359105731595</v>
      </c>
      <c r="BI465" s="2">
        <f t="shared" ca="1" si="300"/>
        <v>0.708359105731595</v>
      </c>
    </row>
    <row r="466" spans="1:61" ht="15" x14ac:dyDescent="0.25">
      <c r="A466" s="66">
        <v>400</v>
      </c>
      <c r="B466" s="66">
        <v>1498730330.2249999</v>
      </c>
      <c r="C466" s="67">
        <v>-2.2914267752286002E-5</v>
      </c>
      <c r="D466" s="67">
        <v>6.4657566873515001E-6</v>
      </c>
      <c r="E466" s="67">
        <v>1.09386302544042E-2</v>
      </c>
      <c r="F466" s="67">
        <v>4.4448602440435198E-4</v>
      </c>
      <c r="G466" s="67">
        <v>1.12263812623827E-4</v>
      </c>
      <c r="H466" s="67">
        <v>0.19973126949492501</v>
      </c>
      <c r="I466" s="67">
        <v>6.4657566873515001E-6</v>
      </c>
      <c r="J466" s="67">
        <v>0.14414695950253201</v>
      </c>
      <c r="K466" s="67">
        <v>1.7318358430049501</v>
      </c>
      <c r="L466" s="67"/>
      <c r="M466" s="67"/>
      <c r="O466" s="11">
        <f t="shared" ca="1" si="258"/>
        <v>-3.5718198462246026E-5</v>
      </c>
      <c r="P466" s="11">
        <f t="shared" ca="1" si="259"/>
        <v>5.7006564570467598E-6</v>
      </c>
      <c r="Q466" s="11">
        <f t="shared" ca="1" si="260"/>
        <v>1.0102138642135916E-2</v>
      </c>
      <c r="R466" s="11">
        <f t="shared" ca="1" si="261"/>
        <v>4.3283953675800487E-4</v>
      </c>
      <c r="S466" s="11">
        <f t="shared" ca="1" si="262"/>
        <v>1.0133616057685687E-4</v>
      </c>
      <c r="T466" s="11">
        <f t="shared" ca="1" si="263"/>
        <v>0.19859271445634272</v>
      </c>
      <c r="U466" s="11">
        <f t="shared" ca="1" si="264"/>
        <v>5.7006564570467598E-6</v>
      </c>
      <c r="V466" s="11">
        <f t="shared" ca="1" si="265"/>
        <v>0.14349676349683824</v>
      </c>
      <c r="W466" s="11">
        <f t="shared" ca="1" si="266"/>
        <v>1.724712994741445</v>
      </c>
      <c r="X466" s="11"/>
      <c r="Y466" s="2">
        <f t="shared" ca="1" si="267"/>
        <v>-3.5718198462246026E-5</v>
      </c>
      <c r="Z466" s="11">
        <f t="shared" ca="1" si="268"/>
        <v>5.7006564570467598E-6</v>
      </c>
      <c r="AA466" s="2">
        <f t="shared" ca="1" si="269"/>
        <v>1.0102095027848174E-2</v>
      </c>
      <c r="AB466" s="2">
        <f t="shared" ca="1" si="270"/>
        <v>4.3178387274788788E-4</v>
      </c>
      <c r="AC466" s="2">
        <f t="shared" ca="1" si="271"/>
        <v>1.0133616057685687E-4</v>
      </c>
      <c r="AD466" s="2">
        <f t="shared" ca="1" si="272"/>
        <v>0.19858503735046631</v>
      </c>
      <c r="AE466" s="2">
        <f t="shared" ca="1" si="273"/>
        <v>5.7006564570467598E-6</v>
      </c>
      <c r="AF466" s="2">
        <f t="shared" ca="1" si="274"/>
        <v>0.14348542626010988</v>
      </c>
      <c r="AG466" s="2">
        <f t="shared" ca="1" si="275"/>
        <v>1.7247083943545196</v>
      </c>
      <c r="AI466" s="2">
        <f t="shared" ca="1" si="276"/>
        <v>-3.5718198462246026E-5</v>
      </c>
      <c r="AJ466" s="11">
        <f t="shared" ca="1" si="277"/>
        <v>5.7006564570467598E-6</v>
      </c>
      <c r="AK466" s="2">
        <f t="shared" ca="1" si="278"/>
        <v>1.0095369308001341E-2</v>
      </c>
      <c r="AL466" s="2">
        <f t="shared" ca="1" si="279"/>
        <v>4.2863595492391806E-4</v>
      </c>
      <c r="AM466" s="2">
        <f t="shared" ca="1" si="280"/>
        <v>1.0133616057685687E-4</v>
      </c>
      <c r="AN466" s="2">
        <f t="shared" ca="1" si="281"/>
        <v>0.19858503735046631</v>
      </c>
      <c r="AO466" s="2">
        <f t="shared" ca="1" si="282"/>
        <v>5.7006564570467598E-6</v>
      </c>
      <c r="AP466" s="2">
        <f t="shared" ca="1" si="283"/>
        <v>0.14348542626010988</v>
      </c>
      <c r="AQ466" s="2">
        <f t="shared" ca="1" si="284"/>
        <v>1.7247083943545196</v>
      </c>
      <c r="AS466" s="2">
        <f t="shared" ca="1" si="285"/>
        <v>8.6846740549517705</v>
      </c>
      <c r="AT466" s="2">
        <f t="shared" ca="1" si="286"/>
        <v>0.40009200806484219</v>
      </c>
      <c r="AU466" s="2">
        <f t="shared" ca="1" si="287"/>
        <v>1.7317563943136625E-4</v>
      </c>
      <c r="AV466" s="2">
        <f t="shared" ca="1" si="288"/>
        <v>0.14332358785740687</v>
      </c>
      <c r="AW466" s="2">
        <f t="shared" ca="1" si="289"/>
        <v>0.70862880469186207</v>
      </c>
      <c r="AX466" s="2">
        <f t="shared" ca="1" si="290"/>
        <v>5.279274698825312E-2</v>
      </c>
      <c r="AY466" s="9">
        <f t="shared" ca="1" si="291"/>
        <v>0.70862880469186207</v>
      </c>
      <c r="AZ466" s="9">
        <f t="shared" ca="1" si="292"/>
        <v>0.70862880469186207</v>
      </c>
      <c r="BB466" s="2">
        <f t="shared" ca="1" si="293"/>
        <v>8.6849866302400436</v>
      </c>
      <c r="BC466" s="2">
        <f t="shared" ca="1" si="294"/>
        <v>0.4001065826722468</v>
      </c>
      <c r="BD466" s="2">
        <f t="shared" ca="1" si="295"/>
        <v>1.7150006713506408E-4</v>
      </c>
      <c r="BE466" s="2">
        <f t="shared" ca="1" si="296"/>
        <v>0.14331392619297481</v>
      </c>
      <c r="BF466" s="2">
        <f t="shared" ca="1" si="297"/>
        <v>0.70859558471839668</v>
      </c>
      <c r="BG466" s="2">
        <f t="shared" ca="1" si="298"/>
        <v>5.276135373347441E-2</v>
      </c>
      <c r="BH466" s="2">
        <f t="shared" ca="1" si="299"/>
        <v>0.70859558471839668</v>
      </c>
      <c r="BI466" s="2">
        <f t="shared" ca="1" si="300"/>
        <v>0.70859558471839668</v>
      </c>
    </row>
    <row r="467" spans="1:61" ht="15" x14ac:dyDescent="0.25">
      <c r="A467" s="66">
        <v>401</v>
      </c>
      <c r="B467" s="66">
        <v>1498730330.7509999</v>
      </c>
      <c r="C467" s="67">
        <v>-1.26607428537917E-4</v>
      </c>
      <c r="D467" s="67">
        <v>-4.0931566446500299E-6</v>
      </c>
      <c r="E467" s="67">
        <v>1.0483566355244099E-2</v>
      </c>
      <c r="F467" s="67">
        <v>4.4472406556534701E-4</v>
      </c>
      <c r="G467" s="67">
        <v>-1.04438427032603E-4</v>
      </c>
      <c r="H467" s="67">
        <v>0.18996180123838499</v>
      </c>
      <c r="I467" s="67">
        <v>-4.0931566446500299E-6</v>
      </c>
      <c r="J467" s="67">
        <v>0.13723513097694801</v>
      </c>
      <c r="K467" s="67">
        <v>1.6512296229706001</v>
      </c>
      <c r="L467" s="67"/>
      <c r="M467" s="67"/>
      <c r="O467" s="11">
        <f t="shared" ca="1" si="258"/>
        <v>-1.3941135924787704E-4</v>
      </c>
      <c r="P467" s="11">
        <f t="shared" ca="1" si="259"/>
        <v>-4.8582568749547702E-6</v>
      </c>
      <c r="Q467" s="11">
        <f t="shared" ca="1" si="260"/>
        <v>9.6470747429758148E-3</v>
      </c>
      <c r="R467" s="11">
        <f t="shared" ca="1" si="261"/>
        <v>4.330775779189999E-4</v>
      </c>
      <c r="S467" s="11">
        <f t="shared" ca="1" si="262"/>
        <v>-1.1536607907957312E-4</v>
      </c>
      <c r="T467" s="11">
        <f t="shared" ca="1" si="263"/>
        <v>0.1888232461998027</v>
      </c>
      <c r="U467" s="11">
        <f t="shared" ca="1" si="264"/>
        <v>-4.8582568749547702E-6</v>
      </c>
      <c r="V467" s="11">
        <f t="shared" ca="1" si="265"/>
        <v>0.13658493497125423</v>
      </c>
      <c r="W467" s="11">
        <f t="shared" ca="1" si="266"/>
        <v>1.644106774707095</v>
      </c>
      <c r="X467" s="11"/>
      <c r="Y467" s="2">
        <f t="shared" ca="1" si="267"/>
        <v>-1.3941135924787704E-4</v>
      </c>
      <c r="Z467" s="11">
        <f t="shared" ca="1" si="268"/>
        <v>-4.8582568749547702E-6</v>
      </c>
      <c r="AA467" s="2">
        <f t="shared" ca="1" si="269"/>
        <v>9.6470747429758148E-3</v>
      </c>
      <c r="AB467" s="2">
        <f t="shared" ca="1" si="270"/>
        <v>4.330775779189999E-4</v>
      </c>
      <c r="AC467" s="2">
        <f t="shared" ca="1" si="271"/>
        <v>-1.1536607907957312E-4</v>
      </c>
      <c r="AD467" s="2">
        <f t="shared" ca="1" si="272"/>
        <v>0.1888232461998027</v>
      </c>
      <c r="AE467" s="2">
        <f t="shared" ca="1" si="273"/>
        <v>-4.8582568749547702E-6</v>
      </c>
      <c r="AF467" s="2">
        <f t="shared" ca="1" si="274"/>
        <v>0.13658493497125423</v>
      </c>
      <c r="AG467" s="2">
        <f t="shared" ca="1" si="275"/>
        <v>1.644106774707095</v>
      </c>
      <c r="AI467" s="2">
        <f t="shared" ca="1" si="276"/>
        <v>-1.3941135924787704E-4</v>
      </c>
      <c r="AJ467" s="11">
        <f t="shared" ca="1" si="277"/>
        <v>-4.8582568749547702E-6</v>
      </c>
      <c r="AK467" s="2">
        <f t="shared" ca="1" si="278"/>
        <v>9.6470747429758148E-3</v>
      </c>
      <c r="AL467" s="2">
        <f t="shared" ca="1" si="279"/>
        <v>4.330775779189999E-4</v>
      </c>
      <c r="AM467" s="2">
        <f t="shared" ca="1" si="280"/>
        <v>-1.1536607907957312E-4</v>
      </c>
      <c r="AN467" s="2">
        <f t="shared" ca="1" si="281"/>
        <v>0.1888232461998027</v>
      </c>
      <c r="AO467" s="2">
        <f t="shared" ca="1" si="282"/>
        <v>-4.8582568749547702E-6</v>
      </c>
      <c r="AP467" s="2">
        <f t="shared" ca="1" si="283"/>
        <v>0.13658493497125423</v>
      </c>
      <c r="AQ467" s="2">
        <f t="shared" ca="1" si="284"/>
        <v>1.644106774707095</v>
      </c>
      <c r="AS467" s="2">
        <f t="shared" ca="1" si="285"/>
        <v>8.7071205892064203</v>
      </c>
      <c r="AT467" s="2">
        <f t="shared" ca="1" si="286"/>
        <v>0.4011386502296066</v>
      </c>
      <c r="AU467" s="2">
        <f t="shared" ca="1" si="287"/>
        <v>1.737241550511349E-4</v>
      </c>
      <c r="AV467" s="2">
        <f t="shared" ca="1" si="288"/>
        <v>0.13641121081620311</v>
      </c>
      <c r="AW467" s="2">
        <f t="shared" ca="1" si="289"/>
        <v>0.70842601397584848</v>
      </c>
      <c r="AX467" s="2">
        <f t="shared" ca="1" si="290"/>
        <v>5.3163251145422252E-2</v>
      </c>
      <c r="AY467" s="9">
        <f t="shared" ca="1" si="291"/>
        <v>0.70842601397584848</v>
      </c>
      <c r="AZ467" s="9">
        <f t="shared" ca="1" si="292"/>
        <v>0.70842601397584848</v>
      </c>
      <c r="BB467" s="2">
        <f t="shared" ca="1" si="293"/>
        <v>8.7071205892064203</v>
      </c>
      <c r="BC467" s="2">
        <f t="shared" ca="1" si="294"/>
        <v>0.4011386502296066</v>
      </c>
      <c r="BD467" s="2">
        <f t="shared" ca="1" si="295"/>
        <v>1.737241550511349E-4</v>
      </c>
      <c r="BE467" s="2">
        <f t="shared" ca="1" si="296"/>
        <v>0.13641121081620311</v>
      </c>
      <c r="BF467" s="2">
        <f t="shared" ca="1" si="297"/>
        <v>0.70842601397584848</v>
      </c>
      <c r="BG467" s="2">
        <f t="shared" ca="1" si="298"/>
        <v>5.3163251145422252E-2</v>
      </c>
      <c r="BH467" s="2">
        <f t="shared" ca="1" si="299"/>
        <v>0.70842601397584848</v>
      </c>
      <c r="BI467" s="2">
        <f t="shared" ca="1" si="300"/>
        <v>0.70842601397584848</v>
      </c>
    </row>
    <row r="468" spans="1:61" ht="15" x14ac:dyDescent="0.25">
      <c r="A468" s="66">
        <v>402</v>
      </c>
      <c r="B468" s="66">
        <v>1498730331.2780001</v>
      </c>
      <c r="C468" s="67">
        <v>-3.85043645366924E-5</v>
      </c>
      <c r="D468" s="67">
        <v>1.4167149608592E-5</v>
      </c>
      <c r="E468" s="67">
        <v>1.0590745959462199E-2</v>
      </c>
      <c r="F468" s="67">
        <v>3.4498978663782798E-4</v>
      </c>
      <c r="G468" s="67">
        <v>8.4129017604529698E-5</v>
      </c>
      <c r="H468" s="67">
        <v>0.192067284047235</v>
      </c>
      <c r="I468" s="67">
        <v>1.4167149608592E-5</v>
      </c>
      <c r="J468" s="67">
        <v>0.138753719064939</v>
      </c>
      <c r="K468" s="67">
        <v>1.66581230744196</v>
      </c>
      <c r="L468" s="67"/>
      <c r="M468" s="67"/>
      <c r="O468" s="11">
        <f t="shared" ca="1" si="258"/>
        <v>-5.1308295246652428E-5</v>
      </c>
      <c r="P468" s="11">
        <f t="shared" ca="1" si="259"/>
        <v>1.3402049378287259E-5</v>
      </c>
      <c r="Q468" s="11">
        <f t="shared" ca="1" si="260"/>
        <v>9.7542543471939146E-3</v>
      </c>
      <c r="R468" s="11">
        <f t="shared" ca="1" si="261"/>
        <v>3.3334329899148088E-4</v>
      </c>
      <c r="S468" s="11">
        <f t="shared" ca="1" si="262"/>
        <v>7.3201365557559571E-5</v>
      </c>
      <c r="T468" s="11">
        <f t="shared" ca="1" si="263"/>
        <v>0.19092872900865271</v>
      </c>
      <c r="U468" s="11">
        <f t="shared" ca="1" si="264"/>
        <v>1.3402049378287259E-5</v>
      </c>
      <c r="V468" s="11">
        <f t="shared" ca="1" si="265"/>
        <v>0.13810352305924523</v>
      </c>
      <c r="W468" s="11">
        <f t="shared" ca="1" si="266"/>
        <v>1.6586894591784549</v>
      </c>
      <c r="X468" s="11"/>
      <c r="Y468" s="2">
        <f t="shared" ca="1" si="267"/>
        <v>-5.1308295246652428E-5</v>
      </c>
      <c r="Z468" s="11">
        <f t="shared" ca="1" si="268"/>
        <v>1.3402049378287259E-5</v>
      </c>
      <c r="AA468" s="2">
        <f t="shared" ca="1" si="269"/>
        <v>9.7541518114873122E-3</v>
      </c>
      <c r="AB468" s="2">
        <f t="shared" ca="1" si="270"/>
        <v>3.308614688203294E-4</v>
      </c>
      <c r="AC468" s="2">
        <f t="shared" ca="1" si="271"/>
        <v>7.3201365557559571E-5</v>
      </c>
      <c r="AD468" s="2">
        <f t="shared" ca="1" si="272"/>
        <v>0.19091068039393386</v>
      </c>
      <c r="AE468" s="2">
        <f t="shared" ca="1" si="273"/>
        <v>1.3402049378287259E-5</v>
      </c>
      <c r="AF468" s="2">
        <f t="shared" ca="1" si="274"/>
        <v>0.13807686960142124</v>
      </c>
      <c r="AG468" s="2">
        <f t="shared" ca="1" si="275"/>
        <v>1.6586786438253114</v>
      </c>
      <c r="AI468" s="2">
        <f t="shared" ca="1" si="276"/>
        <v>-5.1308295246652428E-5</v>
      </c>
      <c r="AJ468" s="11">
        <f t="shared" ca="1" si="277"/>
        <v>1.3402049378287259E-5</v>
      </c>
      <c r="AK468" s="2">
        <f t="shared" ca="1" si="278"/>
        <v>9.738339872955153E-3</v>
      </c>
      <c r="AL468" s="2">
        <f t="shared" ca="1" si="279"/>
        <v>3.2346082111711904E-4</v>
      </c>
      <c r="AM468" s="2">
        <f t="shared" ca="1" si="280"/>
        <v>7.3201365557559571E-5</v>
      </c>
      <c r="AN468" s="2">
        <f t="shared" ca="1" si="281"/>
        <v>0.19091068039393386</v>
      </c>
      <c r="AO468" s="2">
        <f t="shared" ca="1" si="282"/>
        <v>1.3402049378287259E-5</v>
      </c>
      <c r="AP468" s="2">
        <f t="shared" ca="1" si="283"/>
        <v>0.13807686960142124</v>
      </c>
      <c r="AQ468" s="2">
        <f t="shared" ca="1" si="284"/>
        <v>1.6586786438253114</v>
      </c>
      <c r="AS468" s="2">
        <f t="shared" ca="1" si="285"/>
        <v>8.6874797092651495</v>
      </c>
      <c r="AT468" s="2">
        <f t="shared" ca="1" si="286"/>
        <v>0.40022282896733613</v>
      </c>
      <c r="AU468" s="2">
        <f t="shared" ca="1" si="287"/>
        <v>1.3341159813967505E-4</v>
      </c>
      <c r="AV468" s="2">
        <f t="shared" ca="1" si="288"/>
        <v>0.13797011146110555</v>
      </c>
      <c r="AW468" s="2">
        <f t="shared" ca="1" si="289"/>
        <v>0.7094267040412362</v>
      </c>
      <c r="AX468" s="2">
        <f t="shared" ca="1" si="290"/>
        <v>5.303842066490342E-2</v>
      </c>
      <c r="AY468" s="9">
        <f t="shared" ca="1" si="291"/>
        <v>0.7094267040412362</v>
      </c>
      <c r="AZ468" s="9">
        <f t="shared" ca="1" si="292"/>
        <v>0.7094267040412362</v>
      </c>
      <c r="BB468" s="2">
        <f t="shared" ca="1" si="293"/>
        <v>8.6882443685325406</v>
      </c>
      <c r="BC468" s="2">
        <f t="shared" ca="1" si="294"/>
        <v>0.40025848327596436</v>
      </c>
      <c r="BD468" s="2">
        <f t="shared" ca="1" si="295"/>
        <v>1.2946793765953609E-4</v>
      </c>
      <c r="BE468" s="2">
        <f t="shared" ca="1" si="296"/>
        <v>0.13794740166376171</v>
      </c>
      <c r="BF468" s="2">
        <f t="shared" ca="1" si="297"/>
        <v>0.70934554925094928</v>
      </c>
      <c r="BG468" s="2">
        <f t="shared" ca="1" si="298"/>
        <v>5.296166187844123E-2</v>
      </c>
      <c r="BH468" s="2">
        <f t="shared" ca="1" si="299"/>
        <v>0.70934554925094928</v>
      </c>
      <c r="BI468" s="2">
        <f t="shared" ca="1" si="300"/>
        <v>0.70934554925094928</v>
      </c>
    </row>
    <row r="469" spans="1:61" ht="15" x14ac:dyDescent="0.25">
      <c r="A469" s="66">
        <v>403</v>
      </c>
      <c r="B469" s="66">
        <v>1498730331.8050001</v>
      </c>
      <c r="C469" s="67">
        <v>5.0551455016140601E-5</v>
      </c>
      <c r="D469" s="67">
        <v>8.3412040442013799E-5</v>
      </c>
      <c r="E469" s="67">
        <v>1.1215473953002699E-2</v>
      </c>
      <c r="F469" s="67">
        <v>3.9283243423672001E-4</v>
      </c>
      <c r="G469" s="67">
        <v>1.6938272723361801E-4</v>
      </c>
      <c r="H469" s="67">
        <v>0.204118528124759</v>
      </c>
      <c r="I469" s="67">
        <v>8.3412040442013799E-5</v>
      </c>
      <c r="J469" s="67">
        <v>0.14727907479806401</v>
      </c>
      <c r="K469" s="67">
        <v>1.7691587229805299</v>
      </c>
      <c r="L469" s="67"/>
      <c r="M469" s="67"/>
      <c r="O469" s="11">
        <f t="shared" ca="1" si="258"/>
        <v>3.7747524306180574E-5</v>
      </c>
      <c r="P469" s="11">
        <f t="shared" ca="1" si="259"/>
        <v>8.2646940211709061E-5</v>
      </c>
      <c r="Q469" s="11">
        <f t="shared" ca="1" si="260"/>
        <v>1.0378982340734415E-2</v>
      </c>
      <c r="R469" s="11">
        <f t="shared" ca="1" si="261"/>
        <v>3.811859465903729E-4</v>
      </c>
      <c r="S469" s="11">
        <f t="shared" ca="1" si="262"/>
        <v>1.584550751866479E-4</v>
      </c>
      <c r="T469" s="11">
        <f t="shared" ca="1" si="263"/>
        <v>0.20297997308617671</v>
      </c>
      <c r="U469" s="11">
        <f t="shared" ca="1" si="264"/>
        <v>8.2646940211709061E-5</v>
      </c>
      <c r="V469" s="11">
        <f t="shared" ca="1" si="265"/>
        <v>0.14662887879237024</v>
      </c>
      <c r="W469" s="11">
        <f t="shared" ca="1" si="266"/>
        <v>1.7620358747170248</v>
      </c>
      <c r="X469" s="11"/>
      <c r="Y469" s="2">
        <f t="shared" ca="1" si="267"/>
        <v>3.7747524306180574E-5</v>
      </c>
      <c r="Z469" s="11">
        <f t="shared" ca="1" si="268"/>
        <v>8.2646940211709061E-5</v>
      </c>
      <c r="AA469" s="2">
        <f t="shared" ca="1" si="269"/>
        <v>1.0378350029796448E-2</v>
      </c>
      <c r="AB469" s="2">
        <f t="shared" ca="1" si="270"/>
        <v>3.6588114775094443E-4</v>
      </c>
      <c r="AC469" s="2">
        <f t="shared" ca="1" si="271"/>
        <v>1.584550751866479E-4</v>
      </c>
      <c r="AD469" s="2">
        <f t="shared" ca="1" si="272"/>
        <v>0.20286867199039138</v>
      </c>
      <c r="AE469" s="2">
        <f t="shared" ca="1" si="273"/>
        <v>8.2646940211709061E-5</v>
      </c>
      <c r="AF469" s="2">
        <f t="shared" ca="1" si="274"/>
        <v>0.14646451387525666</v>
      </c>
      <c r="AG469" s="2">
        <f t="shared" ca="1" si="275"/>
        <v>1.7619691792572936</v>
      </c>
      <c r="AI469" s="2">
        <f t="shared" ca="1" si="276"/>
        <v>3.7747524306180574E-5</v>
      </c>
      <c r="AJ469" s="11">
        <f t="shared" ca="1" si="277"/>
        <v>8.2646940211709061E-5</v>
      </c>
      <c r="AK469" s="2">
        <f t="shared" ca="1" si="278"/>
        <v>1.0280841932220286E-2</v>
      </c>
      <c r="AL469" s="2">
        <f t="shared" ca="1" si="279"/>
        <v>3.2024328513822559E-4</v>
      </c>
      <c r="AM469" s="2">
        <f t="shared" ca="1" si="280"/>
        <v>1.584550751866479E-4</v>
      </c>
      <c r="AN469" s="2">
        <f t="shared" ca="1" si="281"/>
        <v>0.20286867199039138</v>
      </c>
      <c r="AO469" s="2">
        <f t="shared" ca="1" si="282"/>
        <v>8.2646940211709061E-5</v>
      </c>
      <c r="AP469" s="2">
        <f t="shared" ca="1" si="283"/>
        <v>0.14646451387525666</v>
      </c>
      <c r="AQ469" s="2">
        <f t="shared" ca="1" si="284"/>
        <v>1.7619691792572936</v>
      </c>
      <c r="AS469" s="2">
        <f t="shared" ca="1" si="285"/>
        <v>8.6808360841044099</v>
      </c>
      <c r="AT469" s="2">
        <f t="shared" ca="1" si="286"/>
        <v>0.39991305355920076</v>
      </c>
      <c r="AU469" s="2">
        <f t="shared" ca="1" si="287"/>
        <v>1.5244123587481045E-4</v>
      </c>
      <c r="AV469" s="2">
        <f t="shared" ca="1" si="288"/>
        <v>0.14647643755649542</v>
      </c>
      <c r="AW469" s="2">
        <f t="shared" ca="1" si="289"/>
        <v>0.7087216412556262</v>
      </c>
      <c r="AX469" s="2">
        <f t="shared" ca="1" si="290"/>
        <v>5.3043161259282275E-2</v>
      </c>
      <c r="AY469" s="9">
        <f t="shared" ca="1" si="291"/>
        <v>0.7087216412556262</v>
      </c>
      <c r="AZ469" s="9">
        <f t="shared" ca="1" si="292"/>
        <v>0.7087216412556262</v>
      </c>
      <c r="BB469" s="2">
        <f t="shared" ca="1" si="293"/>
        <v>8.6852699432110789</v>
      </c>
      <c r="BC469" s="2">
        <f t="shared" ca="1" si="294"/>
        <v>0.40011979285615601</v>
      </c>
      <c r="BD469" s="2">
        <f t="shared" ca="1" si="295"/>
        <v>1.2813567691308172E-4</v>
      </c>
      <c r="BE469" s="2">
        <f t="shared" ca="1" si="296"/>
        <v>0.14633637819834358</v>
      </c>
      <c r="BF469" s="2">
        <f t="shared" ca="1" si="297"/>
        <v>0.70825027582377575</v>
      </c>
      <c r="BG469" s="2">
        <f t="shared" ca="1" si="298"/>
        <v>5.2597903501405419E-2</v>
      </c>
      <c r="BH469" s="2">
        <f t="shared" ca="1" si="299"/>
        <v>0.70825027582377575</v>
      </c>
      <c r="BI469" s="2">
        <f t="shared" ca="1" si="300"/>
        <v>0.70825027582377575</v>
      </c>
    </row>
    <row r="470" spans="1:61" ht="15" x14ac:dyDescent="0.25">
      <c r="A470" s="66">
        <v>404</v>
      </c>
      <c r="B470" s="66">
        <v>1498730332.332</v>
      </c>
      <c r="C470" s="67">
        <v>-1.0630988654435899E-5</v>
      </c>
      <c r="D470" s="67">
        <v>-9.4784781932927193E-6</v>
      </c>
      <c r="E470" s="67">
        <v>1.12378460432212E-2</v>
      </c>
      <c r="F470" s="67">
        <v>4.4377190126191902E-4</v>
      </c>
      <c r="G470" s="67">
        <v>4.8088586024408698E-5</v>
      </c>
      <c r="H470" s="67">
        <v>0.20384273489488</v>
      </c>
      <c r="I470" s="67">
        <v>-9.4784781932927193E-6</v>
      </c>
      <c r="J470" s="67">
        <v>0.147202770445618</v>
      </c>
      <c r="K470" s="67">
        <v>1.77001253423768</v>
      </c>
      <c r="L470" s="67"/>
      <c r="M470" s="67"/>
      <c r="O470" s="11">
        <f t="shared" ca="1" si="258"/>
        <v>-2.3434919364395925E-5</v>
      </c>
      <c r="P470" s="11">
        <f t="shared" ca="1" si="259"/>
        <v>-1.024357842359746E-5</v>
      </c>
      <c r="Q470" s="11">
        <f t="shared" ca="1" si="260"/>
        <v>1.0401354430952916E-2</v>
      </c>
      <c r="R470" s="11">
        <f t="shared" ca="1" si="261"/>
        <v>4.3212541361557191E-4</v>
      </c>
      <c r="S470" s="11">
        <f t="shared" ca="1" si="262"/>
        <v>3.7160933977438578E-5</v>
      </c>
      <c r="T470" s="11">
        <f t="shared" ca="1" si="263"/>
        <v>0.20270417985629771</v>
      </c>
      <c r="U470" s="11">
        <f t="shared" ca="1" si="264"/>
        <v>-1.024357842359746E-5</v>
      </c>
      <c r="V470" s="11">
        <f t="shared" ca="1" si="265"/>
        <v>0.14655257443992423</v>
      </c>
      <c r="W470" s="11">
        <f t="shared" ca="1" si="266"/>
        <v>1.7628896859741749</v>
      </c>
      <c r="X470" s="11"/>
      <c r="Y470" s="2">
        <f t="shared" ca="1" si="267"/>
        <v>-2.3434919364395925E-5</v>
      </c>
      <c r="Z470" s="11">
        <f t="shared" ca="1" si="268"/>
        <v>-1.024357842359746E-5</v>
      </c>
      <c r="AA470" s="2">
        <f t="shared" ca="1" si="269"/>
        <v>1.0401354430952916E-2</v>
      </c>
      <c r="AB470" s="2">
        <f t="shared" ca="1" si="270"/>
        <v>4.3212541361557191E-4</v>
      </c>
      <c r="AC470" s="2">
        <f t="shared" ca="1" si="271"/>
        <v>3.7160933977438578E-5</v>
      </c>
      <c r="AD470" s="2">
        <f t="shared" ca="1" si="272"/>
        <v>0.20270417985629771</v>
      </c>
      <c r="AE470" s="2">
        <f t="shared" ca="1" si="273"/>
        <v>-1.024357842359746E-5</v>
      </c>
      <c r="AF470" s="2">
        <f t="shared" ca="1" si="274"/>
        <v>0.14655257443992423</v>
      </c>
      <c r="AG470" s="2">
        <f t="shared" ca="1" si="275"/>
        <v>1.7628896859741749</v>
      </c>
      <c r="AI470" s="2">
        <f t="shared" ca="1" si="276"/>
        <v>-2.3434919364395925E-5</v>
      </c>
      <c r="AJ470" s="11">
        <f t="shared" ca="1" si="277"/>
        <v>-1.024357842359746E-5</v>
      </c>
      <c r="AK470" s="2">
        <f t="shared" ca="1" si="278"/>
        <v>1.0401354430952916E-2</v>
      </c>
      <c r="AL470" s="2">
        <f t="shared" ca="1" si="279"/>
        <v>4.3212541361557191E-4</v>
      </c>
      <c r="AM470" s="2">
        <f t="shared" ca="1" si="280"/>
        <v>3.7160933977438578E-5</v>
      </c>
      <c r="AN470" s="2">
        <f t="shared" ca="1" si="281"/>
        <v>0.20270417985629771</v>
      </c>
      <c r="AO470" s="2">
        <f t="shared" ca="1" si="282"/>
        <v>-1.024357842359746E-5</v>
      </c>
      <c r="AP470" s="2">
        <f t="shared" ca="1" si="283"/>
        <v>0.14655257443992423</v>
      </c>
      <c r="AQ470" s="2">
        <f t="shared" ca="1" si="284"/>
        <v>1.7628896859741749</v>
      </c>
      <c r="AS470" s="2">
        <f t="shared" ca="1" si="285"/>
        <v>8.6968590742624716</v>
      </c>
      <c r="AT470" s="2">
        <f t="shared" ca="1" si="286"/>
        <v>0.40066016988357517</v>
      </c>
      <c r="AU470" s="2">
        <f t="shared" ca="1" si="287"/>
        <v>1.7313544163022522E-4</v>
      </c>
      <c r="AV470" s="2">
        <f t="shared" ca="1" si="288"/>
        <v>0.146379438998294</v>
      </c>
      <c r="AW470" s="2">
        <f t="shared" ca="1" si="289"/>
        <v>0.70855762175839165</v>
      </c>
      <c r="AX470" s="2">
        <f t="shared" ca="1" si="290"/>
        <v>5.3330358826858479E-2</v>
      </c>
      <c r="AY470" s="9">
        <f t="shared" ca="1" si="291"/>
        <v>0.70855762175839165</v>
      </c>
      <c r="AZ470" s="9">
        <f t="shared" ca="1" si="292"/>
        <v>0.70855762175839165</v>
      </c>
      <c r="BB470" s="2">
        <f t="shared" ca="1" si="293"/>
        <v>8.6968590742624716</v>
      </c>
      <c r="BC470" s="2">
        <f t="shared" ca="1" si="294"/>
        <v>0.40066016988357517</v>
      </c>
      <c r="BD470" s="2">
        <f t="shared" ca="1" si="295"/>
        <v>1.7313544163022522E-4</v>
      </c>
      <c r="BE470" s="2">
        <f t="shared" ca="1" si="296"/>
        <v>0.146379438998294</v>
      </c>
      <c r="BF470" s="2">
        <f t="shared" ca="1" si="297"/>
        <v>0.70855762175839165</v>
      </c>
      <c r="BG470" s="2">
        <f t="shared" ca="1" si="298"/>
        <v>5.3330358826858479E-2</v>
      </c>
      <c r="BH470" s="2">
        <f t="shared" ca="1" si="299"/>
        <v>0.70855762175839165</v>
      </c>
      <c r="BI470" s="2">
        <f t="shared" ca="1" si="300"/>
        <v>0.70855762175839165</v>
      </c>
    </row>
    <row r="471" spans="1:61" ht="15" x14ac:dyDescent="0.25">
      <c r="A471" s="66">
        <v>405</v>
      </c>
      <c r="B471" s="66">
        <v>1498730332.859</v>
      </c>
      <c r="C471" s="67">
        <v>-2.9292064228077701E-5</v>
      </c>
      <c r="D471" s="67">
        <v>4.02523826361109E-5</v>
      </c>
      <c r="E471" s="67">
        <v>1.1184201968685401E-2</v>
      </c>
      <c r="F471" s="67">
        <v>3.8688173138760201E-4</v>
      </c>
      <c r="G471" s="67">
        <v>-2.2870311294218599E-5</v>
      </c>
      <c r="H471" s="67">
        <v>0.20583422028780499</v>
      </c>
      <c r="I471" s="67">
        <v>4.02523826361109E-5</v>
      </c>
      <c r="J471" s="67">
        <v>0.14847155771913401</v>
      </c>
      <c r="K471" s="67">
        <v>1.78629019248535</v>
      </c>
      <c r="L471" s="67"/>
      <c r="M471" s="67"/>
      <c r="O471" s="11">
        <f t="shared" ca="1" si="258"/>
        <v>-4.2095994938037728E-5</v>
      </c>
      <c r="P471" s="11">
        <f t="shared" ca="1" si="259"/>
        <v>3.9487282405806161E-5</v>
      </c>
      <c r="Q471" s="11">
        <f t="shared" ca="1" si="260"/>
        <v>1.0347710356417116E-2</v>
      </c>
      <c r="R471" s="11">
        <f t="shared" ca="1" si="261"/>
        <v>3.752352437412549E-4</v>
      </c>
      <c r="S471" s="11">
        <f t="shared" ca="1" si="262"/>
        <v>-3.3797963341188723E-5</v>
      </c>
      <c r="T471" s="11">
        <f t="shared" ca="1" si="263"/>
        <v>0.2046956652492227</v>
      </c>
      <c r="U471" s="11">
        <f t="shared" ca="1" si="264"/>
        <v>3.9487282405806161E-5</v>
      </c>
      <c r="V471" s="11">
        <f t="shared" ca="1" si="265"/>
        <v>0.14782136171344024</v>
      </c>
      <c r="W471" s="11">
        <f t="shared" ca="1" si="266"/>
        <v>1.779167344221845</v>
      </c>
      <c r="X471" s="11"/>
      <c r="Y471" s="2">
        <f t="shared" ca="1" si="267"/>
        <v>-4.2095994938037728E-5</v>
      </c>
      <c r="Z471" s="11">
        <f t="shared" ca="1" si="268"/>
        <v>3.9487282405806161E-5</v>
      </c>
      <c r="AA471" s="2">
        <f t="shared" ca="1" si="269"/>
        <v>1.0347408249158072E-2</v>
      </c>
      <c r="AB471" s="2">
        <f t="shared" ca="1" si="270"/>
        <v>3.6792287485756158E-4</v>
      </c>
      <c r="AC471" s="2">
        <f t="shared" ca="1" si="271"/>
        <v>-3.3797963341188723E-5</v>
      </c>
      <c r="AD471" s="2">
        <f t="shared" ca="1" si="272"/>
        <v>0.20464248750555677</v>
      </c>
      <c r="AE471" s="2">
        <f t="shared" ca="1" si="273"/>
        <v>3.9487282405806161E-5</v>
      </c>
      <c r="AF471" s="2">
        <f t="shared" ca="1" si="274"/>
        <v>0.1477428309912738</v>
      </c>
      <c r="AG471" s="2">
        <f t="shared" ca="1" si="275"/>
        <v>1.779135478281656</v>
      </c>
      <c r="AI471" s="2">
        <f t="shared" ca="1" si="276"/>
        <v>-4.2095994938037728E-5</v>
      </c>
      <c r="AJ471" s="11">
        <f t="shared" ca="1" si="277"/>
        <v>3.9487282405806161E-5</v>
      </c>
      <c r="AK471" s="2">
        <f t="shared" ca="1" si="278"/>
        <v>1.0300820562112673E-2</v>
      </c>
      <c r="AL471" s="2">
        <f t="shared" ca="1" si="279"/>
        <v>3.4611789133645967E-4</v>
      </c>
      <c r="AM471" s="2">
        <f t="shared" ca="1" si="280"/>
        <v>-3.3797963341188723E-5</v>
      </c>
      <c r="AN471" s="2">
        <f t="shared" ca="1" si="281"/>
        <v>0.20464248750555677</v>
      </c>
      <c r="AO471" s="2">
        <f t="shared" ca="1" si="282"/>
        <v>3.9487282405806161E-5</v>
      </c>
      <c r="AP471" s="2">
        <f t="shared" ca="1" si="283"/>
        <v>0.1477428309912738</v>
      </c>
      <c r="AQ471" s="2">
        <f t="shared" ca="1" si="284"/>
        <v>1.779135478281656</v>
      </c>
      <c r="AS471" s="2">
        <f t="shared" ca="1" si="285"/>
        <v>8.6917685435871785</v>
      </c>
      <c r="AT471" s="2">
        <f t="shared" ca="1" si="286"/>
        <v>0.40042280797132845</v>
      </c>
      <c r="AU471" s="2">
        <f t="shared" ca="1" si="287"/>
        <v>1.5025274994867914E-4</v>
      </c>
      <c r="AV471" s="2">
        <f t="shared" ca="1" si="288"/>
        <v>0.14767110896349156</v>
      </c>
      <c r="AW471" s="2">
        <f t="shared" ca="1" si="289"/>
        <v>0.70806437440545322</v>
      </c>
      <c r="AX471" s="2">
        <f t="shared" ca="1" si="290"/>
        <v>5.2507669188910415E-2</v>
      </c>
      <c r="AY471" s="9">
        <f t="shared" ca="1" si="291"/>
        <v>0.70806437440545322</v>
      </c>
      <c r="AZ471" s="9">
        <f t="shared" ca="1" si="292"/>
        <v>0.70806437440545322</v>
      </c>
      <c r="BB471" s="2">
        <f t="shared" ca="1" si="293"/>
        <v>8.6938714436480158</v>
      </c>
      <c r="BC471" s="2">
        <f t="shared" ca="1" si="294"/>
        <v>0.40052086205868109</v>
      </c>
      <c r="BD471" s="2">
        <f t="shared" ca="1" si="295"/>
        <v>1.3862743621201174E-4</v>
      </c>
      <c r="BE471" s="2">
        <f t="shared" ca="1" si="296"/>
        <v>0.14760420355506179</v>
      </c>
      <c r="BF471" s="2">
        <f t="shared" ca="1" si="297"/>
        <v>0.70784124507782675</v>
      </c>
      <c r="BG471" s="2">
        <f t="shared" ca="1" si="298"/>
        <v>5.2296261322877277E-2</v>
      </c>
      <c r="BH471" s="2">
        <f t="shared" ca="1" si="299"/>
        <v>0.70784124507782675</v>
      </c>
      <c r="BI471" s="2">
        <f t="shared" ca="1" si="300"/>
        <v>0.70784124507782675</v>
      </c>
    </row>
    <row r="472" spans="1:61" ht="15" x14ac:dyDescent="0.25">
      <c r="A472" s="66">
        <v>406</v>
      </c>
      <c r="B472" s="66">
        <v>1498730333.3859999</v>
      </c>
      <c r="C472" s="67">
        <v>2.07865517045659E-5</v>
      </c>
      <c r="D472" s="67">
        <v>1.2159060078465399E-5</v>
      </c>
      <c r="E472" s="67">
        <v>1.13564504490744E-2</v>
      </c>
      <c r="F472" s="67">
        <v>3.7807475623272802E-4</v>
      </c>
      <c r="G472" s="67">
        <v>-1.7527800848619499E-5</v>
      </c>
      <c r="H472" s="67">
        <v>0.20702912377386801</v>
      </c>
      <c r="I472" s="67">
        <v>1.2159060078465399E-5</v>
      </c>
      <c r="J472" s="67">
        <v>0.149559508185859</v>
      </c>
      <c r="K472" s="67">
        <v>1.7961902532124401</v>
      </c>
      <c r="L472" s="67"/>
      <c r="M472" s="67"/>
      <c r="O472" s="11">
        <f t="shared" ca="1" si="258"/>
        <v>7.9826209946058718E-6</v>
      </c>
      <c r="P472" s="11">
        <f t="shared" ca="1" si="259"/>
        <v>1.1393959848160659E-5</v>
      </c>
      <c r="Q472" s="11">
        <f t="shared" ca="1" si="260"/>
        <v>1.0519958836806115E-2</v>
      </c>
      <c r="R472" s="11">
        <f t="shared" ca="1" si="261"/>
        <v>3.6642826858638091E-4</v>
      </c>
      <c r="S472" s="11">
        <f t="shared" ca="1" si="262"/>
        <v>-2.845545289558962E-5</v>
      </c>
      <c r="T472" s="11">
        <f t="shared" ca="1" si="263"/>
        <v>0.20589056873528572</v>
      </c>
      <c r="U472" s="11">
        <f t="shared" ca="1" si="264"/>
        <v>1.1393959848160659E-5</v>
      </c>
      <c r="V472" s="11">
        <f t="shared" ca="1" si="265"/>
        <v>0.14890931218016523</v>
      </c>
      <c r="W472" s="11">
        <f t="shared" ca="1" si="266"/>
        <v>1.789067404948935</v>
      </c>
      <c r="X472" s="11"/>
      <c r="Y472" s="2">
        <f t="shared" ca="1" si="267"/>
        <v>7.9826209946058718E-6</v>
      </c>
      <c r="Z472" s="11">
        <f t="shared" ca="1" si="268"/>
        <v>1.1393959848160659E-5</v>
      </c>
      <c r="AA472" s="2">
        <f t="shared" ca="1" si="269"/>
        <v>1.0519871664487089E-2</v>
      </c>
      <c r="AB472" s="2">
        <f t="shared" ca="1" si="270"/>
        <v>3.6431830222811133E-4</v>
      </c>
      <c r="AC472" s="2">
        <f t="shared" ca="1" si="271"/>
        <v>-2.845545289558962E-5</v>
      </c>
      <c r="AD472" s="2">
        <f t="shared" ca="1" si="272"/>
        <v>0.20587522442594788</v>
      </c>
      <c r="AE472" s="2">
        <f t="shared" ca="1" si="273"/>
        <v>1.1393959848160659E-5</v>
      </c>
      <c r="AF472" s="2">
        <f t="shared" ca="1" si="274"/>
        <v>0.14888665233019086</v>
      </c>
      <c r="AG472" s="2">
        <f t="shared" ca="1" si="275"/>
        <v>1.7890582101089532</v>
      </c>
      <c r="AI472" s="2">
        <f t="shared" ca="1" si="276"/>
        <v>7.9826209946058718E-6</v>
      </c>
      <c r="AJ472" s="11">
        <f t="shared" ca="1" si="277"/>
        <v>1.1393959848160659E-5</v>
      </c>
      <c r="AK472" s="2">
        <f t="shared" ca="1" si="278"/>
        <v>1.0506428900050713E-2</v>
      </c>
      <c r="AL472" s="2">
        <f t="shared" ca="1" si="279"/>
        <v>3.5802652696295131E-4</v>
      </c>
      <c r="AM472" s="2">
        <f t="shared" ca="1" si="280"/>
        <v>-2.845545289558962E-5</v>
      </c>
      <c r="AN472" s="2">
        <f t="shared" ca="1" si="281"/>
        <v>0.20587522442594788</v>
      </c>
      <c r="AO472" s="2">
        <f t="shared" ca="1" si="282"/>
        <v>1.1393959848160659E-5</v>
      </c>
      <c r="AP472" s="2">
        <f t="shared" ca="1" si="283"/>
        <v>0.14888665233019086</v>
      </c>
      <c r="AQ472" s="2">
        <f t="shared" ca="1" si="284"/>
        <v>1.7890582101089532</v>
      </c>
      <c r="AS472" s="2">
        <f t="shared" ca="1" si="285"/>
        <v>8.6894092135378269</v>
      </c>
      <c r="AT472" s="2">
        <f t="shared" ca="1" si="286"/>
        <v>0.40031279740125847</v>
      </c>
      <c r="AU472" s="2">
        <f t="shared" ca="1" si="287"/>
        <v>1.4668592524471382E-4</v>
      </c>
      <c r="AV472" s="2">
        <f t="shared" ca="1" si="288"/>
        <v>0.14876262625492051</v>
      </c>
      <c r="AW472" s="2">
        <f t="shared" ca="1" si="289"/>
        <v>0.70925533615405412</v>
      </c>
      <c r="AX472" s="2">
        <f t="shared" ca="1" si="290"/>
        <v>5.3057168058764675E-2</v>
      </c>
      <c r="AY472" s="9">
        <f t="shared" ca="1" si="291"/>
        <v>0.70925533615405412</v>
      </c>
      <c r="AZ472" s="9">
        <f t="shared" ca="1" si="292"/>
        <v>0.70925533615405412</v>
      </c>
      <c r="BB472" s="2">
        <f t="shared" ca="1" si="293"/>
        <v>8.6900121911097994</v>
      </c>
      <c r="BC472" s="2">
        <f t="shared" ca="1" si="294"/>
        <v>0.40034091293564483</v>
      </c>
      <c r="BD472" s="2">
        <f t="shared" ca="1" si="295"/>
        <v>1.433326666595262E-4</v>
      </c>
      <c r="BE472" s="2">
        <f t="shared" ca="1" si="296"/>
        <v>0.14874331966353133</v>
      </c>
      <c r="BF472" s="2">
        <f t="shared" ca="1" si="297"/>
        <v>0.70919136096985513</v>
      </c>
      <c r="BG472" s="2">
        <f t="shared" ca="1" si="298"/>
        <v>5.2996642308812278E-2</v>
      </c>
      <c r="BH472" s="2">
        <f t="shared" ca="1" si="299"/>
        <v>0.70919136096985513</v>
      </c>
      <c r="BI472" s="2">
        <f t="shared" ca="1" si="300"/>
        <v>0.70919136096985513</v>
      </c>
    </row>
    <row r="473" spans="1:61" ht="15" x14ac:dyDescent="0.25">
      <c r="A473" s="66">
        <v>407</v>
      </c>
      <c r="B473" s="66">
        <v>1498730333.9130001</v>
      </c>
      <c r="C473" s="67">
        <v>-2.5748849025094199E-5</v>
      </c>
      <c r="D473" s="67">
        <v>-2.6695373162450201E-5</v>
      </c>
      <c r="E473" s="67">
        <v>1.16748024776838E-2</v>
      </c>
      <c r="F473" s="67">
        <v>3.4451375190756601E-4</v>
      </c>
      <c r="G473" s="67">
        <v>-1.09079711871328E-4</v>
      </c>
      <c r="H473" s="67">
        <v>0.21351529075456299</v>
      </c>
      <c r="I473" s="67">
        <v>-2.6695373162450201E-5</v>
      </c>
      <c r="J473" s="67">
        <v>0.154185259796561</v>
      </c>
      <c r="K473" s="67">
        <v>1.8531635261410699</v>
      </c>
      <c r="L473" s="67"/>
      <c r="M473" s="67"/>
      <c r="O473" s="11">
        <f t="shared" ca="1" si="258"/>
        <v>-3.8552779735054226E-5</v>
      </c>
      <c r="P473" s="11">
        <f t="shared" ca="1" si="259"/>
        <v>-2.7460473392754943E-5</v>
      </c>
      <c r="Q473" s="11">
        <f t="shared" ca="1" si="260"/>
        <v>1.0838310865415516E-2</v>
      </c>
      <c r="R473" s="11">
        <f t="shared" ca="1" si="261"/>
        <v>3.328672642612189E-4</v>
      </c>
      <c r="S473" s="11">
        <f t="shared" ca="1" si="262"/>
        <v>-1.2000736391829813E-4</v>
      </c>
      <c r="T473" s="11">
        <f t="shared" ca="1" si="263"/>
        <v>0.2123767357159807</v>
      </c>
      <c r="U473" s="11">
        <f t="shared" ca="1" si="264"/>
        <v>-2.7460473392754943E-5</v>
      </c>
      <c r="V473" s="11">
        <f t="shared" ca="1" si="265"/>
        <v>0.15353506379086723</v>
      </c>
      <c r="W473" s="11">
        <f t="shared" ca="1" si="266"/>
        <v>1.8460406778775649</v>
      </c>
      <c r="X473" s="11"/>
      <c r="Y473" s="2">
        <f t="shared" ca="1" si="267"/>
        <v>-3.8552779735054226E-5</v>
      </c>
      <c r="Z473" s="11">
        <f t="shared" ca="1" si="268"/>
        <v>-2.7460473392754943E-5</v>
      </c>
      <c r="AA473" s="2">
        <f t="shared" ca="1" si="269"/>
        <v>1.0838310865415516E-2</v>
      </c>
      <c r="AB473" s="2">
        <f t="shared" ca="1" si="270"/>
        <v>3.328672642612189E-4</v>
      </c>
      <c r="AC473" s="2">
        <f t="shared" ca="1" si="271"/>
        <v>-1.2000736391829813E-4</v>
      </c>
      <c r="AD473" s="2">
        <f t="shared" ca="1" si="272"/>
        <v>0.2123767357159807</v>
      </c>
      <c r="AE473" s="2">
        <f t="shared" ca="1" si="273"/>
        <v>-2.7460473392754943E-5</v>
      </c>
      <c r="AF473" s="2">
        <f t="shared" ca="1" si="274"/>
        <v>0.15353506379086723</v>
      </c>
      <c r="AG473" s="2">
        <f t="shared" ca="1" si="275"/>
        <v>1.8460406778775649</v>
      </c>
      <c r="AI473" s="2">
        <f t="shared" ca="1" si="276"/>
        <v>-3.8552779735054226E-5</v>
      </c>
      <c r="AJ473" s="11">
        <f t="shared" ca="1" si="277"/>
        <v>-2.7460473392754943E-5</v>
      </c>
      <c r="AK473" s="2">
        <f t="shared" ca="1" si="278"/>
        <v>1.0838310865415516E-2</v>
      </c>
      <c r="AL473" s="2">
        <f t="shared" ca="1" si="279"/>
        <v>3.328672642612189E-4</v>
      </c>
      <c r="AM473" s="2">
        <f t="shared" ca="1" si="280"/>
        <v>-1.2000736391829813E-4</v>
      </c>
      <c r="AN473" s="2">
        <f t="shared" ca="1" si="281"/>
        <v>0.2123767357159807</v>
      </c>
      <c r="AO473" s="2">
        <f t="shared" ca="1" si="282"/>
        <v>-2.7460473392754943E-5</v>
      </c>
      <c r="AP473" s="2">
        <f t="shared" ca="1" si="283"/>
        <v>0.15353506379086723</v>
      </c>
      <c r="AQ473" s="2">
        <f t="shared" ca="1" si="284"/>
        <v>1.8460406778775649</v>
      </c>
      <c r="AS473" s="2">
        <f t="shared" ca="1" si="285"/>
        <v>8.6922923626924167</v>
      </c>
      <c r="AT473" s="2">
        <f t="shared" ca="1" si="286"/>
        <v>0.40044723259743187</v>
      </c>
      <c r="AU473" s="2">
        <f t="shared" ca="1" si="287"/>
        <v>1.3329577479568314E-4</v>
      </c>
      <c r="AV473" s="2">
        <f t="shared" ca="1" si="288"/>
        <v>0.15340176801607155</v>
      </c>
      <c r="AW473" s="2">
        <f t="shared" ca="1" si="289"/>
        <v>0.70891815231722821</v>
      </c>
      <c r="AX473" s="2">
        <f t="shared" ca="1" si="290"/>
        <v>5.3011313534339091E-2</v>
      </c>
      <c r="AY473" s="9">
        <f t="shared" ca="1" si="291"/>
        <v>0.70891815231722821</v>
      </c>
      <c r="AZ473" s="9">
        <f t="shared" ca="1" si="292"/>
        <v>0.70891815231722821</v>
      </c>
      <c r="BB473" s="2">
        <f t="shared" ca="1" si="293"/>
        <v>8.6922923626924167</v>
      </c>
      <c r="BC473" s="2">
        <f t="shared" ca="1" si="294"/>
        <v>0.40044723259743187</v>
      </c>
      <c r="BD473" s="2">
        <f t="shared" ca="1" si="295"/>
        <v>1.3329577479568314E-4</v>
      </c>
      <c r="BE473" s="2">
        <f t="shared" ca="1" si="296"/>
        <v>0.15340176801607155</v>
      </c>
      <c r="BF473" s="2">
        <f t="shared" ca="1" si="297"/>
        <v>0.70891815231722821</v>
      </c>
      <c r="BG473" s="2">
        <f t="shared" ca="1" si="298"/>
        <v>5.3011313534339091E-2</v>
      </c>
      <c r="BH473" s="2">
        <f t="shared" ca="1" si="299"/>
        <v>0.70891815231722821</v>
      </c>
      <c r="BI473" s="2">
        <f t="shared" ca="1" si="300"/>
        <v>0.70891815231722821</v>
      </c>
    </row>
    <row r="474" spans="1:61" ht="15" x14ac:dyDescent="0.25">
      <c r="A474" s="66">
        <v>408</v>
      </c>
      <c r="B474" s="66">
        <v>1498730334.4400001</v>
      </c>
      <c r="C474" s="67">
        <v>-5.8582158583203998E-5</v>
      </c>
      <c r="D474" s="67">
        <v>-5.7177768440130502E-5</v>
      </c>
      <c r="E474" s="67">
        <v>1.17819048737135E-2</v>
      </c>
      <c r="F474" s="67">
        <v>3.6664960688139099E-4</v>
      </c>
      <c r="G474" s="67">
        <v>-1.0613475945642599E-4</v>
      </c>
      <c r="H474" s="67">
        <v>0.21538635813859699</v>
      </c>
      <c r="I474" s="67">
        <v>-5.7177768440130502E-5</v>
      </c>
      <c r="J474" s="67">
        <v>0.15561464773880099</v>
      </c>
      <c r="K474" s="67">
        <v>1.8702332303503799</v>
      </c>
      <c r="L474" s="67"/>
      <c r="M474" s="67"/>
      <c r="O474" s="11">
        <f t="shared" ca="1" si="258"/>
        <v>-7.1386089293164033E-5</v>
      </c>
      <c r="P474" s="11">
        <f t="shared" ca="1" si="259"/>
        <v>-5.7942868670435241E-5</v>
      </c>
      <c r="Q474" s="11">
        <f t="shared" ca="1" si="260"/>
        <v>1.0945413261445215E-2</v>
      </c>
      <c r="R474" s="11">
        <f t="shared" ca="1" si="261"/>
        <v>3.5500311923504388E-4</v>
      </c>
      <c r="S474" s="11">
        <f t="shared" ca="1" si="262"/>
        <v>-1.1706241150339612E-4</v>
      </c>
      <c r="T474" s="11">
        <f t="shared" ca="1" si="263"/>
        <v>0.21424780310001471</v>
      </c>
      <c r="U474" s="11">
        <f t="shared" ca="1" si="264"/>
        <v>-5.7942868670435241E-5</v>
      </c>
      <c r="V474" s="11">
        <f t="shared" ca="1" si="265"/>
        <v>0.15496445173310722</v>
      </c>
      <c r="W474" s="11">
        <f t="shared" ca="1" si="266"/>
        <v>1.8631103820868748</v>
      </c>
      <c r="X474" s="11"/>
      <c r="Y474" s="2">
        <f t="shared" ca="1" si="267"/>
        <v>-7.1386089293164033E-5</v>
      </c>
      <c r="Z474" s="11">
        <f t="shared" ca="1" si="268"/>
        <v>-5.7942868670435241E-5</v>
      </c>
      <c r="AA474" s="2">
        <f t="shared" ca="1" si="269"/>
        <v>1.0945413261445215E-2</v>
      </c>
      <c r="AB474" s="2">
        <f t="shared" ca="1" si="270"/>
        <v>3.5500311923504388E-4</v>
      </c>
      <c r="AC474" s="2">
        <f t="shared" ca="1" si="271"/>
        <v>-1.1706241150339612E-4</v>
      </c>
      <c r="AD474" s="2">
        <f t="shared" ca="1" si="272"/>
        <v>0.21424780310001471</v>
      </c>
      <c r="AE474" s="2">
        <f t="shared" ca="1" si="273"/>
        <v>-5.7942868670435241E-5</v>
      </c>
      <c r="AF474" s="2">
        <f t="shared" ca="1" si="274"/>
        <v>0.15496445173310722</v>
      </c>
      <c r="AG474" s="2">
        <f t="shared" ca="1" si="275"/>
        <v>1.8631103820868748</v>
      </c>
      <c r="AI474" s="2">
        <f t="shared" ca="1" si="276"/>
        <v>-7.1386089293164033E-5</v>
      </c>
      <c r="AJ474" s="11">
        <f t="shared" ca="1" si="277"/>
        <v>-5.7942868670435241E-5</v>
      </c>
      <c r="AK474" s="2">
        <f t="shared" ca="1" si="278"/>
        <v>1.0945413261445215E-2</v>
      </c>
      <c r="AL474" s="2">
        <f t="shared" ca="1" si="279"/>
        <v>3.5500311923504388E-4</v>
      </c>
      <c r="AM474" s="2">
        <f t="shared" ca="1" si="280"/>
        <v>-1.1706241150339612E-4</v>
      </c>
      <c r="AN474" s="2">
        <f t="shared" ca="1" si="281"/>
        <v>0.21424780310001471</v>
      </c>
      <c r="AO474" s="2">
        <f t="shared" ca="1" si="282"/>
        <v>-5.7942868670435241E-5</v>
      </c>
      <c r="AP474" s="2">
        <f t="shared" ca="1" si="283"/>
        <v>0.15496445173310722</v>
      </c>
      <c r="AQ474" s="2">
        <f t="shared" ca="1" si="284"/>
        <v>1.8631103820868748</v>
      </c>
      <c r="AS474" s="2">
        <f t="shared" ca="1" si="285"/>
        <v>8.6960536123543903</v>
      </c>
      <c r="AT474" s="2">
        <f t="shared" ca="1" si="286"/>
        <v>0.4006226125909596</v>
      </c>
      <c r="AU474" s="2">
        <f t="shared" ca="1" si="287"/>
        <v>1.4222227710588322E-4</v>
      </c>
      <c r="AV474" s="2">
        <f t="shared" ca="1" si="288"/>
        <v>0.15482222945600133</v>
      </c>
      <c r="AW474" s="2">
        <f t="shared" ca="1" si="289"/>
        <v>0.70907960819142113</v>
      </c>
      <c r="AX474" s="2">
        <f t="shared" ca="1" si="290"/>
        <v>5.3091126629847246E-2</v>
      </c>
      <c r="AY474" s="9">
        <f t="shared" ca="1" si="291"/>
        <v>0.70907960819142113</v>
      </c>
      <c r="AZ474" s="9">
        <f t="shared" ca="1" si="292"/>
        <v>0.70907960819142113</v>
      </c>
      <c r="BB474" s="2">
        <f t="shared" ca="1" si="293"/>
        <v>8.6960536123543903</v>
      </c>
      <c r="BC474" s="2">
        <f t="shared" ca="1" si="294"/>
        <v>0.4006226125909596</v>
      </c>
      <c r="BD474" s="2">
        <f t="shared" ca="1" si="295"/>
        <v>1.4222227710588322E-4</v>
      </c>
      <c r="BE474" s="2">
        <f t="shared" ca="1" si="296"/>
        <v>0.15482222945600133</v>
      </c>
      <c r="BF474" s="2">
        <f t="shared" ca="1" si="297"/>
        <v>0.70907960819142113</v>
      </c>
      <c r="BG474" s="2">
        <f t="shared" ca="1" si="298"/>
        <v>5.3091126629847246E-2</v>
      </c>
      <c r="BH474" s="2">
        <f t="shared" ca="1" si="299"/>
        <v>0.70907960819142113</v>
      </c>
      <c r="BI474" s="2">
        <f t="shared" ca="1" si="300"/>
        <v>0.70907960819142113</v>
      </c>
    </row>
    <row r="475" spans="1:61" ht="15" x14ac:dyDescent="0.25">
      <c r="A475" s="66">
        <v>409</v>
      </c>
      <c r="B475" s="66">
        <v>1498730334.967</v>
      </c>
      <c r="C475" s="67">
        <v>7.2048884962913902E-5</v>
      </c>
      <c r="D475" s="67">
        <v>-5.5576151369920702E-6</v>
      </c>
      <c r="E475" s="67">
        <v>1.1576133908580999E-2</v>
      </c>
      <c r="F475" s="67">
        <v>4.0306772606796699E-4</v>
      </c>
      <c r="G475" s="67">
        <v>1.0835179605278101E-4</v>
      </c>
      <c r="H475" s="67">
        <v>0.212370417450858</v>
      </c>
      <c r="I475" s="67">
        <v>-5.5576151369920702E-6</v>
      </c>
      <c r="J475" s="67">
        <v>0.15353202680159</v>
      </c>
      <c r="K475" s="67">
        <v>1.8440292906348801</v>
      </c>
      <c r="L475" s="67"/>
      <c r="M475" s="67"/>
      <c r="O475" s="11">
        <f t="shared" ca="1" si="258"/>
        <v>5.9244954252953874E-5</v>
      </c>
      <c r="P475" s="11">
        <f t="shared" ca="1" si="259"/>
        <v>-6.3227153672968105E-6</v>
      </c>
      <c r="Q475" s="11">
        <f t="shared" ca="1" si="260"/>
        <v>1.0739642296312715E-2</v>
      </c>
      <c r="R475" s="11">
        <f t="shared" ca="1" si="261"/>
        <v>3.9142123842161988E-4</v>
      </c>
      <c r="S475" s="11">
        <f t="shared" ca="1" si="262"/>
        <v>9.7424144005810878E-5</v>
      </c>
      <c r="T475" s="11">
        <f t="shared" ca="1" si="263"/>
        <v>0.21123186241227571</v>
      </c>
      <c r="U475" s="11">
        <f t="shared" ca="1" si="264"/>
        <v>-6.3227153672968105E-6</v>
      </c>
      <c r="V475" s="11">
        <f t="shared" ca="1" si="265"/>
        <v>0.15288183079589623</v>
      </c>
      <c r="W475" s="11">
        <f t="shared" ca="1" si="266"/>
        <v>1.836906442371375</v>
      </c>
      <c r="X475" s="11"/>
      <c r="Y475" s="2">
        <f t="shared" ca="1" si="267"/>
        <v>5.9244954252953874E-5</v>
      </c>
      <c r="Z475" s="11">
        <f t="shared" ca="1" si="268"/>
        <v>-6.3227153672968105E-6</v>
      </c>
      <c r="AA475" s="2">
        <f t="shared" ca="1" si="269"/>
        <v>1.0739642296312715E-2</v>
      </c>
      <c r="AB475" s="2">
        <f t="shared" ca="1" si="270"/>
        <v>3.9142123842161988E-4</v>
      </c>
      <c r="AC475" s="2">
        <f t="shared" ca="1" si="271"/>
        <v>9.7424144005810878E-5</v>
      </c>
      <c r="AD475" s="2">
        <f t="shared" ca="1" si="272"/>
        <v>0.21123186241227571</v>
      </c>
      <c r="AE475" s="2">
        <f t="shared" ca="1" si="273"/>
        <v>-6.3227153672968105E-6</v>
      </c>
      <c r="AF475" s="2">
        <f t="shared" ca="1" si="274"/>
        <v>0.15288183079589623</v>
      </c>
      <c r="AG475" s="2">
        <f t="shared" ca="1" si="275"/>
        <v>1.836906442371375</v>
      </c>
      <c r="AI475" s="2">
        <f t="shared" ca="1" si="276"/>
        <v>5.9244954252953874E-5</v>
      </c>
      <c r="AJ475" s="11">
        <f t="shared" ca="1" si="277"/>
        <v>-6.3227153672968105E-6</v>
      </c>
      <c r="AK475" s="2">
        <f t="shared" ca="1" si="278"/>
        <v>1.0739642296312715E-2</v>
      </c>
      <c r="AL475" s="2">
        <f t="shared" ca="1" si="279"/>
        <v>3.9142123842161988E-4</v>
      </c>
      <c r="AM475" s="2">
        <f t="shared" ca="1" si="280"/>
        <v>9.7424144005810878E-5</v>
      </c>
      <c r="AN475" s="2">
        <f t="shared" ca="1" si="281"/>
        <v>0.21123186241227571</v>
      </c>
      <c r="AO475" s="2">
        <f t="shared" ca="1" si="282"/>
        <v>-6.3227153672968105E-6</v>
      </c>
      <c r="AP475" s="2">
        <f t="shared" ca="1" si="283"/>
        <v>0.15288183079589623</v>
      </c>
      <c r="AQ475" s="2">
        <f t="shared" ca="1" si="284"/>
        <v>1.836906442371375</v>
      </c>
      <c r="AS475" s="2">
        <f t="shared" ca="1" si="285"/>
        <v>8.6961617503810054</v>
      </c>
      <c r="AT475" s="2">
        <f t="shared" ca="1" si="286"/>
        <v>0.40062765487724622</v>
      </c>
      <c r="AU475" s="2">
        <f t="shared" ca="1" si="287"/>
        <v>1.5681417281800103E-4</v>
      </c>
      <c r="AV475" s="2">
        <f t="shared" ca="1" si="288"/>
        <v>0.15272501662307825</v>
      </c>
      <c r="AW475" s="2">
        <f t="shared" ca="1" si="289"/>
        <v>0.70945701869700162</v>
      </c>
      <c r="AX475" s="2">
        <f t="shared" ca="1" si="290"/>
        <v>5.2837476742604125E-2</v>
      </c>
      <c r="AY475" s="9">
        <f t="shared" ca="1" si="291"/>
        <v>0.70945701869700162</v>
      </c>
      <c r="AZ475" s="9">
        <f t="shared" ca="1" si="292"/>
        <v>0.70945701869700162</v>
      </c>
      <c r="BB475" s="2">
        <f t="shared" ca="1" si="293"/>
        <v>8.6961617503810054</v>
      </c>
      <c r="BC475" s="2">
        <f t="shared" ca="1" si="294"/>
        <v>0.40062765487724622</v>
      </c>
      <c r="BD475" s="2">
        <f t="shared" ca="1" si="295"/>
        <v>1.5681417281800103E-4</v>
      </c>
      <c r="BE475" s="2">
        <f t="shared" ca="1" si="296"/>
        <v>0.15272501662307825</v>
      </c>
      <c r="BF475" s="2">
        <f t="shared" ca="1" si="297"/>
        <v>0.70945701869700162</v>
      </c>
      <c r="BG475" s="2">
        <f t="shared" ca="1" si="298"/>
        <v>5.2837476742604125E-2</v>
      </c>
      <c r="BH475" s="2" t="str">
        <f t="shared" ca="1" si="299"/>
        <v>rejected</v>
      </c>
      <c r="BI475" s="2" t="e">
        <f t="shared" ca="1" si="300"/>
        <v>#N/A</v>
      </c>
    </row>
    <row r="476" spans="1:61" ht="15" x14ac:dyDescent="0.25">
      <c r="A476" s="66">
        <v>410</v>
      </c>
      <c r="B476" s="66">
        <v>1498730335.494</v>
      </c>
      <c r="C476" s="67">
        <v>-1.4174257846712699E-5</v>
      </c>
      <c r="D476" s="67">
        <v>-2.3058582636914099E-5</v>
      </c>
      <c r="E476" s="67">
        <v>1.17520594700989E-2</v>
      </c>
      <c r="F476" s="67">
        <v>4.4020129320742799E-4</v>
      </c>
      <c r="G476" s="67">
        <v>-5.0190267638454102E-5</v>
      </c>
      <c r="H476" s="67">
        <v>0.215353884927004</v>
      </c>
      <c r="I476" s="67">
        <v>-2.3058582636914099E-5</v>
      </c>
      <c r="J476" s="67">
        <v>0.15562413040569101</v>
      </c>
      <c r="K476" s="67">
        <v>1.86898085530999</v>
      </c>
      <c r="L476" s="67"/>
      <c r="M476" s="67"/>
      <c r="O476" s="11">
        <f t="shared" ca="1" si="258"/>
        <v>-2.6978188556672729E-5</v>
      </c>
      <c r="P476" s="11">
        <f t="shared" ca="1" si="259"/>
        <v>-2.3823682867218841E-5</v>
      </c>
      <c r="Q476" s="11">
        <f t="shared" ca="1" si="260"/>
        <v>1.0915567857830615E-2</v>
      </c>
      <c r="R476" s="11">
        <f t="shared" ca="1" si="261"/>
        <v>4.2855480556108088E-4</v>
      </c>
      <c r="S476" s="11">
        <f t="shared" ca="1" si="262"/>
        <v>-6.111791968542423E-5</v>
      </c>
      <c r="T476" s="11">
        <f t="shared" ca="1" si="263"/>
        <v>0.21421532988842171</v>
      </c>
      <c r="U476" s="11">
        <f t="shared" ca="1" si="264"/>
        <v>-2.3823682867218841E-5</v>
      </c>
      <c r="V476" s="11">
        <f t="shared" ca="1" si="265"/>
        <v>0.15497393439999724</v>
      </c>
      <c r="W476" s="11">
        <f t="shared" ca="1" si="266"/>
        <v>1.861858007046485</v>
      </c>
      <c r="X476" s="11"/>
      <c r="Y476" s="2">
        <f t="shared" ca="1" si="267"/>
        <v>-2.6978188556672729E-5</v>
      </c>
      <c r="Z476" s="11">
        <f t="shared" ca="1" si="268"/>
        <v>-2.3823682867218841E-5</v>
      </c>
      <c r="AA476" s="2">
        <f t="shared" ca="1" si="269"/>
        <v>1.0915567857830615E-2</v>
      </c>
      <c r="AB476" s="2">
        <f t="shared" ca="1" si="270"/>
        <v>4.2855480556108088E-4</v>
      </c>
      <c r="AC476" s="2">
        <f t="shared" ca="1" si="271"/>
        <v>-6.111791968542423E-5</v>
      </c>
      <c r="AD476" s="2">
        <f t="shared" ca="1" si="272"/>
        <v>0.21421532988842171</v>
      </c>
      <c r="AE476" s="2">
        <f t="shared" ca="1" si="273"/>
        <v>-2.3823682867218841E-5</v>
      </c>
      <c r="AF476" s="2">
        <f t="shared" ca="1" si="274"/>
        <v>0.15497393439999724</v>
      </c>
      <c r="AG476" s="2">
        <f t="shared" ca="1" si="275"/>
        <v>1.861858007046485</v>
      </c>
      <c r="AI476" s="2">
        <f t="shared" ca="1" si="276"/>
        <v>-2.6978188556672729E-5</v>
      </c>
      <c r="AJ476" s="11">
        <f t="shared" ca="1" si="277"/>
        <v>-2.3823682867218841E-5</v>
      </c>
      <c r="AK476" s="2">
        <f t="shared" ca="1" si="278"/>
        <v>1.0915567857830615E-2</v>
      </c>
      <c r="AL476" s="2">
        <f t="shared" ca="1" si="279"/>
        <v>4.2855480556108088E-4</v>
      </c>
      <c r="AM476" s="2">
        <f t="shared" ca="1" si="280"/>
        <v>-6.111791968542423E-5</v>
      </c>
      <c r="AN476" s="2">
        <f t="shared" ca="1" si="281"/>
        <v>0.21421532988842171</v>
      </c>
      <c r="AO476" s="2">
        <f t="shared" ca="1" si="282"/>
        <v>-2.3823682867218841E-5</v>
      </c>
      <c r="AP476" s="2">
        <f t="shared" ca="1" si="283"/>
        <v>0.15497393439999724</v>
      </c>
      <c r="AQ476" s="2">
        <f t="shared" ca="1" si="284"/>
        <v>1.861858007046485</v>
      </c>
      <c r="AS476" s="2">
        <f t="shared" ca="1" si="285"/>
        <v>8.6915255225490657</v>
      </c>
      <c r="AT476" s="2">
        <f t="shared" ca="1" si="286"/>
        <v>0.40041147639759234</v>
      </c>
      <c r="AU476" s="2">
        <f t="shared" ca="1" si="287"/>
        <v>1.715982624119955E-4</v>
      </c>
      <c r="AV476" s="2">
        <f t="shared" ca="1" si="288"/>
        <v>0.15480233613758523</v>
      </c>
      <c r="AW476" s="2">
        <f t="shared" ca="1" si="289"/>
        <v>0.70928198912399487</v>
      </c>
      <c r="AX476" s="2">
        <f t="shared" ca="1" si="290"/>
        <v>5.2926172012982067E-2</v>
      </c>
      <c r="AY476" s="9">
        <f t="shared" ca="1" si="291"/>
        <v>0.70928198912399487</v>
      </c>
      <c r="AZ476" s="9">
        <f t="shared" ca="1" si="292"/>
        <v>0.70928198912399487</v>
      </c>
      <c r="BB476" s="2">
        <f t="shared" ca="1" si="293"/>
        <v>8.6915255225490657</v>
      </c>
      <c r="BC476" s="2">
        <f t="shared" ca="1" si="294"/>
        <v>0.40041147639759234</v>
      </c>
      <c r="BD476" s="2">
        <f t="shared" ca="1" si="295"/>
        <v>1.715982624119955E-4</v>
      </c>
      <c r="BE476" s="2">
        <f t="shared" ca="1" si="296"/>
        <v>0.15480233613758523</v>
      </c>
      <c r="BF476" s="2">
        <f t="shared" ca="1" si="297"/>
        <v>0.70928198912399487</v>
      </c>
      <c r="BG476" s="2">
        <f t="shared" ca="1" si="298"/>
        <v>5.2926172012982067E-2</v>
      </c>
      <c r="BH476" s="2">
        <f t="shared" ca="1" si="299"/>
        <v>0.70928198912399487</v>
      </c>
      <c r="BI476" s="2">
        <f t="shared" ca="1" si="300"/>
        <v>0.70928198912399487</v>
      </c>
    </row>
    <row r="477" spans="1:61" ht="15" x14ac:dyDescent="0.25">
      <c r="A477" s="66">
        <v>411</v>
      </c>
      <c r="B477" s="66">
        <v>1498730336.0209999</v>
      </c>
      <c r="C477" s="67">
        <v>1.3227353363659099E-5</v>
      </c>
      <c r="D477" s="67">
        <v>4.3348096588094001E-5</v>
      </c>
      <c r="E477" s="67">
        <v>1.2090037960478099E-2</v>
      </c>
      <c r="F477" s="67">
        <v>4.6186317823923302E-4</v>
      </c>
      <c r="G477" s="67">
        <v>-5.8048309949637305E-7</v>
      </c>
      <c r="H477" s="67">
        <v>0.221122390021361</v>
      </c>
      <c r="I477" s="67">
        <v>4.3348096588094001E-5</v>
      </c>
      <c r="J477" s="67">
        <v>0.15960773409776599</v>
      </c>
      <c r="K477" s="67">
        <v>1.91727839842023</v>
      </c>
      <c r="L477" s="67"/>
      <c r="M477" s="67"/>
      <c r="O477" s="11">
        <f t="shared" ca="1" si="258"/>
        <v>4.2342265369907149E-7</v>
      </c>
      <c r="P477" s="11">
        <f t="shared" ca="1" si="259"/>
        <v>4.2582996357789263E-5</v>
      </c>
      <c r="Q477" s="11">
        <f t="shared" ca="1" si="260"/>
        <v>1.1253546348209815E-2</v>
      </c>
      <c r="R477" s="11">
        <f t="shared" ca="1" si="261"/>
        <v>4.5021669059288591E-4</v>
      </c>
      <c r="S477" s="11">
        <f t="shared" ca="1" si="262"/>
        <v>-1.1508135146466496E-5</v>
      </c>
      <c r="T477" s="11">
        <f t="shared" ca="1" si="263"/>
        <v>0.21998383498277871</v>
      </c>
      <c r="U477" s="11">
        <f t="shared" ca="1" si="264"/>
        <v>4.2582996357789263E-5</v>
      </c>
      <c r="V477" s="11">
        <f t="shared" ca="1" si="265"/>
        <v>0.15895753809207222</v>
      </c>
      <c r="W477" s="11">
        <f t="shared" ca="1" si="266"/>
        <v>1.9101555501567249</v>
      </c>
      <c r="X477" s="11"/>
      <c r="Y477" s="2">
        <f t="shared" ca="1" si="267"/>
        <v>4.2342265369907149E-7</v>
      </c>
      <c r="Z477" s="11">
        <f t="shared" ca="1" si="268"/>
        <v>4.2582996357789263E-5</v>
      </c>
      <c r="AA477" s="2">
        <f t="shared" ca="1" si="269"/>
        <v>1.1253220556422491E-2</v>
      </c>
      <c r="AB477" s="2">
        <f t="shared" ca="1" si="270"/>
        <v>4.4233104846788267E-4</v>
      </c>
      <c r="AC477" s="2">
        <f t="shared" ca="1" si="271"/>
        <v>-1.1508135146466496E-5</v>
      </c>
      <c r="AD477" s="2">
        <f t="shared" ca="1" si="272"/>
        <v>0.21992648822385086</v>
      </c>
      <c r="AE477" s="2">
        <f t="shared" ca="1" si="273"/>
        <v>4.2582996357789263E-5</v>
      </c>
      <c r="AF477" s="2">
        <f t="shared" ca="1" si="274"/>
        <v>0.15887285073826496</v>
      </c>
      <c r="AG477" s="2">
        <f t="shared" ca="1" si="275"/>
        <v>1.9101211859986382</v>
      </c>
      <c r="AI477" s="2">
        <f t="shared" ca="1" si="276"/>
        <v>4.2342265369907149E-7</v>
      </c>
      <c r="AJ477" s="11">
        <f t="shared" ca="1" si="277"/>
        <v>4.2582996357789263E-5</v>
      </c>
      <c r="AK477" s="2">
        <f t="shared" ca="1" si="278"/>
        <v>1.1202980499702855E-2</v>
      </c>
      <c r="AL477" s="2">
        <f t="shared" ca="1" si="279"/>
        <v>4.1881660337848831E-4</v>
      </c>
      <c r="AM477" s="2">
        <f t="shared" ca="1" si="280"/>
        <v>-1.1508135146466496E-5</v>
      </c>
      <c r="AN477" s="2">
        <f t="shared" ca="1" si="281"/>
        <v>0.21992648822385086</v>
      </c>
      <c r="AO477" s="2">
        <f t="shared" ca="1" si="282"/>
        <v>4.2582996357789263E-5</v>
      </c>
      <c r="AP477" s="2">
        <f t="shared" ca="1" si="283"/>
        <v>0.15887285073826496</v>
      </c>
      <c r="AQ477" s="2">
        <f t="shared" ca="1" si="284"/>
        <v>1.9101211859986382</v>
      </c>
      <c r="AS477" s="2">
        <f t="shared" ca="1" si="285"/>
        <v>8.6831632438186208</v>
      </c>
      <c r="AT477" s="2">
        <f t="shared" ca="1" si="286"/>
        <v>0.40002156279320117</v>
      </c>
      <c r="AU477" s="2">
        <f t="shared" ca="1" si="287"/>
        <v>1.8009638416654933E-4</v>
      </c>
      <c r="AV477" s="2">
        <f t="shared" ca="1" si="288"/>
        <v>0.15877744170790567</v>
      </c>
      <c r="AW477" s="2">
        <f t="shared" ca="1" si="289"/>
        <v>0.70876216152989446</v>
      </c>
      <c r="AX477" s="2">
        <f t="shared" ca="1" si="290"/>
        <v>5.3081791105042395E-2</v>
      </c>
      <c r="AY477" s="9">
        <f t="shared" ca="1" si="291"/>
        <v>0.70876216152989446</v>
      </c>
      <c r="AZ477" s="9">
        <f t="shared" ca="1" si="292"/>
        <v>0.70876216152989446</v>
      </c>
      <c r="BB477" s="2">
        <f t="shared" ca="1" si="293"/>
        <v>8.6852711623096202</v>
      </c>
      <c r="BC477" s="2">
        <f t="shared" ca="1" si="294"/>
        <v>0.40011984969972053</v>
      </c>
      <c r="BD477" s="2">
        <f t="shared" ca="1" si="295"/>
        <v>1.6757683639554821E-4</v>
      </c>
      <c r="BE477" s="2">
        <f t="shared" ca="1" si="296"/>
        <v>0.15870527390186942</v>
      </c>
      <c r="BF477" s="2">
        <f t="shared" ca="1" si="297"/>
        <v>0.70853812746077738</v>
      </c>
      <c r="BG477" s="2">
        <f t="shared" ca="1" si="298"/>
        <v>5.2870186356190028E-2</v>
      </c>
      <c r="BH477" s="2">
        <f t="shared" ca="1" si="299"/>
        <v>0.70853812746077738</v>
      </c>
      <c r="BI477" s="2">
        <f t="shared" ca="1" si="300"/>
        <v>0.70853812746077738</v>
      </c>
    </row>
    <row r="478" spans="1:61" ht="15" x14ac:dyDescent="0.25">
      <c r="A478" s="66">
        <v>412</v>
      </c>
      <c r="B478" s="66">
        <v>1498730336.5480001</v>
      </c>
      <c r="C478" s="67">
        <v>-2.71661366248269E-5</v>
      </c>
      <c r="D478" s="67">
        <v>3.57153275820084E-5</v>
      </c>
      <c r="E478" s="67">
        <v>1.27367004934034E-2</v>
      </c>
      <c r="F478" s="67">
        <v>5.4684895624115197E-4</v>
      </c>
      <c r="G478" s="67">
        <v>-4.2449203328279899E-5</v>
      </c>
      <c r="H478" s="67">
        <v>0.23325960062551099</v>
      </c>
      <c r="I478" s="67">
        <v>3.57153275820084E-5</v>
      </c>
      <c r="J478" s="67">
        <v>0.168307961862418</v>
      </c>
      <c r="K478" s="67">
        <v>2.02363637989929</v>
      </c>
      <c r="L478" s="67"/>
      <c r="M478" s="67"/>
      <c r="O478" s="11">
        <f t="shared" ca="1" si="258"/>
        <v>-3.9970067334786928E-5</v>
      </c>
      <c r="P478" s="11">
        <f t="shared" ca="1" si="259"/>
        <v>3.4950227351703662E-5</v>
      </c>
      <c r="Q478" s="11">
        <f t="shared" ca="1" si="260"/>
        <v>1.1900208881135115E-2</v>
      </c>
      <c r="R478" s="11">
        <f t="shared" ca="1" si="261"/>
        <v>5.3520246859480481E-4</v>
      </c>
      <c r="S478" s="11">
        <f t="shared" ca="1" si="262"/>
        <v>-5.337685537525002E-5</v>
      </c>
      <c r="T478" s="11">
        <f t="shared" ca="1" si="263"/>
        <v>0.2321210455869287</v>
      </c>
      <c r="U478" s="11">
        <f t="shared" ca="1" si="264"/>
        <v>3.4950227351703662E-5</v>
      </c>
      <c r="V478" s="11">
        <f t="shared" ca="1" si="265"/>
        <v>0.16765776585672423</v>
      </c>
      <c r="W478" s="11">
        <f t="shared" ca="1" si="266"/>
        <v>2.016513531635785</v>
      </c>
      <c r="X478" s="11"/>
      <c r="Y478" s="2">
        <f t="shared" ca="1" si="267"/>
        <v>-3.9970067334786928E-5</v>
      </c>
      <c r="Z478" s="11">
        <f t="shared" ca="1" si="268"/>
        <v>3.4950227351703662E-5</v>
      </c>
      <c r="AA478" s="2">
        <f t="shared" ca="1" si="269"/>
        <v>1.1899941485742348E-2</v>
      </c>
      <c r="AB478" s="2">
        <f t="shared" ca="1" si="270"/>
        <v>5.2873028465623558E-4</v>
      </c>
      <c r="AC478" s="2">
        <f t="shared" ca="1" si="271"/>
        <v>-5.337685537525002E-5</v>
      </c>
      <c r="AD478" s="2">
        <f t="shared" ca="1" si="272"/>
        <v>0.23207397792063367</v>
      </c>
      <c r="AE478" s="2">
        <f t="shared" ca="1" si="273"/>
        <v>3.4950227351703662E-5</v>
      </c>
      <c r="AF478" s="2">
        <f t="shared" ca="1" si="274"/>
        <v>0.16758825824752482</v>
      </c>
      <c r="AG478" s="2">
        <f t="shared" ca="1" si="275"/>
        <v>2.0164853270649328</v>
      </c>
      <c r="AI478" s="2">
        <f t="shared" ca="1" si="276"/>
        <v>-3.9970067334786928E-5</v>
      </c>
      <c r="AJ478" s="11">
        <f t="shared" ca="1" si="277"/>
        <v>3.4950227351703662E-5</v>
      </c>
      <c r="AK478" s="2">
        <f t="shared" ca="1" si="278"/>
        <v>1.1858706684185398E-2</v>
      </c>
      <c r="AL478" s="2">
        <f t="shared" ca="1" si="279"/>
        <v>5.0943067513561165E-4</v>
      </c>
      <c r="AM478" s="2">
        <f t="shared" ca="1" si="280"/>
        <v>-5.337685537525002E-5</v>
      </c>
      <c r="AN478" s="2">
        <f t="shared" ca="1" si="281"/>
        <v>0.23207397792063367</v>
      </c>
      <c r="AO478" s="2">
        <f t="shared" ca="1" si="282"/>
        <v>3.4950227351703662E-5</v>
      </c>
      <c r="AP478" s="2">
        <f t="shared" ca="1" si="283"/>
        <v>0.16758825824752482</v>
      </c>
      <c r="AQ478" s="2">
        <f t="shared" ca="1" si="284"/>
        <v>2.0164853270649328</v>
      </c>
      <c r="AS478" s="2">
        <f t="shared" ca="1" si="285"/>
        <v>8.6873360687176735</v>
      </c>
      <c r="AT478" s="2">
        <f t="shared" ca="1" si="286"/>
        <v>0.40021613134215522</v>
      </c>
      <c r="AU478" s="2">
        <f t="shared" ca="1" si="287"/>
        <v>2.141966614657841E-4</v>
      </c>
      <c r="AV478" s="2">
        <f t="shared" ca="1" si="288"/>
        <v>0.16744356919525846</v>
      </c>
      <c r="AW478" s="2">
        <f t="shared" ca="1" si="289"/>
        <v>0.70819257512743805</v>
      </c>
      <c r="AX478" s="2">
        <f t="shared" ca="1" si="290"/>
        <v>5.3223141813359118E-2</v>
      </c>
      <c r="AY478" s="9">
        <f t="shared" ca="1" si="291"/>
        <v>0.70819257512743805</v>
      </c>
      <c r="AZ478" s="9">
        <f t="shared" ca="1" si="292"/>
        <v>0.70819257512743805</v>
      </c>
      <c r="BB478" s="2">
        <f t="shared" ca="1" si="293"/>
        <v>8.6889764424796692</v>
      </c>
      <c r="BC478" s="2">
        <f t="shared" ca="1" si="294"/>
        <v>0.40029261824147327</v>
      </c>
      <c r="BD478" s="2">
        <f t="shared" ca="1" si="295"/>
        <v>2.0392133876255539E-4</v>
      </c>
      <c r="BE478" s="2">
        <f t="shared" ca="1" si="296"/>
        <v>0.16738433690876228</v>
      </c>
      <c r="BF478" s="2">
        <f t="shared" ca="1" si="297"/>
        <v>0.70801831319867703</v>
      </c>
      <c r="BG478" s="2">
        <f t="shared" ca="1" si="298"/>
        <v>5.3058531522046537E-2</v>
      </c>
      <c r="BH478" s="2">
        <f t="shared" ca="1" si="299"/>
        <v>0.70801831319867703</v>
      </c>
      <c r="BI478" s="2">
        <f t="shared" ca="1" si="300"/>
        <v>0.70801831319867703</v>
      </c>
    </row>
    <row r="479" spans="1:61" ht="15" x14ac:dyDescent="0.25">
      <c r="A479" s="66">
        <v>413</v>
      </c>
      <c r="B479" s="66">
        <v>1498730337.075</v>
      </c>
      <c r="C479" s="67">
        <v>-4.7354683851314798E-7</v>
      </c>
      <c r="D479" s="67">
        <v>-7.1010992543181595E-5</v>
      </c>
      <c r="E479" s="67">
        <v>1.28082561683388E-2</v>
      </c>
      <c r="F479" s="67">
        <v>4.7281332085645099E-4</v>
      </c>
      <c r="G479" s="67">
        <v>-2.20899379792318E-4</v>
      </c>
      <c r="H479" s="67">
        <v>0.236526764564678</v>
      </c>
      <c r="I479" s="67">
        <v>-7.1010992543181595E-5</v>
      </c>
      <c r="J479" s="67">
        <v>0.17074174117775101</v>
      </c>
      <c r="K479" s="67">
        <v>2.05343049892431</v>
      </c>
      <c r="L479" s="67"/>
      <c r="M479" s="67"/>
      <c r="O479" s="11">
        <f t="shared" ca="1" si="258"/>
        <v>-1.3277477548473176E-5</v>
      </c>
      <c r="P479" s="11">
        <f t="shared" ca="1" si="259"/>
        <v>-7.1776092773486334E-5</v>
      </c>
      <c r="Q479" s="11">
        <f t="shared" ca="1" si="260"/>
        <v>1.1971764556070515E-2</v>
      </c>
      <c r="R479" s="11">
        <f t="shared" ca="1" si="261"/>
        <v>4.6116683321010388E-4</v>
      </c>
      <c r="S479" s="11">
        <f t="shared" ca="1" si="262"/>
        <v>-2.3182703183928811E-4</v>
      </c>
      <c r="T479" s="11">
        <f t="shared" ca="1" si="263"/>
        <v>0.23538820952609571</v>
      </c>
      <c r="U479" s="11">
        <f t="shared" ca="1" si="264"/>
        <v>-7.1776092773486334E-5</v>
      </c>
      <c r="V479" s="11">
        <f t="shared" ca="1" si="265"/>
        <v>0.17009154517205724</v>
      </c>
      <c r="W479" s="11">
        <f t="shared" ca="1" si="266"/>
        <v>2.0463076506608049</v>
      </c>
      <c r="X479" s="11"/>
      <c r="Y479" s="2">
        <f t="shared" ca="1" si="267"/>
        <v>-1.3277477548473176E-5</v>
      </c>
      <c r="Z479" s="11">
        <f t="shared" ca="1" si="268"/>
        <v>-7.1776092773486334E-5</v>
      </c>
      <c r="AA479" s="2">
        <f t="shared" ca="1" si="269"/>
        <v>1.1971764556070515E-2</v>
      </c>
      <c r="AB479" s="2">
        <f t="shared" ca="1" si="270"/>
        <v>4.6116683321010388E-4</v>
      </c>
      <c r="AC479" s="2">
        <f t="shared" ca="1" si="271"/>
        <v>-2.3182703183928811E-4</v>
      </c>
      <c r="AD479" s="2">
        <f t="shared" ca="1" si="272"/>
        <v>0.23538820952609571</v>
      </c>
      <c r="AE479" s="2">
        <f t="shared" ca="1" si="273"/>
        <v>-7.1776092773486334E-5</v>
      </c>
      <c r="AF479" s="2">
        <f t="shared" ca="1" si="274"/>
        <v>0.17009154517205724</v>
      </c>
      <c r="AG479" s="2">
        <f t="shared" ca="1" si="275"/>
        <v>2.0463076506608049</v>
      </c>
      <c r="AI479" s="2">
        <f t="shared" ca="1" si="276"/>
        <v>-1.3277477548473176E-5</v>
      </c>
      <c r="AJ479" s="11">
        <f t="shared" ca="1" si="277"/>
        <v>-7.1776092773486334E-5</v>
      </c>
      <c r="AK479" s="2">
        <f t="shared" ca="1" si="278"/>
        <v>1.1971764556070515E-2</v>
      </c>
      <c r="AL479" s="2">
        <f t="shared" ca="1" si="279"/>
        <v>4.6116683321010388E-4</v>
      </c>
      <c r="AM479" s="2">
        <f t="shared" ca="1" si="280"/>
        <v>-2.3182703183928811E-4</v>
      </c>
      <c r="AN479" s="2">
        <f t="shared" ca="1" si="281"/>
        <v>0.23538820952609571</v>
      </c>
      <c r="AO479" s="2">
        <f t="shared" ca="1" si="282"/>
        <v>-7.1776092773486334E-5</v>
      </c>
      <c r="AP479" s="2">
        <f t="shared" ca="1" si="283"/>
        <v>0.17009154517205724</v>
      </c>
      <c r="AQ479" s="2">
        <f t="shared" ca="1" si="284"/>
        <v>2.0463076506608049</v>
      </c>
      <c r="AS479" s="2">
        <f t="shared" ca="1" si="285"/>
        <v>8.6933311348967379</v>
      </c>
      <c r="AT479" s="2">
        <f t="shared" ca="1" si="286"/>
        <v>0.40049566849849511</v>
      </c>
      <c r="AU479" s="2">
        <f t="shared" ca="1" si="287"/>
        <v>1.8469531915581454E-4</v>
      </c>
      <c r="AV479" s="2">
        <f t="shared" ca="1" si="288"/>
        <v>0.16990684985290141</v>
      </c>
      <c r="AW479" s="2">
        <f t="shared" ca="1" si="289"/>
        <v>0.7083904871823633</v>
      </c>
      <c r="AX479" s="2">
        <f t="shared" ca="1" si="290"/>
        <v>5.2837282002957592E-2</v>
      </c>
      <c r="AY479" s="9">
        <f t="shared" ca="1" si="291"/>
        <v>0.7083904871823633</v>
      </c>
      <c r="AZ479" s="9">
        <f t="shared" ca="1" si="292"/>
        <v>0.7083904871823633</v>
      </c>
      <c r="BB479" s="2">
        <f t="shared" ca="1" si="293"/>
        <v>8.6933311348967379</v>
      </c>
      <c r="BC479" s="2">
        <f t="shared" ca="1" si="294"/>
        <v>0.40049566849849511</v>
      </c>
      <c r="BD479" s="2">
        <f t="shared" ca="1" si="295"/>
        <v>1.8469531915581454E-4</v>
      </c>
      <c r="BE479" s="2">
        <f t="shared" ca="1" si="296"/>
        <v>0.16990684985290141</v>
      </c>
      <c r="BF479" s="2">
        <f t="shared" ca="1" si="297"/>
        <v>0.7083904871823633</v>
      </c>
      <c r="BG479" s="2">
        <f t="shared" ca="1" si="298"/>
        <v>5.2837282002957592E-2</v>
      </c>
      <c r="BH479" s="2">
        <f t="shared" ca="1" si="299"/>
        <v>0.7083904871823633</v>
      </c>
      <c r="BI479" s="2">
        <f t="shared" ca="1" si="300"/>
        <v>0.7083904871823633</v>
      </c>
    </row>
    <row r="480" spans="1:61" ht="15" x14ac:dyDescent="0.25">
      <c r="A480" s="66">
        <v>414</v>
      </c>
      <c r="B480" s="66">
        <v>1498730337.602</v>
      </c>
      <c r="C480" s="67">
        <v>1.04886517729503E-4</v>
      </c>
      <c r="D480" s="67">
        <v>-7.0680528464308102E-5</v>
      </c>
      <c r="E480" s="67">
        <v>1.2994758383997501E-2</v>
      </c>
      <c r="F480" s="67">
        <v>5.9232050697355398E-4</v>
      </c>
      <c r="G480" s="67">
        <v>8.4293938648477901E-5</v>
      </c>
      <c r="H480" s="67">
        <v>0.23851235491389999</v>
      </c>
      <c r="I480" s="67">
        <v>-7.0680528464308102E-5</v>
      </c>
      <c r="J480" s="67">
        <v>0.17221698896115301</v>
      </c>
      <c r="K480" s="67">
        <v>2.0698753724427799</v>
      </c>
      <c r="L480" s="67"/>
      <c r="M480" s="67"/>
      <c r="O480" s="11">
        <f t="shared" ca="1" si="258"/>
        <v>9.2082587019542977E-5</v>
      </c>
      <c r="P480" s="11">
        <f t="shared" ca="1" si="259"/>
        <v>-7.144562869461284E-5</v>
      </c>
      <c r="Q480" s="11">
        <f t="shared" ca="1" si="260"/>
        <v>1.2158266771729216E-2</v>
      </c>
      <c r="R480" s="11">
        <f t="shared" ca="1" si="261"/>
        <v>5.8067401932720682E-4</v>
      </c>
      <c r="S480" s="11">
        <f t="shared" ca="1" si="262"/>
        <v>7.3366286601507773E-5</v>
      </c>
      <c r="T480" s="11">
        <f t="shared" ca="1" si="263"/>
        <v>0.2373737998753177</v>
      </c>
      <c r="U480" s="11">
        <f t="shared" ca="1" si="264"/>
        <v>-7.144562869461284E-5</v>
      </c>
      <c r="V480" s="11">
        <f t="shared" ca="1" si="265"/>
        <v>0.17156679295545924</v>
      </c>
      <c r="W480" s="11">
        <f t="shared" ca="1" si="266"/>
        <v>2.0627525241792748</v>
      </c>
      <c r="X480" s="11"/>
      <c r="Y480" s="2">
        <f t="shared" ca="1" si="267"/>
        <v>9.2082587019542977E-5</v>
      </c>
      <c r="Z480" s="11">
        <f t="shared" ca="1" si="268"/>
        <v>-7.144562869461284E-5</v>
      </c>
      <c r="AA480" s="2">
        <f t="shared" ca="1" si="269"/>
        <v>1.2158266771729216E-2</v>
      </c>
      <c r="AB480" s="2">
        <f t="shared" ca="1" si="270"/>
        <v>5.8067401932720682E-4</v>
      </c>
      <c r="AC480" s="2">
        <f t="shared" ca="1" si="271"/>
        <v>7.3366286601507773E-5</v>
      </c>
      <c r="AD480" s="2">
        <f t="shared" ca="1" si="272"/>
        <v>0.2373737998753177</v>
      </c>
      <c r="AE480" s="2">
        <f t="shared" ca="1" si="273"/>
        <v>-7.144562869461284E-5</v>
      </c>
      <c r="AF480" s="2">
        <f t="shared" ca="1" si="274"/>
        <v>0.17156679295545924</v>
      </c>
      <c r="AG480" s="2">
        <f t="shared" ca="1" si="275"/>
        <v>2.0627525241792748</v>
      </c>
      <c r="AI480" s="2">
        <f t="shared" ca="1" si="276"/>
        <v>9.2082587019542977E-5</v>
      </c>
      <c r="AJ480" s="11">
        <f t="shared" ca="1" si="277"/>
        <v>-7.144562869461284E-5</v>
      </c>
      <c r="AK480" s="2">
        <f t="shared" ca="1" si="278"/>
        <v>1.2158266771729216E-2</v>
      </c>
      <c r="AL480" s="2">
        <f t="shared" ca="1" si="279"/>
        <v>5.8067401932720682E-4</v>
      </c>
      <c r="AM480" s="2">
        <f t="shared" ca="1" si="280"/>
        <v>7.3366286601507773E-5</v>
      </c>
      <c r="AN480" s="2">
        <f t="shared" ca="1" si="281"/>
        <v>0.2373737998753177</v>
      </c>
      <c r="AO480" s="2">
        <f t="shared" ca="1" si="282"/>
        <v>-7.144562869461284E-5</v>
      </c>
      <c r="AP480" s="2">
        <f t="shared" ca="1" si="283"/>
        <v>0.17156679295545924</v>
      </c>
      <c r="AQ480" s="2">
        <f t="shared" ca="1" si="284"/>
        <v>2.0627525241792748</v>
      </c>
      <c r="AS480" s="2">
        <f t="shared" ca="1" si="285"/>
        <v>8.6898913244121729</v>
      </c>
      <c r="AT480" s="2">
        <f t="shared" ca="1" si="286"/>
        <v>0.40033527718218626</v>
      </c>
      <c r="AU480" s="2">
        <f t="shared" ca="1" si="287"/>
        <v>2.3246429447985152E-4</v>
      </c>
      <c r="AV480" s="2">
        <f t="shared" ca="1" si="288"/>
        <v>0.17133432866097939</v>
      </c>
      <c r="AW480" s="2">
        <f t="shared" ca="1" si="289"/>
        <v>0.70850790391426632</v>
      </c>
      <c r="AX480" s="2">
        <f t="shared" ca="1" si="290"/>
        <v>5.3190003639320346E-2</v>
      </c>
      <c r="AY480" s="9">
        <f t="shared" ca="1" si="291"/>
        <v>0.70850790391426632</v>
      </c>
      <c r="AZ480" s="9">
        <f t="shared" ca="1" si="292"/>
        <v>0.70850790391426632</v>
      </c>
      <c r="BB480" s="2">
        <f t="shared" ca="1" si="293"/>
        <v>8.6898913244121729</v>
      </c>
      <c r="BC480" s="2">
        <f t="shared" ca="1" si="294"/>
        <v>0.40033527718218626</v>
      </c>
      <c r="BD480" s="2">
        <f t="shared" ca="1" si="295"/>
        <v>2.3246429447985152E-4</v>
      </c>
      <c r="BE480" s="2">
        <f t="shared" ca="1" si="296"/>
        <v>0.17133432866097939</v>
      </c>
      <c r="BF480" s="2">
        <f t="shared" ca="1" si="297"/>
        <v>0.70850790391426632</v>
      </c>
      <c r="BG480" s="2">
        <f t="shared" ca="1" si="298"/>
        <v>5.3190003639320346E-2</v>
      </c>
      <c r="BH480" s="2">
        <f t="shared" ca="1" si="299"/>
        <v>0.70850790391426632</v>
      </c>
      <c r="BI480" s="2">
        <f t="shared" ca="1" si="300"/>
        <v>0.70850790391426632</v>
      </c>
    </row>
    <row r="481" spans="1:61" ht="15" x14ac:dyDescent="0.25">
      <c r="A481" s="66">
        <v>415</v>
      </c>
      <c r="B481" s="66">
        <v>1498730338.1289999</v>
      </c>
      <c r="C481" s="67">
        <v>-5.9066100473514298E-6</v>
      </c>
      <c r="D481" s="67">
        <v>-3.3944940745549398E-5</v>
      </c>
      <c r="E481" s="67">
        <v>1.2939575205766E-2</v>
      </c>
      <c r="F481" s="67">
        <v>4.9423786012851303E-4</v>
      </c>
      <c r="G481" s="67">
        <v>-6.8940424520914001E-5</v>
      </c>
      <c r="H481" s="67">
        <v>0.239227176606152</v>
      </c>
      <c r="I481" s="67">
        <v>-3.3944940745549398E-5</v>
      </c>
      <c r="J481" s="67">
        <v>0.172616152397738</v>
      </c>
      <c r="K481" s="67">
        <v>2.0759258440864601</v>
      </c>
      <c r="L481" s="67"/>
      <c r="M481" s="67"/>
      <c r="O481" s="11">
        <f t="shared" ca="1" si="258"/>
        <v>-1.8710540757311456E-5</v>
      </c>
      <c r="P481" s="11">
        <f t="shared" ca="1" si="259"/>
        <v>-3.4710040975854137E-5</v>
      </c>
      <c r="Q481" s="11">
        <f t="shared" ca="1" si="260"/>
        <v>1.2103083593497715E-2</v>
      </c>
      <c r="R481" s="11">
        <f t="shared" ca="1" si="261"/>
        <v>4.8259137248216592E-4</v>
      </c>
      <c r="S481" s="11">
        <f t="shared" ca="1" si="262"/>
        <v>-7.9868076567884128E-5</v>
      </c>
      <c r="T481" s="11">
        <f t="shared" ca="1" si="263"/>
        <v>0.23808862156756971</v>
      </c>
      <c r="U481" s="11">
        <f t="shared" ca="1" si="264"/>
        <v>-3.4710040975854137E-5</v>
      </c>
      <c r="V481" s="11">
        <f t="shared" ca="1" si="265"/>
        <v>0.17196595639204423</v>
      </c>
      <c r="W481" s="11">
        <f t="shared" ca="1" si="266"/>
        <v>2.068802995822955</v>
      </c>
      <c r="X481" s="11"/>
      <c r="Y481" s="2">
        <f t="shared" ca="1" si="267"/>
        <v>-1.8710540757311456E-5</v>
      </c>
      <c r="Z481" s="11">
        <f t="shared" ca="1" si="268"/>
        <v>-3.4710040975854137E-5</v>
      </c>
      <c r="AA481" s="2">
        <f t="shared" ca="1" si="269"/>
        <v>1.2103083593497715E-2</v>
      </c>
      <c r="AB481" s="2">
        <f t="shared" ca="1" si="270"/>
        <v>4.8259137248216592E-4</v>
      </c>
      <c r="AC481" s="2">
        <f t="shared" ca="1" si="271"/>
        <v>-7.9868076567884128E-5</v>
      </c>
      <c r="AD481" s="2">
        <f t="shared" ca="1" si="272"/>
        <v>0.23808862156756971</v>
      </c>
      <c r="AE481" s="2">
        <f t="shared" ca="1" si="273"/>
        <v>-3.4710040975854137E-5</v>
      </c>
      <c r="AF481" s="2">
        <f t="shared" ca="1" si="274"/>
        <v>0.17196595639204423</v>
      </c>
      <c r="AG481" s="2">
        <f t="shared" ca="1" si="275"/>
        <v>2.068802995822955</v>
      </c>
      <c r="AI481" s="2">
        <f t="shared" ca="1" si="276"/>
        <v>-1.8710540757311456E-5</v>
      </c>
      <c r="AJ481" s="11">
        <f t="shared" ca="1" si="277"/>
        <v>-3.4710040975854137E-5</v>
      </c>
      <c r="AK481" s="2">
        <f t="shared" ca="1" si="278"/>
        <v>1.2103083593497715E-2</v>
      </c>
      <c r="AL481" s="2">
        <f t="shared" ca="1" si="279"/>
        <v>4.8259137248216592E-4</v>
      </c>
      <c r="AM481" s="2">
        <f t="shared" ca="1" si="280"/>
        <v>-7.9868076567884128E-5</v>
      </c>
      <c r="AN481" s="2">
        <f t="shared" ca="1" si="281"/>
        <v>0.23808862156756971</v>
      </c>
      <c r="AO481" s="2">
        <f t="shared" ca="1" si="282"/>
        <v>-3.4710040975854137E-5</v>
      </c>
      <c r="AP481" s="2">
        <f t="shared" ca="1" si="283"/>
        <v>0.17196595639204423</v>
      </c>
      <c r="AQ481" s="2">
        <f t="shared" ca="1" si="284"/>
        <v>2.068802995822955</v>
      </c>
      <c r="AS481" s="2">
        <f t="shared" ca="1" si="285"/>
        <v>8.6892140506421782</v>
      </c>
      <c r="AT481" s="2">
        <f t="shared" ca="1" si="286"/>
        <v>0.40030369738443827</v>
      </c>
      <c r="AU481" s="2">
        <f t="shared" ca="1" si="287"/>
        <v>1.9318311073044167E-4</v>
      </c>
      <c r="AV481" s="2">
        <f t="shared" ca="1" si="288"/>
        <v>0.1717727732813138</v>
      </c>
      <c r="AW481" s="2">
        <f t="shared" ca="1" si="289"/>
        <v>0.70821615213614253</v>
      </c>
      <c r="AX481" s="2">
        <f t="shared" ca="1" si="290"/>
        <v>5.2785408833906797E-2</v>
      </c>
      <c r="AY481" s="9">
        <f t="shared" ca="1" si="291"/>
        <v>0.70821615213614253</v>
      </c>
      <c r="AZ481" s="9">
        <f t="shared" ca="1" si="292"/>
        <v>0.70821615213614253</v>
      </c>
      <c r="BB481" s="2">
        <f t="shared" ca="1" si="293"/>
        <v>8.6892140506421782</v>
      </c>
      <c r="BC481" s="2">
        <f t="shared" ca="1" si="294"/>
        <v>0.40030369738443827</v>
      </c>
      <c r="BD481" s="2">
        <f t="shared" ca="1" si="295"/>
        <v>1.9318311073044167E-4</v>
      </c>
      <c r="BE481" s="2">
        <f t="shared" ca="1" si="296"/>
        <v>0.1717727732813138</v>
      </c>
      <c r="BF481" s="2">
        <f t="shared" ca="1" si="297"/>
        <v>0.70821615213614253</v>
      </c>
      <c r="BG481" s="2">
        <f t="shared" ca="1" si="298"/>
        <v>5.2785408833906797E-2</v>
      </c>
      <c r="BH481" s="2">
        <f t="shared" ca="1" si="299"/>
        <v>0.70821615213614253</v>
      </c>
      <c r="BI481" s="2">
        <f t="shared" ca="1" si="300"/>
        <v>0.70821615213614253</v>
      </c>
    </row>
    <row r="482" spans="1:61" ht="15" x14ac:dyDescent="0.25">
      <c r="A482" s="66">
        <v>416</v>
      </c>
      <c r="B482" s="66">
        <v>1498730338.6559999</v>
      </c>
      <c r="C482" s="67">
        <v>-3.7323305174759698E-5</v>
      </c>
      <c r="D482" s="67">
        <v>-2.3483668932628899E-5</v>
      </c>
      <c r="E482" s="67">
        <v>1.2988492893483E-2</v>
      </c>
      <c r="F482" s="67">
        <v>5.0637863636429105E-4</v>
      </c>
      <c r="G482" s="67">
        <v>-1.02883430065349E-4</v>
      </c>
      <c r="H482" s="67">
        <v>0.23883813762384001</v>
      </c>
      <c r="I482" s="67">
        <v>-2.3483668932628899E-5</v>
      </c>
      <c r="J482" s="67">
        <v>0.17252402470758599</v>
      </c>
      <c r="K482" s="67">
        <v>2.0737184003411202</v>
      </c>
      <c r="L482" s="67"/>
      <c r="M482" s="67"/>
      <c r="O482" s="11">
        <f t="shared" ca="1" si="258"/>
        <v>-5.0127235884719726E-5</v>
      </c>
      <c r="P482" s="11">
        <f t="shared" ca="1" si="259"/>
        <v>-2.4248769162933641E-5</v>
      </c>
      <c r="Q482" s="11">
        <f t="shared" ca="1" si="260"/>
        <v>1.2152001281214716E-2</v>
      </c>
      <c r="R482" s="11">
        <f t="shared" ca="1" si="261"/>
        <v>4.9473214871794389E-4</v>
      </c>
      <c r="S482" s="11">
        <f t="shared" ca="1" si="262"/>
        <v>-1.1381108211231913E-4</v>
      </c>
      <c r="T482" s="11">
        <f t="shared" ca="1" si="263"/>
        <v>0.23769958258525772</v>
      </c>
      <c r="U482" s="11">
        <f t="shared" ca="1" si="264"/>
        <v>-2.4248769162933641E-5</v>
      </c>
      <c r="V482" s="11">
        <f t="shared" ca="1" si="265"/>
        <v>0.17187382870189222</v>
      </c>
      <c r="W482" s="11">
        <f t="shared" ca="1" si="266"/>
        <v>2.0665955520776151</v>
      </c>
      <c r="X482" s="11"/>
      <c r="Y482" s="2">
        <f t="shared" ca="1" si="267"/>
        <v>-5.0127235884719726E-5</v>
      </c>
      <c r="Z482" s="11">
        <f t="shared" ca="1" si="268"/>
        <v>-2.4248769162933641E-5</v>
      </c>
      <c r="AA482" s="2">
        <f t="shared" ca="1" si="269"/>
        <v>1.2152001281214716E-2</v>
      </c>
      <c r="AB482" s="2">
        <f t="shared" ca="1" si="270"/>
        <v>4.9473214871794389E-4</v>
      </c>
      <c r="AC482" s="2">
        <f t="shared" ca="1" si="271"/>
        <v>-1.1381108211231913E-4</v>
      </c>
      <c r="AD482" s="2">
        <f t="shared" ca="1" si="272"/>
        <v>0.23769958258525772</v>
      </c>
      <c r="AE482" s="2">
        <f t="shared" ca="1" si="273"/>
        <v>-2.4248769162933641E-5</v>
      </c>
      <c r="AF482" s="2">
        <f t="shared" ca="1" si="274"/>
        <v>0.17187382870189222</v>
      </c>
      <c r="AG482" s="2">
        <f t="shared" ca="1" si="275"/>
        <v>2.0665955520776151</v>
      </c>
      <c r="AI482" s="2">
        <f t="shared" ca="1" si="276"/>
        <v>-5.0127235884719726E-5</v>
      </c>
      <c r="AJ482" s="11">
        <f t="shared" ca="1" si="277"/>
        <v>-2.4248769162933641E-5</v>
      </c>
      <c r="AK482" s="2">
        <f t="shared" ca="1" si="278"/>
        <v>1.2152001281214716E-2</v>
      </c>
      <c r="AL482" s="2">
        <f t="shared" ca="1" si="279"/>
        <v>4.9473214871794389E-4</v>
      </c>
      <c r="AM482" s="2">
        <f t="shared" ca="1" si="280"/>
        <v>-1.1381108211231913E-4</v>
      </c>
      <c r="AN482" s="2">
        <f t="shared" ca="1" si="281"/>
        <v>0.23769958258525772</v>
      </c>
      <c r="AO482" s="2">
        <f t="shared" ca="1" si="282"/>
        <v>-2.4248769162933641E-5</v>
      </c>
      <c r="AP482" s="2">
        <f t="shared" ca="1" si="283"/>
        <v>0.17187382870189222</v>
      </c>
      <c r="AQ482" s="2">
        <f t="shared" ca="1" si="284"/>
        <v>2.0665955520776151</v>
      </c>
      <c r="AS482" s="2">
        <f t="shared" ca="1" si="285"/>
        <v>8.6941488478902649</v>
      </c>
      <c r="AT482" s="2">
        <f t="shared" ca="1" si="286"/>
        <v>0.40053379689351915</v>
      </c>
      <c r="AU482" s="2">
        <f t="shared" ca="1" si="287"/>
        <v>1.9815694597128726E-4</v>
      </c>
      <c r="AV482" s="2">
        <f t="shared" ca="1" si="288"/>
        <v>0.17167567175592094</v>
      </c>
      <c r="AW482" s="2">
        <f t="shared" ca="1" si="289"/>
        <v>0.70877159329834116</v>
      </c>
      <c r="AX482" s="2">
        <f t="shared" ca="1" si="290"/>
        <v>5.3116346261716144E-2</v>
      </c>
      <c r="AY482" s="9">
        <f t="shared" ca="1" si="291"/>
        <v>0.70877159329834116</v>
      </c>
      <c r="AZ482" s="9">
        <f t="shared" ca="1" si="292"/>
        <v>0.70877159329834116</v>
      </c>
      <c r="BB482" s="2">
        <f t="shared" ca="1" si="293"/>
        <v>8.6941488478902649</v>
      </c>
      <c r="BC482" s="2">
        <f t="shared" ca="1" si="294"/>
        <v>0.40053379689351915</v>
      </c>
      <c r="BD482" s="2">
        <f t="shared" ca="1" si="295"/>
        <v>1.9815694597128726E-4</v>
      </c>
      <c r="BE482" s="2">
        <f t="shared" ca="1" si="296"/>
        <v>0.17167567175592094</v>
      </c>
      <c r="BF482" s="2">
        <f t="shared" ca="1" si="297"/>
        <v>0.70877159329834116</v>
      </c>
      <c r="BG482" s="2">
        <f t="shared" ca="1" si="298"/>
        <v>5.3116346261716144E-2</v>
      </c>
      <c r="BH482" s="2">
        <f t="shared" ca="1" si="299"/>
        <v>0.70877159329834116</v>
      </c>
      <c r="BI482" s="2">
        <f t="shared" ca="1" si="300"/>
        <v>0.70877159329834116</v>
      </c>
    </row>
    <row r="483" spans="1:61" ht="15" x14ac:dyDescent="0.25">
      <c r="A483" s="66">
        <v>417</v>
      </c>
      <c r="B483" s="66">
        <v>1498730339.1830001</v>
      </c>
      <c r="C483" s="67">
        <v>-6.8514875685325603E-6</v>
      </c>
      <c r="D483" s="67">
        <v>-1.2336359013132699E-5</v>
      </c>
      <c r="E483" s="67">
        <v>1.29193340959307E-2</v>
      </c>
      <c r="F483" s="67">
        <v>5.1780538409116001E-4</v>
      </c>
      <c r="G483" s="67">
        <v>5.4871664024881898E-5</v>
      </c>
      <c r="H483" s="67">
        <v>0.23586993990566199</v>
      </c>
      <c r="I483" s="67">
        <v>-1.2336359013132699E-5</v>
      </c>
      <c r="J483" s="67">
        <v>0.170429253412541</v>
      </c>
      <c r="K483" s="67">
        <v>2.0483776401134</v>
      </c>
      <c r="L483" s="67"/>
      <c r="M483" s="67"/>
      <c r="O483" s="11">
        <f t="shared" ca="1" si="258"/>
        <v>-1.9655418278492589E-5</v>
      </c>
      <c r="P483" s="11">
        <f t="shared" ca="1" si="259"/>
        <v>-1.3101459243437439E-5</v>
      </c>
      <c r="Q483" s="11">
        <f t="shared" ca="1" si="260"/>
        <v>1.2082842483662416E-2</v>
      </c>
      <c r="R483" s="11">
        <f t="shared" ca="1" si="261"/>
        <v>5.0615889644481285E-4</v>
      </c>
      <c r="S483" s="11">
        <f t="shared" ca="1" si="262"/>
        <v>4.3944011977911777E-5</v>
      </c>
      <c r="T483" s="11">
        <f t="shared" ca="1" si="263"/>
        <v>0.2347313848670797</v>
      </c>
      <c r="U483" s="11">
        <f t="shared" ca="1" si="264"/>
        <v>-1.3101459243437439E-5</v>
      </c>
      <c r="V483" s="11">
        <f t="shared" ca="1" si="265"/>
        <v>0.16977905740684723</v>
      </c>
      <c r="W483" s="11">
        <f t="shared" ca="1" si="266"/>
        <v>2.0412547918498949</v>
      </c>
      <c r="X483" s="11"/>
      <c r="Y483" s="2">
        <f t="shared" ca="1" si="267"/>
        <v>-1.9655418278492589E-5</v>
      </c>
      <c r="Z483" s="11">
        <f t="shared" ca="1" si="268"/>
        <v>-1.3101459243437439E-5</v>
      </c>
      <c r="AA483" s="2">
        <f t="shared" ca="1" si="269"/>
        <v>1.2082842483662416E-2</v>
      </c>
      <c r="AB483" s="2">
        <f t="shared" ca="1" si="270"/>
        <v>5.0615889644481285E-4</v>
      </c>
      <c r="AC483" s="2">
        <f t="shared" ca="1" si="271"/>
        <v>4.3944011977911777E-5</v>
      </c>
      <c r="AD483" s="2">
        <f t="shared" ca="1" si="272"/>
        <v>0.2347313848670797</v>
      </c>
      <c r="AE483" s="2">
        <f t="shared" ca="1" si="273"/>
        <v>-1.3101459243437439E-5</v>
      </c>
      <c r="AF483" s="2">
        <f t="shared" ca="1" si="274"/>
        <v>0.16977905740684723</v>
      </c>
      <c r="AG483" s="2">
        <f t="shared" ca="1" si="275"/>
        <v>2.0412547918498949</v>
      </c>
      <c r="AI483" s="2">
        <f t="shared" ca="1" si="276"/>
        <v>-1.9655418278492589E-5</v>
      </c>
      <c r="AJ483" s="11">
        <f t="shared" ca="1" si="277"/>
        <v>-1.3101459243437439E-5</v>
      </c>
      <c r="AK483" s="2">
        <f t="shared" ca="1" si="278"/>
        <v>1.2082842483662416E-2</v>
      </c>
      <c r="AL483" s="2">
        <f t="shared" ca="1" si="279"/>
        <v>5.0615889644481285E-4</v>
      </c>
      <c r="AM483" s="2">
        <f t="shared" ca="1" si="280"/>
        <v>4.3944011977911777E-5</v>
      </c>
      <c r="AN483" s="2">
        <f t="shared" ca="1" si="281"/>
        <v>0.2347313848670797</v>
      </c>
      <c r="AO483" s="2">
        <f t="shared" ca="1" si="282"/>
        <v>-1.3101459243437439E-5</v>
      </c>
      <c r="AP483" s="2">
        <f t="shared" ca="1" si="283"/>
        <v>0.16977905740684723</v>
      </c>
      <c r="AQ483" s="2">
        <f t="shared" ca="1" si="284"/>
        <v>2.0412547918498949</v>
      </c>
      <c r="AS483" s="2">
        <f t="shared" ca="1" si="285"/>
        <v>8.6961306559230973</v>
      </c>
      <c r="AT483" s="2">
        <f t="shared" ca="1" si="286"/>
        <v>0.40062620499719914</v>
      </c>
      <c r="AU483" s="2">
        <f t="shared" ca="1" si="287"/>
        <v>2.0278051780825567E-4</v>
      </c>
      <c r="AV483" s="2">
        <f t="shared" ca="1" si="288"/>
        <v>0.16957627688903898</v>
      </c>
      <c r="AW483" s="2">
        <f t="shared" ca="1" si="289"/>
        <v>0.70887564199780961</v>
      </c>
      <c r="AX483" s="2">
        <f t="shared" ca="1" si="290"/>
        <v>5.3494366046091278E-2</v>
      </c>
      <c r="AY483" s="9">
        <f t="shared" ca="1" si="291"/>
        <v>0.70887564199780961</v>
      </c>
      <c r="AZ483" s="9">
        <f t="shared" ca="1" si="292"/>
        <v>0.70887564199780961</v>
      </c>
      <c r="BB483" s="2">
        <f t="shared" ca="1" si="293"/>
        <v>8.6961306559230973</v>
      </c>
      <c r="BC483" s="2">
        <f t="shared" ca="1" si="294"/>
        <v>0.40062620499719914</v>
      </c>
      <c r="BD483" s="2">
        <f t="shared" ca="1" si="295"/>
        <v>2.0278051780825567E-4</v>
      </c>
      <c r="BE483" s="2">
        <f t="shared" ca="1" si="296"/>
        <v>0.16957627688903898</v>
      </c>
      <c r="BF483" s="2">
        <f t="shared" ca="1" si="297"/>
        <v>0.70887564199780961</v>
      </c>
      <c r="BG483" s="2">
        <f t="shared" ca="1" si="298"/>
        <v>5.3494366046091278E-2</v>
      </c>
      <c r="BH483" s="2">
        <f t="shared" ca="1" si="299"/>
        <v>0.70887564199780961</v>
      </c>
      <c r="BI483" s="2">
        <f t="shared" ca="1" si="300"/>
        <v>0.70887564199780961</v>
      </c>
    </row>
    <row r="484" spans="1:61" ht="15" x14ac:dyDescent="0.25">
      <c r="A484" s="66">
        <v>418</v>
      </c>
      <c r="B484" s="66">
        <v>1498730339.71</v>
      </c>
      <c r="C484" s="67">
        <v>-1.5591561980666901E-5</v>
      </c>
      <c r="D484" s="67">
        <v>4.1788411834654297E-5</v>
      </c>
      <c r="E484" s="67">
        <v>1.2829458822040601E-2</v>
      </c>
      <c r="F484" s="67">
        <v>4.3853501381685401E-4</v>
      </c>
      <c r="G484" s="67">
        <v>1.25556863241017E-5</v>
      </c>
      <c r="H484" s="67">
        <v>0.23614758560840901</v>
      </c>
      <c r="I484" s="67">
        <v>4.1788411834654297E-5</v>
      </c>
      <c r="J484" s="67">
        <v>0.170588969582043</v>
      </c>
      <c r="K484" s="67">
        <v>2.0496610751366302</v>
      </c>
      <c r="L484" s="67"/>
      <c r="M484" s="67"/>
      <c r="O484" s="11">
        <f t="shared" ca="1" si="258"/>
        <v>-2.8395492690626929E-5</v>
      </c>
      <c r="P484" s="11">
        <f t="shared" ca="1" si="259"/>
        <v>4.1023311604349559E-5</v>
      </c>
      <c r="Q484" s="11">
        <f t="shared" ca="1" si="260"/>
        <v>1.1992967209772316E-2</v>
      </c>
      <c r="R484" s="11">
        <f t="shared" ca="1" si="261"/>
        <v>4.268885261705069E-4</v>
      </c>
      <c r="S484" s="11">
        <f t="shared" ca="1" si="262"/>
        <v>1.6280342771315773E-6</v>
      </c>
      <c r="T484" s="11">
        <f t="shared" ca="1" si="263"/>
        <v>0.23500903056982672</v>
      </c>
      <c r="U484" s="11">
        <f t="shared" ca="1" si="264"/>
        <v>4.1023311604349559E-5</v>
      </c>
      <c r="V484" s="11">
        <f t="shared" ca="1" si="265"/>
        <v>0.16993877357634923</v>
      </c>
      <c r="W484" s="11">
        <f t="shared" ca="1" si="266"/>
        <v>2.0425382268731251</v>
      </c>
      <c r="X484" s="11"/>
      <c r="Y484" s="2">
        <f t="shared" ca="1" si="267"/>
        <v>-2.8395492690626929E-5</v>
      </c>
      <c r="Z484" s="11">
        <f t="shared" ca="1" si="268"/>
        <v>4.1023311604349559E-5</v>
      </c>
      <c r="AA484" s="2">
        <f t="shared" ca="1" si="269"/>
        <v>1.1992653350740481E-2</v>
      </c>
      <c r="AB484" s="2">
        <f t="shared" ca="1" si="270"/>
        <v>4.1929171096811166E-4</v>
      </c>
      <c r="AC484" s="2">
        <f t="shared" ca="1" si="271"/>
        <v>1.6280342771315773E-6</v>
      </c>
      <c r="AD484" s="2">
        <f t="shared" ca="1" si="272"/>
        <v>0.23495378424706376</v>
      </c>
      <c r="AE484" s="2">
        <f t="shared" ca="1" si="273"/>
        <v>4.1023311604349559E-5</v>
      </c>
      <c r="AF484" s="2">
        <f t="shared" ca="1" si="274"/>
        <v>0.16985718806097139</v>
      </c>
      <c r="AG484" s="2">
        <f t="shared" ca="1" si="275"/>
        <v>2.0425051213689147</v>
      </c>
      <c r="AI484" s="2">
        <f t="shared" ca="1" si="276"/>
        <v>-2.8395492690626929E-5</v>
      </c>
      <c r="AJ484" s="11">
        <f t="shared" ca="1" si="277"/>
        <v>4.1023311604349559E-5</v>
      </c>
      <c r="AK484" s="2">
        <f t="shared" ca="1" si="278"/>
        <v>1.19442534334469E-2</v>
      </c>
      <c r="AL484" s="2">
        <f t="shared" ca="1" si="279"/>
        <v>3.966385279933739E-4</v>
      </c>
      <c r="AM484" s="2">
        <f t="shared" ca="1" si="280"/>
        <v>1.6280342771315773E-6</v>
      </c>
      <c r="AN484" s="2">
        <f t="shared" ca="1" si="281"/>
        <v>0.23495378424706376</v>
      </c>
      <c r="AO484" s="2">
        <f t="shared" ca="1" si="282"/>
        <v>4.1023311604349559E-5</v>
      </c>
      <c r="AP484" s="2">
        <f t="shared" ca="1" si="283"/>
        <v>0.16985718806097139</v>
      </c>
      <c r="AQ484" s="2">
        <f t="shared" ca="1" si="284"/>
        <v>2.0425051213689147</v>
      </c>
      <c r="AS484" s="2">
        <f t="shared" ca="1" si="285"/>
        <v>8.6913180396539644</v>
      </c>
      <c r="AT484" s="2">
        <f t="shared" ca="1" si="286"/>
        <v>0.40040180189778746</v>
      </c>
      <c r="AU484" s="2">
        <f t="shared" ca="1" si="287"/>
        <v>1.7092693508816175E-4</v>
      </c>
      <c r="AV484" s="2">
        <f t="shared" ca="1" si="288"/>
        <v>0.16976784664126107</v>
      </c>
      <c r="AW484" s="2">
        <f t="shared" ca="1" si="289"/>
        <v>0.70903566099683391</v>
      </c>
      <c r="AX484" s="2">
        <f t="shared" ca="1" si="290"/>
        <v>5.3003699584976693E-2</v>
      </c>
      <c r="AY484" s="9">
        <f t="shared" ca="1" si="291"/>
        <v>0.70903566099683391</v>
      </c>
      <c r="AZ484" s="9">
        <f t="shared" ca="1" si="292"/>
        <v>0.70903566099683391</v>
      </c>
      <c r="BB484" s="2">
        <f t="shared" ca="1" si="293"/>
        <v>8.6932207877151484</v>
      </c>
      <c r="BC484" s="2">
        <f t="shared" ca="1" si="294"/>
        <v>0.40049052322351608</v>
      </c>
      <c r="BD484" s="2">
        <f t="shared" ca="1" si="295"/>
        <v>1.5884997160667155E-4</v>
      </c>
      <c r="BE484" s="2">
        <f t="shared" ca="1" si="296"/>
        <v>0.16969833808936471</v>
      </c>
      <c r="BF484" s="2">
        <f t="shared" ca="1" si="297"/>
        <v>0.70883386652398628</v>
      </c>
      <c r="BG484" s="2">
        <f t="shared" ca="1" si="298"/>
        <v>5.2812646603411492E-2</v>
      </c>
      <c r="BH484" s="2">
        <f t="shared" ca="1" si="299"/>
        <v>0.70883386652398628</v>
      </c>
      <c r="BI484" s="2">
        <f t="shared" ca="1" si="300"/>
        <v>0.70883386652398628</v>
      </c>
    </row>
    <row r="485" spans="1:61" ht="15" x14ac:dyDescent="0.25">
      <c r="A485" s="66">
        <v>419</v>
      </c>
      <c r="B485" s="66">
        <v>1498730340.237</v>
      </c>
      <c r="C485" s="67">
        <v>5.0078989259092297E-5</v>
      </c>
      <c r="D485" s="67">
        <v>-3.7439656957867703E-5</v>
      </c>
      <c r="E485" s="67">
        <v>1.276344293098E-2</v>
      </c>
      <c r="F485" s="67">
        <v>4.3615461950918301E-4</v>
      </c>
      <c r="G485" s="67">
        <v>-6.8070044263619195E-5</v>
      </c>
      <c r="H485" s="67">
        <v>0.23438560888459301</v>
      </c>
      <c r="I485" s="67">
        <v>-3.7439656957867703E-5</v>
      </c>
      <c r="J485" s="67">
        <v>0.16911964436063001</v>
      </c>
      <c r="K485" s="67">
        <v>2.0350466870358299</v>
      </c>
      <c r="L485" s="67"/>
      <c r="M485" s="67"/>
      <c r="O485" s="11">
        <f t="shared" ca="1" si="258"/>
        <v>3.727505854913227E-5</v>
      </c>
      <c r="P485" s="11">
        <f t="shared" ca="1" si="259"/>
        <v>-3.8204757188172441E-5</v>
      </c>
      <c r="Q485" s="11">
        <f t="shared" ca="1" si="260"/>
        <v>1.1926951318711715E-2</v>
      </c>
      <c r="R485" s="11">
        <f t="shared" ca="1" si="261"/>
        <v>4.245081318628359E-4</v>
      </c>
      <c r="S485" s="11">
        <f t="shared" ca="1" si="262"/>
        <v>-7.8997696310589323E-5</v>
      </c>
      <c r="T485" s="11">
        <f t="shared" ca="1" si="263"/>
        <v>0.23324705384601072</v>
      </c>
      <c r="U485" s="11">
        <f t="shared" ca="1" si="264"/>
        <v>-3.8204757188172441E-5</v>
      </c>
      <c r="V485" s="11">
        <f t="shared" ca="1" si="265"/>
        <v>0.16846944835493624</v>
      </c>
      <c r="W485" s="11">
        <f t="shared" ca="1" si="266"/>
        <v>2.0279238387723248</v>
      </c>
      <c r="X485" s="11"/>
      <c r="Y485" s="2">
        <f t="shared" ca="1" si="267"/>
        <v>3.727505854913227E-5</v>
      </c>
      <c r="Z485" s="11">
        <f t="shared" ca="1" si="268"/>
        <v>-3.8204757188172441E-5</v>
      </c>
      <c r="AA485" s="2">
        <f t="shared" ca="1" si="269"/>
        <v>1.1926951318711715E-2</v>
      </c>
      <c r="AB485" s="2">
        <f t="shared" ca="1" si="270"/>
        <v>4.245081318628359E-4</v>
      </c>
      <c r="AC485" s="2">
        <f t="shared" ca="1" si="271"/>
        <v>-7.8997696310589323E-5</v>
      </c>
      <c r="AD485" s="2">
        <f t="shared" ca="1" si="272"/>
        <v>0.23324705384601072</v>
      </c>
      <c r="AE485" s="2">
        <f t="shared" ca="1" si="273"/>
        <v>-3.8204757188172441E-5</v>
      </c>
      <c r="AF485" s="2">
        <f t="shared" ca="1" si="274"/>
        <v>0.16846944835493624</v>
      </c>
      <c r="AG485" s="2">
        <f t="shared" ca="1" si="275"/>
        <v>2.0279238387723248</v>
      </c>
      <c r="AI485" s="2">
        <f t="shared" ca="1" si="276"/>
        <v>3.727505854913227E-5</v>
      </c>
      <c r="AJ485" s="11">
        <f t="shared" ca="1" si="277"/>
        <v>-3.8204757188172441E-5</v>
      </c>
      <c r="AK485" s="2">
        <f t="shared" ca="1" si="278"/>
        <v>1.1926951318711715E-2</v>
      </c>
      <c r="AL485" s="2">
        <f t="shared" ca="1" si="279"/>
        <v>4.245081318628359E-4</v>
      </c>
      <c r="AM485" s="2">
        <f t="shared" ca="1" si="280"/>
        <v>-7.8997696310589323E-5</v>
      </c>
      <c r="AN485" s="2">
        <f t="shared" ca="1" si="281"/>
        <v>0.23324705384601072</v>
      </c>
      <c r="AO485" s="2">
        <f t="shared" ca="1" si="282"/>
        <v>-3.8204757188172441E-5</v>
      </c>
      <c r="AP485" s="2">
        <f t="shared" ca="1" si="283"/>
        <v>0.16846944835493624</v>
      </c>
      <c r="AQ485" s="2">
        <f t="shared" ca="1" si="284"/>
        <v>2.0279238387723248</v>
      </c>
      <c r="AS485" s="2">
        <f t="shared" ca="1" si="285"/>
        <v>8.6943170571027082</v>
      </c>
      <c r="AT485" s="2">
        <f t="shared" ca="1" si="286"/>
        <v>0.40054164017320315</v>
      </c>
      <c r="AU485" s="2">
        <f t="shared" ca="1" si="287"/>
        <v>1.7003318340320269E-4</v>
      </c>
      <c r="AV485" s="2">
        <f t="shared" ca="1" si="288"/>
        <v>0.16829941517153305</v>
      </c>
      <c r="AW485" s="2">
        <f t="shared" ca="1" si="289"/>
        <v>0.70808953428508647</v>
      </c>
      <c r="AX485" s="2">
        <f t="shared" ca="1" si="290"/>
        <v>5.3128882765878155E-2</v>
      </c>
      <c r="AY485" s="9">
        <f t="shared" ca="1" si="291"/>
        <v>0.70808953428508647</v>
      </c>
      <c r="AZ485" s="9">
        <f t="shared" ca="1" si="292"/>
        <v>0.70808953428508647</v>
      </c>
      <c r="BB485" s="2">
        <f t="shared" ca="1" si="293"/>
        <v>8.6943170571027082</v>
      </c>
      <c r="BC485" s="2">
        <f t="shared" ca="1" si="294"/>
        <v>0.40054164017320315</v>
      </c>
      <c r="BD485" s="2">
        <f t="shared" ca="1" si="295"/>
        <v>1.7003318340320269E-4</v>
      </c>
      <c r="BE485" s="2">
        <f t="shared" ca="1" si="296"/>
        <v>0.16829941517153305</v>
      </c>
      <c r="BF485" s="2">
        <f t="shared" ca="1" si="297"/>
        <v>0.70808953428508647</v>
      </c>
      <c r="BG485" s="2">
        <f t="shared" ca="1" si="298"/>
        <v>5.3128882765878155E-2</v>
      </c>
      <c r="BH485" s="2">
        <f t="shared" ca="1" si="299"/>
        <v>0.70808953428508647</v>
      </c>
      <c r="BI485" s="2">
        <f t="shared" ca="1" si="300"/>
        <v>0.70808953428508647</v>
      </c>
    </row>
    <row r="486" spans="1:61" ht="15" x14ac:dyDescent="0.25">
      <c r="A486" s="66">
        <v>420</v>
      </c>
      <c r="B486" s="66">
        <v>1498730340.7639999</v>
      </c>
      <c r="C486" s="67">
        <v>-6.25976686358727E-5</v>
      </c>
      <c r="D486" s="67">
        <v>3.8220134401888798E-5</v>
      </c>
      <c r="E486" s="67">
        <v>1.2638891834580701E-2</v>
      </c>
      <c r="F486" s="67">
        <v>4.2544291532497797E-4</v>
      </c>
      <c r="G486" s="67">
        <v>9.64281697426787E-5</v>
      </c>
      <c r="H486" s="67">
        <v>0.23216688081939099</v>
      </c>
      <c r="I486" s="67">
        <v>3.8220134401888798E-5</v>
      </c>
      <c r="J486" s="67">
        <v>0.16765359846047401</v>
      </c>
      <c r="K486" s="67">
        <v>2.0145256395220001</v>
      </c>
      <c r="L486" s="67"/>
      <c r="M486" s="67"/>
      <c r="O486" s="11">
        <f t="shared" ca="1" si="258"/>
        <v>-7.5401599345832735E-5</v>
      </c>
      <c r="P486" s="11">
        <f t="shared" ca="1" si="259"/>
        <v>3.745503417158406E-5</v>
      </c>
      <c r="Q486" s="11">
        <f t="shared" ca="1" si="260"/>
        <v>1.1802400222312416E-2</v>
      </c>
      <c r="R486" s="11">
        <f t="shared" ca="1" si="261"/>
        <v>4.1379642767863087E-4</v>
      </c>
      <c r="S486" s="11">
        <f t="shared" ca="1" si="262"/>
        <v>8.5500517695708572E-5</v>
      </c>
      <c r="T486" s="11">
        <f t="shared" ca="1" si="263"/>
        <v>0.2310283257808087</v>
      </c>
      <c r="U486" s="11">
        <f t="shared" ca="1" si="264"/>
        <v>3.745503417158406E-5</v>
      </c>
      <c r="V486" s="11">
        <f t="shared" ca="1" si="265"/>
        <v>0.16700340245478024</v>
      </c>
      <c r="W486" s="11">
        <f t="shared" ca="1" si="266"/>
        <v>2.0074027912584951</v>
      </c>
      <c r="X486" s="11"/>
      <c r="Y486" s="2">
        <f t="shared" ca="1" si="267"/>
        <v>-7.5401599345832735E-5</v>
      </c>
      <c r="Z486" s="11">
        <f t="shared" ca="1" si="268"/>
        <v>3.745503417158406E-5</v>
      </c>
      <c r="AA486" s="2">
        <f t="shared" ca="1" si="269"/>
        <v>1.1802113663273111E-2</v>
      </c>
      <c r="AB486" s="2">
        <f t="shared" ca="1" si="270"/>
        <v>4.0686039638634599E-4</v>
      </c>
      <c r="AC486" s="2">
        <f t="shared" ca="1" si="271"/>
        <v>8.5500517695708572E-5</v>
      </c>
      <c r="AD486" s="2">
        <f t="shared" ca="1" si="272"/>
        <v>0.23097788487718546</v>
      </c>
      <c r="AE486" s="2">
        <f t="shared" ca="1" si="273"/>
        <v>3.745503417158406E-5</v>
      </c>
      <c r="AF486" s="2">
        <f t="shared" ca="1" si="274"/>
        <v>0.16692891338632437</v>
      </c>
      <c r="AG486" s="2">
        <f t="shared" ca="1" si="275"/>
        <v>2.0073725653273606</v>
      </c>
      <c r="AI486" s="2">
        <f t="shared" ca="1" si="276"/>
        <v>-7.5401599345832735E-5</v>
      </c>
      <c r="AJ486" s="11">
        <f t="shared" ca="1" si="277"/>
        <v>3.745503417158406E-5</v>
      </c>
      <c r="AK486" s="2">
        <f t="shared" ca="1" si="278"/>
        <v>1.1757923653124327E-2</v>
      </c>
      <c r="AL486" s="2">
        <f t="shared" ca="1" si="279"/>
        <v>3.8617762580465584E-4</v>
      </c>
      <c r="AM486" s="2">
        <f t="shared" ca="1" si="280"/>
        <v>8.5500517695708572E-5</v>
      </c>
      <c r="AN486" s="2">
        <f t="shared" ca="1" si="281"/>
        <v>0.23097788487718546</v>
      </c>
      <c r="AO486" s="2">
        <f t="shared" ca="1" si="282"/>
        <v>3.745503417158406E-5</v>
      </c>
      <c r="AP486" s="2">
        <f t="shared" ca="1" si="283"/>
        <v>0.16692891338632437</v>
      </c>
      <c r="AQ486" s="2">
        <f t="shared" ca="1" si="284"/>
        <v>2.0073725653273606</v>
      </c>
      <c r="AS486" s="2">
        <f t="shared" ca="1" si="285"/>
        <v>8.6889899083761968</v>
      </c>
      <c r="AT486" s="2">
        <f t="shared" ca="1" si="286"/>
        <v>0.40029324612633999</v>
      </c>
      <c r="AU486" s="2">
        <f t="shared" ca="1" si="287"/>
        <v>1.6563991527096243E-4</v>
      </c>
      <c r="AV486" s="2">
        <f t="shared" ca="1" si="288"/>
        <v>0.16683776253950927</v>
      </c>
      <c r="AW486" s="2">
        <f t="shared" ca="1" si="289"/>
        <v>0.70889988905582924</v>
      </c>
      <c r="AX486" s="2">
        <f t="shared" ca="1" si="290"/>
        <v>5.3045694605127383E-2</v>
      </c>
      <c r="AY486" s="9">
        <f t="shared" ca="1" si="291"/>
        <v>0.70889988905582924</v>
      </c>
      <c r="AZ486" s="9">
        <f t="shared" ca="1" si="292"/>
        <v>0.70889988905582924</v>
      </c>
      <c r="BB486" s="2">
        <f t="shared" ca="1" si="293"/>
        <v>8.6907565475141126</v>
      </c>
      <c r="BC486" s="2">
        <f t="shared" ca="1" si="294"/>
        <v>0.40037562069051219</v>
      </c>
      <c r="BD486" s="2">
        <f t="shared" ca="1" si="295"/>
        <v>1.5461610662832745E-4</v>
      </c>
      <c r="BE486" s="2">
        <f t="shared" ca="1" si="296"/>
        <v>0.16677429727969606</v>
      </c>
      <c r="BF486" s="2">
        <f t="shared" ca="1" si="297"/>
        <v>0.70871241175807198</v>
      </c>
      <c r="BG486" s="2">
        <f t="shared" ca="1" si="298"/>
        <v>5.2868332659083576E-2</v>
      </c>
      <c r="BH486" s="2">
        <f t="shared" ca="1" si="299"/>
        <v>0.70871241175807198</v>
      </c>
      <c r="BI486" s="2">
        <f t="shared" ca="1" si="300"/>
        <v>0.70871241175807198</v>
      </c>
    </row>
    <row r="487" spans="1:61" ht="15" x14ac:dyDescent="0.25">
      <c r="A487" s="66">
        <v>421</v>
      </c>
      <c r="B487" s="66">
        <v>1498730341.2909999</v>
      </c>
      <c r="C487" s="67">
        <v>-5.99993992810973E-5</v>
      </c>
      <c r="D487" s="67">
        <v>-2.78288909973043E-5</v>
      </c>
      <c r="E487" s="67">
        <v>1.29557201909021E-2</v>
      </c>
      <c r="F487" s="67">
        <v>4.0330575735837899E-4</v>
      </c>
      <c r="G487" s="67">
        <v>-8.0160586450861605E-5</v>
      </c>
      <c r="H487" s="67">
        <v>0.23798396511436301</v>
      </c>
      <c r="I487" s="67">
        <v>-2.78288909973043E-5</v>
      </c>
      <c r="J487" s="67">
        <v>0.17193376758427301</v>
      </c>
      <c r="K487" s="67">
        <v>2.0658289951627702</v>
      </c>
      <c r="L487" s="67"/>
      <c r="M487" s="67"/>
      <c r="O487" s="11">
        <f t="shared" ca="1" si="258"/>
        <v>-7.2803329991057321E-5</v>
      </c>
      <c r="P487" s="11">
        <f t="shared" ca="1" si="259"/>
        <v>-2.8593991227609042E-5</v>
      </c>
      <c r="Q487" s="11">
        <f t="shared" ca="1" si="260"/>
        <v>1.2119228578633815E-2</v>
      </c>
      <c r="R487" s="11">
        <f t="shared" ca="1" si="261"/>
        <v>3.9165926971203188E-4</v>
      </c>
      <c r="S487" s="11">
        <f t="shared" ca="1" si="262"/>
        <v>-9.1088238497831733E-5</v>
      </c>
      <c r="T487" s="11">
        <f t="shared" ca="1" si="263"/>
        <v>0.23684541007578072</v>
      </c>
      <c r="U487" s="11">
        <f t="shared" ca="1" si="264"/>
        <v>-2.8593991227609042E-5</v>
      </c>
      <c r="V487" s="11">
        <f t="shared" ca="1" si="265"/>
        <v>0.17128357157857924</v>
      </c>
      <c r="W487" s="11">
        <f t="shared" ca="1" si="266"/>
        <v>2.0587061468992651</v>
      </c>
      <c r="X487" s="11"/>
      <c r="Y487" s="2">
        <f t="shared" ca="1" si="267"/>
        <v>-7.2803329991057321E-5</v>
      </c>
      <c r="Z487" s="11">
        <f t="shared" ca="1" si="268"/>
        <v>-2.8593991227609042E-5</v>
      </c>
      <c r="AA487" s="2">
        <f t="shared" ca="1" si="269"/>
        <v>1.2119228578633815E-2</v>
      </c>
      <c r="AB487" s="2">
        <f t="shared" ca="1" si="270"/>
        <v>3.9165926971203188E-4</v>
      </c>
      <c r="AC487" s="2">
        <f t="shared" ca="1" si="271"/>
        <v>-9.1088238497831733E-5</v>
      </c>
      <c r="AD487" s="2">
        <f t="shared" ca="1" si="272"/>
        <v>0.23684541007578072</v>
      </c>
      <c r="AE487" s="2">
        <f t="shared" ca="1" si="273"/>
        <v>-2.8593991227609042E-5</v>
      </c>
      <c r="AF487" s="2">
        <f t="shared" ca="1" si="274"/>
        <v>0.17128357157857924</v>
      </c>
      <c r="AG487" s="2">
        <f t="shared" ca="1" si="275"/>
        <v>2.0587061468992651</v>
      </c>
      <c r="AI487" s="2">
        <f t="shared" ca="1" si="276"/>
        <v>-7.2803329991057321E-5</v>
      </c>
      <c r="AJ487" s="11">
        <f t="shared" ca="1" si="277"/>
        <v>-2.8593991227609042E-5</v>
      </c>
      <c r="AK487" s="2">
        <f t="shared" ca="1" si="278"/>
        <v>1.2119228578633815E-2</v>
      </c>
      <c r="AL487" s="2">
        <f t="shared" ca="1" si="279"/>
        <v>3.9165926971203188E-4</v>
      </c>
      <c r="AM487" s="2">
        <f t="shared" ca="1" si="280"/>
        <v>-9.1088238497831733E-5</v>
      </c>
      <c r="AN487" s="2">
        <f t="shared" ca="1" si="281"/>
        <v>0.23684541007578072</v>
      </c>
      <c r="AO487" s="2">
        <f t="shared" ca="1" si="282"/>
        <v>-2.8593991227609042E-5</v>
      </c>
      <c r="AP487" s="2">
        <f t="shared" ca="1" si="283"/>
        <v>0.17128357157857924</v>
      </c>
      <c r="AQ487" s="2">
        <f t="shared" ca="1" si="284"/>
        <v>2.0587061468992651</v>
      </c>
      <c r="AS487" s="2">
        <f t="shared" ca="1" si="285"/>
        <v>8.692193554608318</v>
      </c>
      <c r="AT487" s="2">
        <f t="shared" ca="1" si="286"/>
        <v>0.40044262537482095</v>
      </c>
      <c r="AU487" s="2">
        <f t="shared" ca="1" si="287"/>
        <v>1.5683706621587114E-4</v>
      </c>
      <c r="AV487" s="2">
        <f t="shared" ca="1" si="288"/>
        <v>0.17112673451236338</v>
      </c>
      <c r="AW487" s="2">
        <f t="shared" ca="1" si="289"/>
        <v>0.70913357729819892</v>
      </c>
      <c r="AX487" s="2">
        <f t="shared" ca="1" si="290"/>
        <v>5.3151907600931927E-2</v>
      </c>
      <c r="AY487" s="9">
        <f t="shared" ca="1" si="291"/>
        <v>0.70913357729819892</v>
      </c>
      <c r="AZ487" s="9">
        <f t="shared" ca="1" si="292"/>
        <v>0.70913357729819892</v>
      </c>
      <c r="BB487" s="2">
        <f t="shared" ca="1" si="293"/>
        <v>8.692193554608318</v>
      </c>
      <c r="BC487" s="2">
        <f t="shared" ca="1" si="294"/>
        <v>0.40044262537482095</v>
      </c>
      <c r="BD487" s="2">
        <f t="shared" ca="1" si="295"/>
        <v>1.5683706621587114E-4</v>
      </c>
      <c r="BE487" s="2">
        <f t="shared" ca="1" si="296"/>
        <v>0.17112673451236338</v>
      </c>
      <c r="BF487" s="2">
        <f t="shared" ca="1" si="297"/>
        <v>0.70913357729819892</v>
      </c>
      <c r="BG487" s="2">
        <f t="shared" ca="1" si="298"/>
        <v>5.3151907600931927E-2</v>
      </c>
      <c r="BH487" s="2">
        <f t="shared" ca="1" si="299"/>
        <v>0.70913357729819892</v>
      </c>
      <c r="BI487" s="2">
        <f t="shared" ca="1" si="300"/>
        <v>0.70913357729819892</v>
      </c>
    </row>
    <row r="488" spans="1:61" ht="15" x14ac:dyDescent="0.25">
      <c r="A488" s="66">
        <v>422</v>
      </c>
      <c r="B488" s="66">
        <v>1498730341.819</v>
      </c>
      <c r="C488" s="67">
        <v>-8.2438773876058002E-5</v>
      </c>
      <c r="D488" s="67">
        <v>-7.3135378177791393E-5</v>
      </c>
      <c r="E488" s="67">
        <v>1.3056210444050099E-2</v>
      </c>
      <c r="F488" s="67">
        <v>4.2282451621865401E-4</v>
      </c>
      <c r="G488" s="67">
        <v>-4.7013916407913697E-5</v>
      </c>
      <c r="H488" s="67">
        <v>0.242532073544341</v>
      </c>
      <c r="I488" s="67">
        <v>-7.3135378177791393E-5</v>
      </c>
      <c r="J488" s="67">
        <v>0.175238232461018</v>
      </c>
      <c r="K488" s="67">
        <v>2.10430453403993</v>
      </c>
      <c r="L488" s="67"/>
      <c r="M488" s="67"/>
      <c r="O488" s="11">
        <f t="shared" ca="1" si="258"/>
        <v>-9.5242704586018023E-5</v>
      </c>
      <c r="P488" s="11">
        <f t="shared" ca="1" si="259"/>
        <v>-7.3900478408096132E-5</v>
      </c>
      <c r="Q488" s="11">
        <f t="shared" ca="1" si="260"/>
        <v>1.2219718831781815E-2</v>
      </c>
      <c r="R488" s="11">
        <f t="shared" ca="1" si="261"/>
        <v>4.111780285723069E-4</v>
      </c>
      <c r="S488" s="11">
        <f t="shared" ca="1" si="262"/>
        <v>-5.7941568454883818E-5</v>
      </c>
      <c r="T488" s="11">
        <f t="shared" ca="1" si="263"/>
        <v>0.24139351850575871</v>
      </c>
      <c r="U488" s="11">
        <f t="shared" ca="1" si="264"/>
        <v>-7.3900478408096132E-5</v>
      </c>
      <c r="V488" s="11">
        <f t="shared" ca="1" si="265"/>
        <v>0.17458803645532422</v>
      </c>
      <c r="W488" s="11">
        <f t="shared" ca="1" si="266"/>
        <v>2.0971816857764249</v>
      </c>
      <c r="X488" s="11"/>
      <c r="Y488" s="2">
        <f t="shared" ca="1" si="267"/>
        <v>-9.5242704586018023E-5</v>
      </c>
      <c r="Z488" s="11">
        <f t="shared" ca="1" si="268"/>
        <v>-7.3900478408096132E-5</v>
      </c>
      <c r="AA488" s="2">
        <f t="shared" ca="1" si="269"/>
        <v>1.2219718831781815E-2</v>
      </c>
      <c r="AB488" s="2">
        <f t="shared" ca="1" si="270"/>
        <v>4.111780285723069E-4</v>
      </c>
      <c r="AC488" s="2">
        <f t="shared" ca="1" si="271"/>
        <v>-5.7941568454883818E-5</v>
      </c>
      <c r="AD488" s="2">
        <f t="shared" ca="1" si="272"/>
        <v>0.24139351850575871</v>
      </c>
      <c r="AE488" s="2">
        <f t="shared" ca="1" si="273"/>
        <v>-7.3900478408096132E-5</v>
      </c>
      <c r="AF488" s="2">
        <f t="shared" ca="1" si="274"/>
        <v>0.17458803645532422</v>
      </c>
      <c r="AG488" s="2">
        <f t="shared" ca="1" si="275"/>
        <v>2.0971816857764249</v>
      </c>
      <c r="AI488" s="2">
        <f t="shared" ca="1" si="276"/>
        <v>-9.5242704586018023E-5</v>
      </c>
      <c r="AJ488" s="11">
        <f t="shared" ca="1" si="277"/>
        <v>-7.3900478408096132E-5</v>
      </c>
      <c r="AK488" s="2">
        <f t="shared" ca="1" si="278"/>
        <v>1.2219718831781815E-2</v>
      </c>
      <c r="AL488" s="2">
        <f t="shared" ca="1" si="279"/>
        <v>4.111780285723069E-4</v>
      </c>
      <c r="AM488" s="2">
        <f t="shared" ca="1" si="280"/>
        <v>-5.7941568454883818E-5</v>
      </c>
      <c r="AN488" s="2">
        <f t="shared" ca="1" si="281"/>
        <v>0.24139351850575871</v>
      </c>
      <c r="AO488" s="2">
        <f t="shared" ca="1" si="282"/>
        <v>-7.3900478408096132E-5</v>
      </c>
      <c r="AP488" s="2">
        <f t="shared" ca="1" si="283"/>
        <v>0.17458803645532422</v>
      </c>
      <c r="AQ488" s="2">
        <f t="shared" ca="1" si="284"/>
        <v>2.0971816857764249</v>
      </c>
      <c r="AS488" s="2">
        <f t="shared" ca="1" si="285"/>
        <v>8.6878127414443984</v>
      </c>
      <c r="AT488" s="2">
        <f t="shared" ca="1" si="286"/>
        <v>0.40023835748968706</v>
      </c>
      <c r="AU488" s="2">
        <f t="shared" ca="1" si="287"/>
        <v>1.6456921879162774E-4</v>
      </c>
      <c r="AV488" s="2">
        <f t="shared" ca="1" si="288"/>
        <v>0.1744234672365326</v>
      </c>
      <c r="AW488" s="2">
        <f t="shared" ca="1" si="289"/>
        <v>0.70935678113965106</v>
      </c>
      <c r="AX488" s="2">
        <f t="shared" ca="1" si="290"/>
        <v>5.255577355085303E-2</v>
      </c>
      <c r="AY488" s="9">
        <f t="shared" ca="1" si="291"/>
        <v>0.70935678113965106</v>
      </c>
      <c r="AZ488" s="9">
        <f t="shared" ca="1" si="292"/>
        <v>0.70935678113965106</v>
      </c>
      <c r="BB488" s="2">
        <f t="shared" ca="1" si="293"/>
        <v>8.6878127414443984</v>
      </c>
      <c r="BC488" s="2">
        <f t="shared" ca="1" si="294"/>
        <v>0.40023835748968706</v>
      </c>
      <c r="BD488" s="2">
        <f t="shared" ca="1" si="295"/>
        <v>1.6456921879162774E-4</v>
      </c>
      <c r="BE488" s="2">
        <f t="shared" ca="1" si="296"/>
        <v>0.1744234672365326</v>
      </c>
      <c r="BF488" s="2">
        <f t="shared" ca="1" si="297"/>
        <v>0.70935678113965106</v>
      </c>
      <c r="BG488" s="2">
        <f t="shared" ca="1" si="298"/>
        <v>5.255577355085303E-2</v>
      </c>
      <c r="BH488" s="2">
        <f t="shared" ca="1" si="299"/>
        <v>0.70935678113965106</v>
      </c>
      <c r="BI488" s="2">
        <f t="shared" ca="1" si="300"/>
        <v>0.70935678113965106</v>
      </c>
    </row>
    <row r="489" spans="1:61" ht="15" x14ac:dyDescent="0.25">
      <c r="A489" s="66">
        <v>423</v>
      </c>
      <c r="B489" s="66">
        <v>1498730342.346</v>
      </c>
      <c r="C489" s="67">
        <v>6.4253059836107202E-5</v>
      </c>
      <c r="D489" s="67">
        <v>-5.1488117841868898E-5</v>
      </c>
      <c r="E489" s="67">
        <v>1.2858854145377199E-2</v>
      </c>
      <c r="F489" s="67">
        <v>4.77336240881878E-4</v>
      </c>
      <c r="G489" s="67">
        <v>-4.4237466553950899E-5</v>
      </c>
      <c r="H489" s="67">
        <v>0.234769087062244</v>
      </c>
      <c r="I489" s="67">
        <v>-5.1488117841868898E-5</v>
      </c>
      <c r="J489" s="67">
        <v>0.16969006677832699</v>
      </c>
      <c r="K489" s="67">
        <v>2.0409406770374501</v>
      </c>
      <c r="L489" s="67"/>
      <c r="M489" s="67"/>
      <c r="O489" s="11">
        <f t="shared" ca="1" si="258"/>
        <v>5.1449129126147175E-5</v>
      </c>
      <c r="P489" s="11">
        <f t="shared" ca="1" si="259"/>
        <v>-5.2253218072173637E-5</v>
      </c>
      <c r="Q489" s="11">
        <f t="shared" ca="1" si="260"/>
        <v>1.2022362533108915E-2</v>
      </c>
      <c r="R489" s="11">
        <f t="shared" ca="1" si="261"/>
        <v>4.6568975323553089E-4</v>
      </c>
      <c r="S489" s="11">
        <f t="shared" ca="1" si="262"/>
        <v>-5.516511860092102E-5</v>
      </c>
      <c r="T489" s="11">
        <f t="shared" ca="1" si="263"/>
        <v>0.23363053202366171</v>
      </c>
      <c r="U489" s="11">
        <f t="shared" ca="1" si="264"/>
        <v>-5.2253218072173637E-5</v>
      </c>
      <c r="V489" s="11">
        <f t="shared" ca="1" si="265"/>
        <v>0.16903987077263322</v>
      </c>
      <c r="W489" s="11">
        <f t="shared" ca="1" si="266"/>
        <v>2.033817828773945</v>
      </c>
      <c r="X489" s="11"/>
      <c r="Y489" s="2">
        <f t="shared" ca="1" si="267"/>
        <v>5.1449129126147175E-5</v>
      </c>
      <c r="Z489" s="11">
        <f t="shared" ca="1" si="268"/>
        <v>-5.2253218072173637E-5</v>
      </c>
      <c r="AA489" s="2">
        <f t="shared" ca="1" si="269"/>
        <v>1.2022362533108915E-2</v>
      </c>
      <c r="AB489" s="2">
        <f t="shared" ca="1" si="270"/>
        <v>4.6568975323553089E-4</v>
      </c>
      <c r="AC489" s="2">
        <f t="shared" ca="1" si="271"/>
        <v>-5.516511860092102E-5</v>
      </c>
      <c r="AD489" s="2">
        <f t="shared" ca="1" si="272"/>
        <v>0.23363053202366171</v>
      </c>
      <c r="AE489" s="2">
        <f t="shared" ca="1" si="273"/>
        <v>-5.2253218072173637E-5</v>
      </c>
      <c r="AF489" s="2">
        <f t="shared" ca="1" si="274"/>
        <v>0.16903987077263322</v>
      </c>
      <c r="AG489" s="2">
        <f t="shared" ca="1" si="275"/>
        <v>2.033817828773945</v>
      </c>
      <c r="AI489" s="2">
        <f t="shared" ca="1" si="276"/>
        <v>5.1449129126147175E-5</v>
      </c>
      <c r="AJ489" s="11">
        <f t="shared" ca="1" si="277"/>
        <v>-5.2253218072173637E-5</v>
      </c>
      <c r="AK489" s="2">
        <f t="shared" ca="1" si="278"/>
        <v>1.2022362533108915E-2</v>
      </c>
      <c r="AL489" s="2">
        <f t="shared" ca="1" si="279"/>
        <v>4.6568975323553089E-4</v>
      </c>
      <c r="AM489" s="2">
        <f t="shared" ca="1" si="280"/>
        <v>-5.516511860092102E-5</v>
      </c>
      <c r="AN489" s="2">
        <f t="shared" ca="1" si="281"/>
        <v>0.23363053202366171</v>
      </c>
      <c r="AO489" s="2">
        <f t="shared" ca="1" si="282"/>
        <v>-5.2253218072173637E-5</v>
      </c>
      <c r="AP489" s="2">
        <f t="shared" ca="1" si="283"/>
        <v>0.16903987077263322</v>
      </c>
      <c r="AQ489" s="2">
        <f t="shared" ca="1" si="284"/>
        <v>2.033817828773945</v>
      </c>
      <c r="AS489" s="2">
        <f t="shared" ca="1" si="285"/>
        <v>8.7052741401451907</v>
      </c>
      <c r="AT489" s="2">
        <f t="shared" ca="1" si="286"/>
        <v>0.40105255234141979</v>
      </c>
      <c r="AU489" s="2">
        <f t="shared" ca="1" si="287"/>
        <v>1.8676606413435562E-4</v>
      </c>
      <c r="AV489" s="2">
        <f t="shared" ca="1" si="288"/>
        <v>0.16885310470849885</v>
      </c>
      <c r="AW489" s="2">
        <f t="shared" ca="1" si="289"/>
        <v>0.708803303936833</v>
      </c>
      <c r="AX489" s="2">
        <f t="shared" ca="1" si="290"/>
        <v>5.3534940160191058E-2</v>
      </c>
      <c r="AY489" s="9">
        <f t="shared" ca="1" si="291"/>
        <v>0.708803303936833</v>
      </c>
      <c r="AZ489" s="9">
        <f t="shared" ca="1" si="292"/>
        <v>0.708803303936833</v>
      </c>
      <c r="BB489" s="2">
        <f t="shared" ca="1" si="293"/>
        <v>8.7052741401451907</v>
      </c>
      <c r="BC489" s="2">
        <f t="shared" ca="1" si="294"/>
        <v>0.40105255234141979</v>
      </c>
      <c r="BD489" s="2">
        <f t="shared" ca="1" si="295"/>
        <v>1.8676606413435562E-4</v>
      </c>
      <c r="BE489" s="2">
        <f t="shared" ca="1" si="296"/>
        <v>0.16885310470849885</v>
      </c>
      <c r="BF489" s="2">
        <f t="shared" ca="1" si="297"/>
        <v>0.708803303936833</v>
      </c>
      <c r="BG489" s="2">
        <f t="shared" ca="1" si="298"/>
        <v>5.3534940160191058E-2</v>
      </c>
      <c r="BH489" s="2">
        <f t="shared" ca="1" si="299"/>
        <v>0.708803303936833</v>
      </c>
      <c r="BI489" s="2">
        <f t="shared" ca="1" si="300"/>
        <v>0.708803303936833</v>
      </c>
    </row>
    <row r="490" spans="1:61" ht="15" x14ac:dyDescent="0.25">
      <c r="A490" s="66">
        <v>424</v>
      </c>
      <c r="B490" s="66">
        <v>1498730342.8729999</v>
      </c>
      <c r="C490" s="67">
        <v>3.2597914409521002E-5</v>
      </c>
      <c r="D490" s="67">
        <v>3.1485655872475201E-5</v>
      </c>
      <c r="E490" s="67">
        <v>1.2304342108826199E-2</v>
      </c>
      <c r="F490" s="67">
        <v>4.6043490761732501E-4</v>
      </c>
      <c r="G490" s="67">
        <v>-2.0116718613961599E-5</v>
      </c>
      <c r="H490" s="67">
        <v>0.225769578550336</v>
      </c>
      <c r="I490" s="67">
        <v>3.1485655872475201E-5</v>
      </c>
      <c r="J490" s="67">
        <v>0.16317193526805701</v>
      </c>
      <c r="K490" s="67">
        <v>1.9613262558914299</v>
      </c>
      <c r="L490" s="67"/>
      <c r="M490" s="67"/>
      <c r="O490" s="11">
        <f t="shared" ca="1" si="258"/>
        <v>1.9793983699560975E-5</v>
      </c>
      <c r="P490" s="11">
        <f t="shared" ca="1" si="259"/>
        <v>3.0720555642170462E-5</v>
      </c>
      <c r="Q490" s="11">
        <f t="shared" ca="1" si="260"/>
        <v>1.1467850496557914E-2</v>
      </c>
      <c r="R490" s="11">
        <f t="shared" ca="1" si="261"/>
        <v>4.487884199709779E-4</v>
      </c>
      <c r="S490" s="11">
        <f t="shared" ca="1" si="262"/>
        <v>-3.104437066093172E-5</v>
      </c>
      <c r="T490" s="11">
        <f t="shared" ca="1" si="263"/>
        <v>0.22463102351175371</v>
      </c>
      <c r="U490" s="11">
        <f t="shared" ca="1" si="264"/>
        <v>3.0720555642170462E-5</v>
      </c>
      <c r="V490" s="11">
        <f t="shared" ca="1" si="265"/>
        <v>0.16252173926236324</v>
      </c>
      <c r="W490" s="11">
        <f t="shared" ca="1" si="266"/>
        <v>1.9542034076279249</v>
      </c>
      <c r="X490" s="11"/>
      <c r="Y490" s="2">
        <f t="shared" ca="1" si="267"/>
        <v>1.9793983699560975E-5</v>
      </c>
      <c r="Z490" s="11">
        <f t="shared" ca="1" si="268"/>
        <v>3.0720555642170462E-5</v>
      </c>
      <c r="AA490" s="2">
        <f t="shared" ca="1" si="269"/>
        <v>1.1467615461318822E-2</v>
      </c>
      <c r="AB490" s="2">
        <f t="shared" ca="1" si="270"/>
        <v>4.430994988429302E-4</v>
      </c>
      <c r="AC490" s="2">
        <f t="shared" ca="1" si="271"/>
        <v>-3.104437066093172E-5</v>
      </c>
      <c r="AD490" s="2">
        <f t="shared" ca="1" si="272"/>
        <v>0.22458965196796335</v>
      </c>
      <c r="AE490" s="2">
        <f t="shared" ca="1" si="273"/>
        <v>3.0720555642170462E-5</v>
      </c>
      <c r="AF490" s="2">
        <f t="shared" ca="1" si="274"/>
        <v>0.162460643454474</v>
      </c>
      <c r="AG490" s="2">
        <f t="shared" ca="1" si="275"/>
        <v>1.9541786163703598</v>
      </c>
      <c r="AI490" s="2">
        <f t="shared" ca="1" si="276"/>
        <v>1.9793983699560975E-5</v>
      </c>
      <c r="AJ490" s="11">
        <f t="shared" ca="1" si="277"/>
        <v>3.0720555642170462E-5</v>
      </c>
      <c r="AK490" s="2">
        <f t="shared" ca="1" si="278"/>
        <v>1.1431370889777789E-2</v>
      </c>
      <c r="AL490" s="2">
        <f t="shared" ca="1" si="279"/>
        <v>4.2613552541339569E-4</v>
      </c>
      <c r="AM490" s="2">
        <f t="shared" ca="1" si="280"/>
        <v>-3.104437066093172E-5</v>
      </c>
      <c r="AN490" s="2">
        <f t="shared" ca="1" si="281"/>
        <v>0.22458965196796335</v>
      </c>
      <c r="AO490" s="2">
        <f t="shared" ca="1" si="282"/>
        <v>3.0720555642170462E-5</v>
      </c>
      <c r="AP490" s="2">
        <f t="shared" ca="1" si="283"/>
        <v>0.162460643454474</v>
      </c>
      <c r="AQ490" s="2">
        <f t="shared" ca="1" si="284"/>
        <v>1.9541786163703598</v>
      </c>
      <c r="AS490" s="2">
        <f t="shared" ca="1" si="285"/>
        <v>8.6996149377633589</v>
      </c>
      <c r="AT490" s="2">
        <f t="shared" ca="1" si="286"/>
        <v>0.4007886713407971</v>
      </c>
      <c r="AU490" s="2">
        <f t="shared" ca="1" si="287"/>
        <v>1.7986931455330388E-4</v>
      </c>
      <c r="AV490" s="2">
        <f t="shared" ca="1" si="288"/>
        <v>0.16234186994780994</v>
      </c>
      <c r="AW490" s="2">
        <f t="shared" ca="1" si="289"/>
        <v>0.70900502743314031</v>
      </c>
      <c r="AX490" s="2">
        <f t="shared" ca="1" si="290"/>
        <v>5.3076270391398381E-2</v>
      </c>
      <c r="AY490" s="9">
        <f t="shared" ca="1" si="291"/>
        <v>0.70900502743314031</v>
      </c>
      <c r="AZ490" s="9">
        <f t="shared" ca="1" si="292"/>
        <v>0.70900502743314031</v>
      </c>
      <c r="BB490" s="2">
        <f t="shared" ca="1" si="293"/>
        <v>8.7011071046546444</v>
      </c>
      <c r="BC490" s="2">
        <f t="shared" ca="1" si="294"/>
        <v>0.40085824887528726</v>
      </c>
      <c r="BD490" s="2">
        <f t="shared" ca="1" si="295"/>
        <v>1.7081994050076427E-4</v>
      </c>
      <c r="BE490" s="2">
        <f t="shared" ca="1" si="296"/>
        <v>0.16228982351397322</v>
      </c>
      <c r="BF490" s="2">
        <f t="shared" ca="1" si="297"/>
        <v>0.70884706025189992</v>
      </c>
      <c r="BG490" s="2">
        <f t="shared" ca="1" si="298"/>
        <v>5.2926466551797488E-2</v>
      </c>
      <c r="BH490" s="2">
        <f t="shared" ca="1" si="299"/>
        <v>0.70884706025189992</v>
      </c>
      <c r="BI490" s="2">
        <f t="shared" ca="1" si="300"/>
        <v>0.70884706025189992</v>
      </c>
    </row>
    <row r="491" spans="1:61" ht="15" x14ac:dyDescent="0.25">
      <c r="A491" s="66">
        <v>425</v>
      </c>
      <c r="B491" s="66">
        <v>1498730343.4000001</v>
      </c>
      <c r="C491" s="67">
        <v>-1.3938040294217699E-5</v>
      </c>
      <c r="D491" s="67">
        <v>-5.8646762719875904E-6</v>
      </c>
      <c r="E491" s="67">
        <v>1.1577096482245801E-2</v>
      </c>
      <c r="F491" s="67">
        <v>4.4781860582045901E-4</v>
      </c>
      <c r="G491" s="67">
        <v>-1.60920990491768E-5</v>
      </c>
      <c r="H491" s="67">
        <v>0.21214611267230499</v>
      </c>
      <c r="I491" s="67">
        <v>-5.8646762719875904E-6</v>
      </c>
      <c r="J491" s="67">
        <v>0.15321975138093799</v>
      </c>
      <c r="K491" s="67">
        <v>1.84308237312657</v>
      </c>
      <c r="L491" s="67"/>
      <c r="M491" s="67"/>
      <c r="O491" s="11">
        <f t="shared" ca="1" si="258"/>
        <v>-2.6741971004177726E-5</v>
      </c>
      <c r="P491" s="11">
        <f t="shared" ca="1" si="259"/>
        <v>-6.6297765022923307E-6</v>
      </c>
      <c r="Q491" s="11">
        <f t="shared" ca="1" si="260"/>
        <v>1.0740604869977516E-2</v>
      </c>
      <c r="R491" s="11">
        <f t="shared" ca="1" si="261"/>
        <v>4.3617211817411191E-4</v>
      </c>
      <c r="S491" s="11">
        <f t="shared" ca="1" si="262"/>
        <v>-2.7019751096146921E-5</v>
      </c>
      <c r="T491" s="11">
        <f t="shared" ca="1" si="263"/>
        <v>0.2110075576337227</v>
      </c>
      <c r="U491" s="11">
        <f t="shared" ca="1" si="264"/>
        <v>-6.6297765022923307E-6</v>
      </c>
      <c r="V491" s="11">
        <f t="shared" ca="1" si="265"/>
        <v>0.15256955537524422</v>
      </c>
      <c r="W491" s="11">
        <f t="shared" ca="1" si="266"/>
        <v>1.8359595248630649</v>
      </c>
      <c r="X491" s="11"/>
      <c r="Y491" s="2">
        <f t="shared" ca="1" si="267"/>
        <v>-2.6741971004177726E-5</v>
      </c>
      <c r="Z491" s="11">
        <f t="shared" ca="1" si="268"/>
        <v>-6.6297765022923307E-6</v>
      </c>
      <c r="AA491" s="2">
        <f t="shared" ca="1" si="269"/>
        <v>1.0740604869977516E-2</v>
      </c>
      <c r="AB491" s="2">
        <f t="shared" ca="1" si="270"/>
        <v>4.3617211817411191E-4</v>
      </c>
      <c r="AC491" s="2">
        <f t="shared" ca="1" si="271"/>
        <v>-2.7019751096146921E-5</v>
      </c>
      <c r="AD491" s="2">
        <f t="shared" ca="1" si="272"/>
        <v>0.2110075576337227</v>
      </c>
      <c r="AE491" s="2">
        <f t="shared" ca="1" si="273"/>
        <v>-6.6297765022923307E-6</v>
      </c>
      <c r="AF491" s="2">
        <f t="shared" ca="1" si="274"/>
        <v>0.15256955537524422</v>
      </c>
      <c r="AG491" s="2">
        <f t="shared" ca="1" si="275"/>
        <v>1.8359595248630649</v>
      </c>
      <c r="AI491" s="2">
        <f t="shared" ca="1" si="276"/>
        <v>-2.6741971004177726E-5</v>
      </c>
      <c r="AJ491" s="11">
        <f t="shared" ca="1" si="277"/>
        <v>-6.6297765022923307E-6</v>
      </c>
      <c r="AK491" s="2">
        <f t="shared" ca="1" si="278"/>
        <v>1.0740604869977516E-2</v>
      </c>
      <c r="AL491" s="2">
        <f t="shared" ca="1" si="279"/>
        <v>4.3617211817411191E-4</v>
      </c>
      <c r="AM491" s="2">
        <f t="shared" ca="1" si="280"/>
        <v>-2.7019751096146921E-5</v>
      </c>
      <c r="AN491" s="2">
        <f t="shared" ca="1" si="281"/>
        <v>0.2110075576337227</v>
      </c>
      <c r="AO491" s="2">
        <f t="shared" ca="1" si="282"/>
        <v>-6.6297765022923307E-6</v>
      </c>
      <c r="AP491" s="2">
        <f t="shared" ca="1" si="283"/>
        <v>0.15256955537524422</v>
      </c>
      <c r="AQ491" s="2">
        <f t="shared" ca="1" si="284"/>
        <v>1.8359595248630649</v>
      </c>
      <c r="AS491" s="2">
        <f t="shared" ca="1" si="285"/>
        <v>8.7009183246887005</v>
      </c>
      <c r="AT491" s="2">
        <f t="shared" ca="1" si="286"/>
        <v>0.40084944633677705</v>
      </c>
      <c r="AU491" s="2">
        <f t="shared" ca="1" si="287"/>
        <v>1.7483935207763206E-4</v>
      </c>
      <c r="AV491" s="2">
        <f t="shared" ca="1" si="288"/>
        <v>0.15239471602316659</v>
      </c>
      <c r="AW491" s="2">
        <f t="shared" ca="1" si="289"/>
        <v>0.70848007403630886</v>
      </c>
      <c r="AX491" s="2">
        <f t="shared" ca="1" si="290"/>
        <v>5.2927991633415571E-2</v>
      </c>
      <c r="AY491" s="9">
        <f t="shared" ca="1" si="291"/>
        <v>0.70848007403630886</v>
      </c>
      <c r="AZ491" s="9">
        <f t="shared" ca="1" si="292"/>
        <v>0.70848007403630886</v>
      </c>
      <c r="BB491" s="2">
        <f t="shared" ca="1" si="293"/>
        <v>8.7009183246887005</v>
      </c>
      <c r="BC491" s="2">
        <f t="shared" ca="1" si="294"/>
        <v>0.40084944633677705</v>
      </c>
      <c r="BD491" s="2">
        <f t="shared" ca="1" si="295"/>
        <v>1.7483935207763206E-4</v>
      </c>
      <c r="BE491" s="2">
        <f t="shared" ca="1" si="296"/>
        <v>0.15239471602316659</v>
      </c>
      <c r="BF491" s="2">
        <f t="shared" ca="1" si="297"/>
        <v>0.70848007403630886</v>
      </c>
      <c r="BG491" s="2">
        <f t="shared" ca="1" si="298"/>
        <v>5.2927991633415571E-2</v>
      </c>
      <c r="BH491" s="2">
        <f t="shared" ca="1" si="299"/>
        <v>0.70848007403630886</v>
      </c>
      <c r="BI491" s="2">
        <f t="shared" ca="1" si="300"/>
        <v>0.70848007403630886</v>
      </c>
    </row>
    <row r="492" spans="1:61" ht="15" x14ac:dyDescent="0.25">
      <c r="A492" s="66">
        <v>426</v>
      </c>
      <c r="B492" s="66">
        <v>1498730343.927</v>
      </c>
      <c r="C492" s="67">
        <v>3.0708086927977103E-5</v>
      </c>
      <c r="D492" s="67">
        <v>-2.9741672963243699E-5</v>
      </c>
      <c r="E492" s="67">
        <v>1.17881628926708E-2</v>
      </c>
      <c r="F492" s="67">
        <v>3.59508954901353E-4</v>
      </c>
      <c r="G492" s="67">
        <v>-1.14945795570566E-4</v>
      </c>
      <c r="H492" s="67">
        <v>0.215587554868616</v>
      </c>
      <c r="I492" s="67">
        <v>-2.9741672963243699E-5</v>
      </c>
      <c r="J492" s="67">
        <v>0.155586456520309</v>
      </c>
      <c r="K492" s="67">
        <v>1.86975078806546</v>
      </c>
      <c r="L492" s="67"/>
      <c r="M492" s="67"/>
      <c r="O492" s="11">
        <f t="shared" ca="1" si="258"/>
        <v>1.7904156218017075E-5</v>
      </c>
      <c r="P492" s="11">
        <f t="shared" ca="1" si="259"/>
        <v>-3.0506773193548441E-5</v>
      </c>
      <c r="Q492" s="11">
        <f t="shared" ca="1" si="260"/>
        <v>1.0951671280402515E-2</v>
      </c>
      <c r="R492" s="11">
        <f t="shared" ca="1" si="261"/>
        <v>3.478624672550059E-4</v>
      </c>
      <c r="S492" s="11">
        <f t="shared" ca="1" si="262"/>
        <v>-1.2587344761753611E-4</v>
      </c>
      <c r="T492" s="11">
        <f t="shared" ca="1" si="263"/>
        <v>0.21444899983003371</v>
      </c>
      <c r="U492" s="11">
        <f t="shared" ca="1" si="264"/>
        <v>-3.0506773193548441E-5</v>
      </c>
      <c r="V492" s="11">
        <f t="shared" ca="1" si="265"/>
        <v>0.15493626051461523</v>
      </c>
      <c r="W492" s="11">
        <f t="shared" ca="1" si="266"/>
        <v>1.862627939801955</v>
      </c>
      <c r="X492" s="11"/>
      <c r="Y492" s="2">
        <f t="shared" ca="1" si="267"/>
        <v>1.7904156218017075E-5</v>
      </c>
      <c r="Z492" s="11">
        <f t="shared" ca="1" si="268"/>
        <v>-3.0506773193548441E-5</v>
      </c>
      <c r="AA492" s="2">
        <f t="shared" ca="1" si="269"/>
        <v>1.0951671280402515E-2</v>
      </c>
      <c r="AB492" s="2">
        <f t="shared" ca="1" si="270"/>
        <v>3.478624672550059E-4</v>
      </c>
      <c r="AC492" s="2">
        <f t="shared" ca="1" si="271"/>
        <v>-1.2587344761753611E-4</v>
      </c>
      <c r="AD492" s="2">
        <f t="shared" ca="1" si="272"/>
        <v>0.21444899983003371</v>
      </c>
      <c r="AE492" s="2">
        <f t="shared" ca="1" si="273"/>
        <v>-3.0506773193548441E-5</v>
      </c>
      <c r="AF492" s="2">
        <f t="shared" ca="1" si="274"/>
        <v>0.15493626051461523</v>
      </c>
      <c r="AG492" s="2">
        <f t="shared" ca="1" si="275"/>
        <v>1.862627939801955</v>
      </c>
      <c r="AI492" s="2">
        <f t="shared" ca="1" si="276"/>
        <v>1.7904156218017075E-5</v>
      </c>
      <c r="AJ492" s="11">
        <f t="shared" ca="1" si="277"/>
        <v>-3.0506773193548441E-5</v>
      </c>
      <c r="AK492" s="2">
        <f t="shared" ca="1" si="278"/>
        <v>1.0951671280402515E-2</v>
      </c>
      <c r="AL492" s="2">
        <f t="shared" ca="1" si="279"/>
        <v>3.478624672550059E-4</v>
      </c>
      <c r="AM492" s="2">
        <f t="shared" ca="1" si="280"/>
        <v>-1.2587344761753611E-4</v>
      </c>
      <c r="AN492" s="2">
        <f t="shared" ca="1" si="281"/>
        <v>0.21444899983003371</v>
      </c>
      <c r="AO492" s="2">
        <f t="shared" ca="1" si="282"/>
        <v>-3.0506773193548441E-5</v>
      </c>
      <c r="AP492" s="2">
        <f t="shared" ca="1" si="283"/>
        <v>0.15493626051461523</v>
      </c>
      <c r="AQ492" s="2">
        <f t="shared" ca="1" si="284"/>
        <v>1.862627939801955</v>
      </c>
      <c r="AS492" s="2">
        <f t="shared" ca="1" si="285"/>
        <v>8.6856452642736581</v>
      </c>
      <c r="AT492" s="2">
        <f t="shared" ca="1" si="286"/>
        <v>0.4001372931581143</v>
      </c>
      <c r="AU492" s="2">
        <f t="shared" ca="1" si="287"/>
        <v>1.3919274603872123E-4</v>
      </c>
      <c r="AV492" s="2">
        <f t="shared" ca="1" si="288"/>
        <v>0.15479706776857652</v>
      </c>
      <c r="AW492" s="2">
        <f t="shared" ca="1" si="289"/>
        <v>0.70872653023631005</v>
      </c>
      <c r="AX492" s="2">
        <f t="shared" ca="1" si="290"/>
        <v>5.3006644930430495E-2</v>
      </c>
      <c r="AY492" s="9">
        <f t="shared" ca="1" si="291"/>
        <v>0.70872653023631005</v>
      </c>
      <c r="AZ492" s="9">
        <f t="shared" ca="1" si="292"/>
        <v>0.70872653023631005</v>
      </c>
      <c r="BB492" s="2">
        <f t="shared" ca="1" si="293"/>
        <v>8.6856452642736581</v>
      </c>
      <c r="BC492" s="2">
        <f t="shared" ca="1" si="294"/>
        <v>0.4001372931581143</v>
      </c>
      <c r="BD492" s="2">
        <f t="shared" ca="1" si="295"/>
        <v>1.3919274603872123E-4</v>
      </c>
      <c r="BE492" s="2">
        <f t="shared" ca="1" si="296"/>
        <v>0.15479706776857652</v>
      </c>
      <c r="BF492" s="2">
        <f t="shared" ca="1" si="297"/>
        <v>0.70872653023631005</v>
      </c>
      <c r="BG492" s="2">
        <f t="shared" ca="1" si="298"/>
        <v>5.3006644930430495E-2</v>
      </c>
      <c r="BH492" s="2">
        <f t="shared" ca="1" si="299"/>
        <v>0.70872653023631005</v>
      </c>
      <c r="BI492" s="2">
        <f t="shared" ca="1" si="300"/>
        <v>0.70872653023631005</v>
      </c>
    </row>
    <row r="493" spans="1:61" ht="15" x14ac:dyDescent="0.25">
      <c r="A493" s="66">
        <v>427</v>
      </c>
      <c r="B493" s="66">
        <v>1498730344.454</v>
      </c>
      <c r="C493" s="67">
        <v>-3.3307692827781302E-5</v>
      </c>
      <c r="D493" s="67">
        <v>-4.8041116757065499E-5</v>
      </c>
      <c r="E493" s="67">
        <v>1.2077277460925E-2</v>
      </c>
      <c r="F493" s="67">
        <v>3.4070548223260201E-4</v>
      </c>
      <c r="G493" s="67">
        <v>-4.32492198227021E-5</v>
      </c>
      <c r="H493" s="67">
        <v>0.22178773381209799</v>
      </c>
      <c r="I493" s="67">
        <v>-4.8041116757065499E-5</v>
      </c>
      <c r="J493" s="67">
        <v>0.159997091003209</v>
      </c>
      <c r="K493" s="67">
        <v>1.92355689997709</v>
      </c>
      <c r="L493" s="67"/>
      <c r="M493" s="67"/>
      <c r="O493" s="11">
        <f t="shared" ca="1" si="258"/>
        <v>-4.611162353774133E-5</v>
      </c>
      <c r="P493" s="11">
        <f t="shared" ca="1" si="259"/>
        <v>-4.8806216987370238E-5</v>
      </c>
      <c r="Q493" s="11">
        <f t="shared" ca="1" si="260"/>
        <v>1.1240785848656716E-2</v>
      </c>
      <c r="R493" s="11">
        <f t="shared" ca="1" si="261"/>
        <v>3.290589945862549E-4</v>
      </c>
      <c r="S493" s="11">
        <f t="shared" ca="1" si="262"/>
        <v>-5.4176871869672221E-5</v>
      </c>
      <c r="T493" s="11">
        <f t="shared" ca="1" si="263"/>
        <v>0.2206491787735157</v>
      </c>
      <c r="U493" s="11">
        <f t="shared" ca="1" si="264"/>
        <v>-4.8806216987370238E-5</v>
      </c>
      <c r="V493" s="11">
        <f t="shared" ca="1" si="265"/>
        <v>0.15934689499751523</v>
      </c>
      <c r="W493" s="11">
        <f t="shared" ca="1" si="266"/>
        <v>1.9164340517135849</v>
      </c>
      <c r="X493" s="11"/>
      <c r="Y493" s="2">
        <f t="shared" ca="1" si="267"/>
        <v>-4.611162353774133E-5</v>
      </c>
      <c r="Z493" s="11">
        <f t="shared" ca="1" si="268"/>
        <v>-4.8806216987370238E-5</v>
      </c>
      <c r="AA493" s="2">
        <f t="shared" ca="1" si="269"/>
        <v>1.1240785848656716E-2</v>
      </c>
      <c r="AB493" s="2">
        <f t="shared" ca="1" si="270"/>
        <v>3.290589945862549E-4</v>
      </c>
      <c r="AC493" s="2">
        <f t="shared" ca="1" si="271"/>
        <v>-5.4176871869672221E-5</v>
      </c>
      <c r="AD493" s="2">
        <f t="shared" ca="1" si="272"/>
        <v>0.2206491787735157</v>
      </c>
      <c r="AE493" s="2">
        <f t="shared" ca="1" si="273"/>
        <v>-4.8806216987370238E-5</v>
      </c>
      <c r="AF493" s="2">
        <f t="shared" ca="1" si="274"/>
        <v>0.15934689499751523</v>
      </c>
      <c r="AG493" s="2">
        <f t="shared" ca="1" si="275"/>
        <v>1.9164340517135849</v>
      </c>
      <c r="AI493" s="2">
        <f t="shared" ca="1" si="276"/>
        <v>-4.611162353774133E-5</v>
      </c>
      <c r="AJ493" s="11">
        <f t="shared" ca="1" si="277"/>
        <v>-4.8806216987370238E-5</v>
      </c>
      <c r="AK493" s="2">
        <f t="shared" ca="1" si="278"/>
        <v>1.1240785848656716E-2</v>
      </c>
      <c r="AL493" s="2">
        <f t="shared" ca="1" si="279"/>
        <v>3.290589945862549E-4</v>
      </c>
      <c r="AM493" s="2">
        <f t="shared" ca="1" si="280"/>
        <v>-5.4176871869672221E-5</v>
      </c>
      <c r="AN493" s="2">
        <f t="shared" ca="1" si="281"/>
        <v>0.2206491787735157</v>
      </c>
      <c r="AO493" s="2">
        <f t="shared" ca="1" si="282"/>
        <v>-4.8806216987370238E-5</v>
      </c>
      <c r="AP493" s="2">
        <f t="shared" ca="1" si="283"/>
        <v>0.15934689499751523</v>
      </c>
      <c r="AQ493" s="2">
        <f t="shared" ca="1" si="284"/>
        <v>1.9164340517135849</v>
      </c>
      <c r="AS493" s="2">
        <f t="shared" ca="1" si="285"/>
        <v>8.6854347809773618</v>
      </c>
      <c r="AT493" s="2">
        <f t="shared" ca="1" si="286"/>
        <v>0.40012747883636801</v>
      </c>
      <c r="AU493" s="2">
        <f t="shared" ca="1" si="287"/>
        <v>1.3166554589222825E-4</v>
      </c>
      <c r="AV493" s="2">
        <f t="shared" ca="1" si="288"/>
        <v>0.159215229451623</v>
      </c>
      <c r="AW493" s="2">
        <f t="shared" ca="1" si="289"/>
        <v>0.70847997136667551</v>
      </c>
      <c r="AX493" s="2">
        <f t="shared" ca="1" si="290"/>
        <v>5.2875870583234473E-2</v>
      </c>
      <c r="AY493" s="9">
        <f t="shared" ca="1" si="291"/>
        <v>0.70847997136667551</v>
      </c>
      <c r="AZ493" s="9">
        <f t="shared" ca="1" si="292"/>
        <v>0.70847997136667551</v>
      </c>
      <c r="BB493" s="2">
        <f t="shared" ca="1" si="293"/>
        <v>8.6854347809773618</v>
      </c>
      <c r="BC493" s="2">
        <f t="shared" ca="1" si="294"/>
        <v>0.40012747883636801</v>
      </c>
      <c r="BD493" s="2">
        <f t="shared" ca="1" si="295"/>
        <v>1.3166554589222825E-4</v>
      </c>
      <c r="BE493" s="2">
        <f t="shared" ca="1" si="296"/>
        <v>0.159215229451623</v>
      </c>
      <c r="BF493" s="2">
        <f t="shared" ca="1" si="297"/>
        <v>0.70847997136667551</v>
      </c>
      <c r="BG493" s="2">
        <f t="shared" ca="1" si="298"/>
        <v>5.2875870583234473E-2</v>
      </c>
      <c r="BH493" s="2">
        <f t="shared" ca="1" si="299"/>
        <v>0.70847997136667551</v>
      </c>
      <c r="BI493" s="2">
        <f t="shared" ca="1" si="300"/>
        <v>0.70847997136667551</v>
      </c>
    </row>
    <row r="494" spans="1:61" ht="15" x14ac:dyDescent="0.25">
      <c r="A494" s="66">
        <v>428</v>
      </c>
      <c r="B494" s="66">
        <v>1498730344.9809999</v>
      </c>
      <c r="C494" s="67">
        <v>-9.21367743438774E-6</v>
      </c>
      <c r="D494" s="67">
        <v>2.71380248826219E-5</v>
      </c>
      <c r="E494" s="67">
        <v>1.1612712352250899E-2</v>
      </c>
      <c r="F494" s="67">
        <v>5.4042120767327703E-4</v>
      </c>
      <c r="G494" s="67">
        <v>2.9955557584620599E-5</v>
      </c>
      <c r="H494" s="67">
        <v>0.21147293550540899</v>
      </c>
      <c r="I494" s="67">
        <v>2.71380248826219E-5</v>
      </c>
      <c r="J494" s="67">
        <v>0.15276083805511401</v>
      </c>
      <c r="K494" s="67">
        <v>1.83698182322542</v>
      </c>
      <c r="L494" s="67"/>
      <c r="M494" s="67"/>
      <c r="O494" s="11">
        <f t="shared" ca="1" si="258"/>
        <v>-2.201760814434777E-5</v>
      </c>
      <c r="P494" s="11">
        <f t="shared" ca="1" si="259"/>
        <v>2.6372924652317158E-5</v>
      </c>
      <c r="Q494" s="11">
        <f t="shared" ca="1" si="260"/>
        <v>1.0776220739982615E-2</v>
      </c>
      <c r="R494" s="11">
        <f t="shared" ca="1" si="261"/>
        <v>5.2877472002692987E-4</v>
      </c>
      <c r="S494" s="11">
        <f t="shared" ca="1" si="262"/>
        <v>1.9027905537650479E-5</v>
      </c>
      <c r="T494" s="11">
        <f t="shared" ca="1" si="263"/>
        <v>0.2103343804668267</v>
      </c>
      <c r="U494" s="11">
        <f t="shared" ca="1" si="264"/>
        <v>2.6372924652317158E-5</v>
      </c>
      <c r="V494" s="11">
        <f t="shared" ca="1" si="265"/>
        <v>0.15211064204942024</v>
      </c>
      <c r="W494" s="11">
        <f t="shared" ca="1" si="266"/>
        <v>1.829858974961915</v>
      </c>
      <c r="X494" s="11"/>
      <c r="Y494" s="2">
        <f t="shared" ca="1" si="267"/>
        <v>-2.201760814434777E-5</v>
      </c>
      <c r="Z494" s="11">
        <f t="shared" ca="1" si="268"/>
        <v>2.6372924652317158E-5</v>
      </c>
      <c r="AA494" s="2">
        <f t="shared" ca="1" si="269"/>
        <v>1.0776018967373961E-2</v>
      </c>
      <c r="AB494" s="2">
        <f t="shared" ca="1" si="270"/>
        <v>5.2389090574926677E-4</v>
      </c>
      <c r="AC494" s="2">
        <f t="shared" ca="1" si="271"/>
        <v>1.9027905537650479E-5</v>
      </c>
      <c r="AD494" s="2">
        <f t="shared" ca="1" si="272"/>
        <v>0.2102988639019624</v>
      </c>
      <c r="AE494" s="2">
        <f t="shared" ca="1" si="273"/>
        <v>2.6372924652317158E-5</v>
      </c>
      <c r="AF494" s="2">
        <f t="shared" ca="1" si="274"/>
        <v>0.15205819263552281</v>
      </c>
      <c r="AG494" s="2">
        <f t="shared" ca="1" si="275"/>
        <v>1.82983769220989</v>
      </c>
      <c r="AI494" s="2">
        <f t="shared" ca="1" si="276"/>
        <v>-2.201760814434777E-5</v>
      </c>
      <c r="AJ494" s="11">
        <f t="shared" ca="1" si="277"/>
        <v>2.6372924652317158E-5</v>
      </c>
      <c r="AK494" s="2">
        <f t="shared" ca="1" si="278"/>
        <v>1.0744903795974033E-2</v>
      </c>
      <c r="AL494" s="2">
        <f t="shared" ca="1" si="279"/>
        <v>5.0932770584259299E-4</v>
      </c>
      <c r="AM494" s="2">
        <f t="shared" ca="1" si="280"/>
        <v>1.9027905537650479E-5</v>
      </c>
      <c r="AN494" s="2">
        <f t="shared" ca="1" si="281"/>
        <v>0.2102988639019624</v>
      </c>
      <c r="AO494" s="2">
        <f t="shared" ca="1" si="282"/>
        <v>2.6372924652317158E-5</v>
      </c>
      <c r="AP494" s="2">
        <f t="shared" ca="1" si="283"/>
        <v>0.15205819263552281</v>
      </c>
      <c r="AQ494" s="2">
        <f t="shared" ca="1" si="284"/>
        <v>1.82983769220989</v>
      </c>
      <c r="AS494" s="2">
        <f t="shared" ca="1" si="285"/>
        <v>8.6997616409672727</v>
      </c>
      <c r="AT494" s="2">
        <f t="shared" ca="1" si="286"/>
        <v>0.40079551188773377</v>
      </c>
      <c r="AU494" s="2">
        <f t="shared" ca="1" si="287"/>
        <v>2.1193053458648647E-4</v>
      </c>
      <c r="AV494" s="2">
        <f t="shared" ca="1" si="288"/>
        <v>0.15189871151483375</v>
      </c>
      <c r="AW494" s="2">
        <f t="shared" ca="1" si="289"/>
        <v>0.70848170787324261</v>
      </c>
      <c r="AX494" s="2">
        <f t="shared" ca="1" si="290"/>
        <v>5.326621250469861E-2</v>
      </c>
      <c r="AY494" s="9">
        <f t="shared" ca="1" si="291"/>
        <v>0.70848170787324261</v>
      </c>
      <c r="AZ494" s="9">
        <f t="shared" ca="1" si="292"/>
        <v>0.70848170787324261</v>
      </c>
      <c r="BB494" s="2">
        <f t="shared" ca="1" si="293"/>
        <v>8.7011297077806748</v>
      </c>
      <c r="BC494" s="2">
        <f t="shared" ca="1" si="294"/>
        <v>0.40085930282672561</v>
      </c>
      <c r="BD494" s="2">
        <f t="shared" ca="1" si="295"/>
        <v>2.0416874907439741E-4</v>
      </c>
      <c r="BE494" s="2">
        <f t="shared" ca="1" si="296"/>
        <v>0.15185402388644842</v>
      </c>
      <c r="BF494" s="2">
        <f t="shared" ca="1" si="297"/>
        <v>0.70833680240029184</v>
      </c>
      <c r="BG494" s="2">
        <f t="shared" ca="1" si="298"/>
        <v>5.312893210627774E-2</v>
      </c>
      <c r="BH494" s="2">
        <f t="shared" ca="1" si="299"/>
        <v>0.70833680240029184</v>
      </c>
      <c r="BI494" s="2">
        <f t="shared" ca="1" si="300"/>
        <v>0.70833680240029184</v>
      </c>
    </row>
    <row r="495" spans="1:61" ht="15" x14ac:dyDescent="0.25">
      <c r="A495" s="66">
        <v>429</v>
      </c>
      <c r="B495" s="66">
        <v>1498730345.5079999</v>
      </c>
      <c r="C495" s="67">
        <v>9.6839989665856596E-6</v>
      </c>
      <c r="D495" s="67">
        <v>-1.5194157478591E-5</v>
      </c>
      <c r="E495" s="67">
        <v>1.16473668356987E-2</v>
      </c>
      <c r="F495" s="67">
        <v>5.4423023886862902E-4</v>
      </c>
      <c r="G495" s="67">
        <v>-5.07651297654924E-6</v>
      </c>
      <c r="H495" s="67">
        <v>0.21225273074961601</v>
      </c>
      <c r="I495" s="67">
        <v>-1.5194157478591E-5</v>
      </c>
      <c r="J495" s="67">
        <v>0.153392885506869</v>
      </c>
      <c r="K495" s="67">
        <v>1.8402862875400301</v>
      </c>
      <c r="L495" s="67"/>
      <c r="M495" s="67"/>
      <c r="O495" s="11">
        <f t="shared" ca="1" si="258"/>
        <v>-3.1199317433743683E-6</v>
      </c>
      <c r="P495" s="11">
        <f t="shared" ca="1" si="259"/>
        <v>-1.5959257708895742E-5</v>
      </c>
      <c r="Q495" s="11">
        <f t="shared" ca="1" si="260"/>
        <v>1.0810875223430416E-2</v>
      </c>
      <c r="R495" s="11">
        <f t="shared" ca="1" si="261"/>
        <v>5.3258375122228186E-4</v>
      </c>
      <c r="S495" s="11">
        <f t="shared" ca="1" si="262"/>
        <v>-1.6004165023519363E-5</v>
      </c>
      <c r="T495" s="11">
        <f t="shared" ca="1" si="263"/>
        <v>0.21111417571103372</v>
      </c>
      <c r="U495" s="11">
        <f t="shared" ca="1" si="264"/>
        <v>-1.5959257708895742E-5</v>
      </c>
      <c r="V495" s="11">
        <f t="shared" ca="1" si="265"/>
        <v>0.15274268950117523</v>
      </c>
      <c r="W495" s="11">
        <f t="shared" ca="1" si="266"/>
        <v>1.833163439276525</v>
      </c>
      <c r="X495" s="11"/>
      <c r="Y495" s="2">
        <f t="shared" ca="1" si="267"/>
        <v>-3.1199317433743683E-6</v>
      </c>
      <c r="Z495" s="11">
        <f t="shared" ca="1" si="268"/>
        <v>-1.5959257708895742E-5</v>
      </c>
      <c r="AA495" s="2">
        <f t="shared" ca="1" si="269"/>
        <v>1.0810875223430416E-2</v>
      </c>
      <c r="AB495" s="2">
        <f t="shared" ca="1" si="270"/>
        <v>5.3258375122228186E-4</v>
      </c>
      <c r="AC495" s="2">
        <f t="shared" ca="1" si="271"/>
        <v>-1.6004165023519363E-5</v>
      </c>
      <c r="AD495" s="2">
        <f t="shared" ca="1" si="272"/>
        <v>0.21111417571103372</v>
      </c>
      <c r="AE495" s="2">
        <f t="shared" ca="1" si="273"/>
        <v>-1.5959257708895742E-5</v>
      </c>
      <c r="AF495" s="2">
        <f t="shared" ca="1" si="274"/>
        <v>0.15274268950117523</v>
      </c>
      <c r="AG495" s="2">
        <f t="shared" ca="1" si="275"/>
        <v>1.833163439276525</v>
      </c>
      <c r="AI495" s="2">
        <f t="shared" ca="1" si="276"/>
        <v>-3.1199317433743683E-6</v>
      </c>
      <c r="AJ495" s="11">
        <f t="shared" ca="1" si="277"/>
        <v>-1.5959257708895742E-5</v>
      </c>
      <c r="AK495" s="2">
        <f t="shared" ca="1" si="278"/>
        <v>1.0810875223430416E-2</v>
      </c>
      <c r="AL495" s="2">
        <f t="shared" ca="1" si="279"/>
        <v>5.3258375122228186E-4</v>
      </c>
      <c r="AM495" s="2">
        <f t="shared" ca="1" si="280"/>
        <v>-1.6004165023519363E-5</v>
      </c>
      <c r="AN495" s="2">
        <f t="shared" ca="1" si="281"/>
        <v>0.21111417571103372</v>
      </c>
      <c r="AO495" s="2">
        <f t="shared" ca="1" si="282"/>
        <v>-1.5959257708895742E-5</v>
      </c>
      <c r="AP495" s="2">
        <f t="shared" ca="1" si="283"/>
        <v>0.15274268950117523</v>
      </c>
      <c r="AQ495" s="2">
        <f t="shared" ca="1" si="284"/>
        <v>1.833163439276525</v>
      </c>
      <c r="AS495" s="2">
        <f t="shared" ca="1" si="285"/>
        <v>8.6832797139387736</v>
      </c>
      <c r="AT495" s="2">
        <f t="shared" ca="1" si="286"/>
        <v>0.40002699349269938</v>
      </c>
      <c r="AU495" s="2">
        <f t="shared" ca="1" si="287"/>
        <v>2.1304787678451317E-4</v>
      </c>
      <c r="AV495" s="2">
        <f t="shared" ca="1" si="288"/>
        <v>0.15252964162439073</v>
      </c>
      <c r="AW495" s="2">
        <f t="shared" ca="1" si="289"/>
        <v>0.70947388318032056</v>
      </c>
      <c r="AX495" s="2">
        <f t="shared" ca="1" si="290"/>
        <v>5.3136917008416801E-2</v>
      </c>
      <c r="AY495" s="9">
        <f t="shared" ca="1" si="291"/>
        <v>0.70947388318032056</v>
      </c>
      <c r="AZ495" s="9">
        <f t="shared" ca="1" si="292"/>
        <v>0.70947388318032056</v>
      </c>
      <c r="BB495" s="2">
        <f t="shared" ca="1" si="293"/>
        <v>8.6832797139387736</v>
      </c>
      <c r="BC495" s="2">
        <f t="shared" ca="1" si="294"/>
        <v>0.40002699349269938</v>
      </c>
      <c r="BD495" s="2">
        <f t="shared" ca="1" si="295"/>
        <v>2.1304787678451317E-4</v>
      </c>
      <c r="BE495" s="2">
        <f t="shared" ca="1" si="296"/>
        <v>0.15252964162439073</v>
      </c>
      <c r="BF495" s="2">
        <f t="shared" ca="1" si="297"/>
        <v>0.70947388318032056</v>
      </c>
      <c r="BG495" s="2">
        <f t="shared" ca="1" si="298"/>
        <v>5.3136917008416801E-2</v>
      </c>
      <c r="BH495" s="2" t="str">
        <f t="shared" ca="1" si="299"/>
        <v>rejected</v>
      </c>
      <c r="BI495" s="2" t="e">
        <f t="shared" ca="1" si="300"/>
        <v>#N/A</v>
      </c>
    </row>
    <row r="496" spans="1:61" ht="15" x14ac:dyDescent="0.25">
      <c r="A496" s="66">
        <v>430</v>
      </c>
      <c r="B496" s="66">
        <v>1498730346.0350001</v>
      </c>
      <c r="C496" s="67">
        <v>6.4253059836107202E-5</v>
      </c>
      <c r="D496" s="67">
        <v>2.69017460492567E-5</v>
      </c>
      <c r="E496" s="67">
        <v>1.19491998580857E-2</v>
      </c>
      <c r="F496" s="67">
        <v>4.7138503457705698E-4</v>
      </c>
      <c r="G496" s="67">
        <v>2.3715738808413701E-5</v>
      </c>
      <c r="H496" s="67">
        <v>0.21526808630736499</v>
      </c>
      <c r="I496" s="67">
        <v>2.69017460492567E-5</v>
      </c>
      <c r="J496" s="67">
        <v>0.155489586875981</v>
      </c>
      <c r="K496" s="67">
        <v>1.8679867356537601</v>
      </c>
      <c r="L496" s="67"/>
      <c r="M496" s="67"/>
      <c r="O496" s="11">
        <f t="shared" ca="1" si="258"/>
        <v>5.1449129126147175E-5</v>
      </c>
      <c r="P496" s="11">
        <f t="shared" ca="1" si="259"/>
        <v>2.6136645818951958E-5</v>
      </c>
      <c r="Q496" s="11">
        <f t="shared" ca="1" si="260"/>
        <v>1.1112708245817416E-2</v>
      </c>
      <c r="R496" s="11">
        <f t="shared" ca="1" si="261"/>
        <v>4.5973854693070988E-4</v>
      </c>
      <c r="S496" s="11">
        <f t="shared" ca="1" si="262"/>
        <v>1.2788086761443579E-5</v>
      </c>
      <c r="T496" s="11">
        <f t="shared" ca="1" si="263"/>
        <v>0.2141295312687827</v>
      </c>
      <c r="U496" s="11">
        <f t="shared" ca="1" si="264"/>
        <v>2.6136645818951958E-5</v>
      </c>
      <c r="V496" s="11">
        <f t="shared" ca="1" si="265"/>
        <v>0.15483939087028722</v>
      </c>
      <c r="W496" s="11">
        <f t="shared" ca="1" si="266"/>
        <v>1.860863887390255</v>
      </c>
      <c r="X496" s="11"/>
      <c r="Y496" s="2">
        <f t="shared" ca="1" si="267"/>
        <v>5.1449129126147175E-5</v>
      </c>
      <c r="Z496" s="11">
        <f t="shared" ca="1" si="268"/>
        <v>2.6136645818951958E-5</v>
      </c>
      <c r="AA496" s="2">
        <f t="shared" ca="1" si="269"/>
        <v>1.1112508280918646E-2</v>
      </c>
      <c r="AB496" s="2">
        <f t="shared" ca="1" si="270"/>
        <v>4.5489848744911549E-4</v>
      </c>
      <c r="AC496" s="2">
        <f t="shared" ca="1" si="271"/>
        <v>1.2788086761443579E-5</v>
      </c>
      <c r="AD496" s="2">
        <f t="shared" ca="1" si="272"/>
        <v>0.21409433290194238</v>
      </c>
      <c r="AE496" s="2">
        <f t="shared" ca="1" si="273"/>
        <v>2.6136645818951958E-5</v>
      </c>
      <c r="AF496" s="2">
        <f t="shared" ca="1" si="274"/>
        <v>0.15478741135824897</v>
      </c>
      <c r="AG496" s="2">
        <f t="shared" ca="1" si="275"/>
        <v>1.8608427953134732</v>
      </c>
      <c r="AI496" s="2">
        <f t="shared" ca="1" si="276"/>
        <v>5.1449129126147175E-5</v>
      </c>
      <c r="AJ496" s="11">
        <f t="shared" ca="1" si="277"/>
        <v>2.6136645818951958E-5</v>
      </c>
      <c r="AK496" s="2">
        <f t="shared" ca="1" si="278"/>
        <v>1.1081671874824246E-2</v>
      </c>
      <c r="AL496" s="2">
        <f t="shared" ca="1" si="279"/>
        <v>4.4046576134955167E-4</v>
      </c>
      <c r="AM496" s="2">
        <f t="shared" ca="1" si="280"/>
        <v>1.2788086761443579E-5</v>
      </c>
      <c r="AN496" s="2">
        <f t="shared" ca="1" si="281"/>
        <v>0.21409433290194238</v>
      </c>
      <c r="AO496" s="2">
        <f t="shared" ca="1" si="282"/>
        <v>2.6136645818951958E-5</v>
      </c>
      <c r="AP496" s="2">
        <f t="shared" ca="1" si="283"/>
        <v>0.15478741135824897</v>
      </c>
      <c r="AQ496" s="2">
        <f t="shared" ca="1" si="284"/>
        <v>1.8608427953134732</v>
      </c>
      <c r="AS496" s="2">
        <f t="shared" ca="1" si="285"/>
        <v>8.690365482818132</v>
      </c>
      <c r="AT496" s="2">
        <f t="shared" ca="1" si="286"/>
        <v>0.40035738617157351</v>
      </c>
      <c r="AU496" s="2">
        <f t="shared" ca="1" si="287"/>
        <v>1.8405972297149629E-4</v>
      </c>
      <c r="AV496" s="2">
        <f t="shared" ca="1" si="288"/>
        <v>0.15465533114731572</v>
      </c>
      <c r="AW496" s="2">
        <f t="shared" ca="1" si="289"/>
        <v>0.70894001459381317</v>
      </c>
      <c r="AX496" s="2">
        <f t="shared" ca="1" si="290"/>
        <v>5.3896272142179652E-2</v>
      </c>
      <c r="AY496" s="9">
        <f t="shared" ca="1" si="291"/>
        <v>0.70894001459381317</v>
      </c>
      <c r="AZ496" s="9">
        <f t="shared" ca="1" si="292"/>
        <v>0.70894001459381317</v>
      </c>
      <c r="BB496" s="2">
        <f t="shared" ca="1" si="293"/>
        <v>8.6916957123090235</v>
      </c>
      <c r="BC496" s="2">
        <f t="shared" ca="1" si="294"/>
        <v>0.40041941199745257</v>
      </c>
      <c r="BD496" s="2">
        <f t="shared" ca="1" si="295"/>
        <v>1.7637104116459775E-4</v>
      </c>
      <c r="BE496" s="2">
        <f t="shared" ca="1" si="296"/>
        <v>0.15461104031708436</v>
      </c>
      <c r="BF496" s="2">
        <f t="shared" ca="1" si="297"/>
        <v>0.70879887045327528</v>
      </c>
      <c r="BG496" s="2">
        <f t="shared" ca="1" si="298"/>
        <v>5.3763002381678679E-2</v>
      </c>
      <c r="BH496" s="2">
        <f t="shared" ca="1" si="299"/>
        <v>0.70879887045327528</v>
      </c>
      <c r="BI496" s="2">
        <f t="shared" ca="1" si="300"/>
        <v>0.70879887045327528</v>
      </c>
    </row>
    <row r="497" spans="1:61" ht="15" x14ac:dyDescent="0.25">
      <c r="A497" s="66">
        <v>431</v>
      </c>
      <c r="B497" s="66">
        <v>1498730346.5610001</v>
      </c>
      <c r="C497" s="67">
        <v>7.6301179031256305E-5</v>
      </c>
      <c r="D497" s="67">
        <v>-9.9882645525278598E-7</v>
      </c>
      <c r="E497" s="67">
        <v>1.14803624117808E-2</v>
      </c>
      <c r="F497" s="67">
        <v>3.9973529395665998E-4</v>
      </c>
      <c r="G497" s="67">
        <v>9.85959949099505E-5</v>
      </c>
      <c r="H497" s="67">
        <v>0.20951449123921201</v>
      </c>
      <c r="I497" s="67">
        <v>-9.9882645525278598E-7</v>
      </c>
      <c r="J497" s="67">
        <v>0.15128952407700699</v>
      </c>
      <c r="K497" s="67">
        <v>1.81908845065664</v>
      </c>
      <c r="L497" s="67"/>
      <c r="M497" s="67"/>
      <c r="O497" s="11">
        <f t="shared" ca="1" si="258"/>
        <v>6.3497248321296284E-5</v>
      </c>
      <c r="P497" s="11">
        <f t="shared" ca="1" si="259"/>
        <v>-1.7639266855575263E-6</v>
      </c>
      <c r="Q497" s="11">
        <f t="shared" ca="1" si="260"/>
        <v>1.0643870799512515E-2</v>
      </c>
      <c r="R497" s="11">
        <f t="shared" ca="1" si="261"/>
        <v>3.8808880631031287E-4</v>
      </c>
      <c r="S497" s="11">
        <f t="shared" ca="1" si="262"/>
        <v>8.7668342862980372E-5</v>
      </c>
      <c r="T497" s="11">
        <f t="shared" ca="1" si="263"/>
        <v>0.20837593620062972</v>
      </c>
      <c r="U497" s="11">
        <f t="shared" ca="1" si="264"/>
        <v>-1.7639266855575263E-6</v>
      </c>
      <c r="V497" s="11">
        <f t="shared" ca="1" si="265"/>
        <v>0.15063932807131322</v>
      </c>
      <c r="W497" s="11">
        <f t="shared" ca="1" si="266"/>
        <v>1.811965602393135</v>
      </c>
      <c r="X497" s="11"/>
      <c r="Y497" s="2">
        <f t="shared" ca="1" si="267"/>
        <v>6.3497248321296284E-5</v>
      </c>
      <c r="Z497" s="11">
        <f t="shared" ca="1" si="268"/>
        <v>-1.7639266855575263E-6</v>
      </c>
      <c r="AA497" s="2">
        <f t="shared" ca="1" si="269"/>
        <v>1.0643870799512515E-2</v>
      </c>
      <c r="AB497" s="2">
        <f t="shared" ca="1" si="270"/>
        <v>3.8808880631031287E-4</v>
      </c>
      <c r="AC497" s="2">
        <f t="shared" ca="1" si="271"/>
        <v>8.7668342862980372E-5</v>
      </c>
      <c r="AD497" s="2">
        <f t="shared" ca="1" si="272"/>
        <v>0.20837593620062972</v>
      </c>
      <c r="AE497" s="2">
        <f t="shared" ca="1" si="273"/>
        <v>-1.7639266855575263E-6</v>
      </c>
      <c r="AF497" s="2">
        <f t="shared" ca="1" si="274"/>
        <v>0.15063932807131322</v>
      </c>
      <c r="AG497" s="2">
        <f t="shared" ca="1" si="275"/>
        <v>1.811965602393135</v>
      </c>
      <c r="AI497" s="2">
        <f t="shared" ca="1" si="276"/>
        <v>6.3497248321296284E-5</v>
      </c>
      <c r="AJ497" s="11">
        <f t="shared" ca="1" si="277"/>
        <v>-1.7639266855575263E-6</v>
      </c>
      <c r="AK497" s="2">
        <f t="shared" ca="1" si="278"/>
        <v>1.0643870799512515E-2</v>
      </c>
      <c r="AL497" s="2">
        <f t="shared" ca="1" si="279"/>
        <v>3.8808880631031287E-4</v>
      </c>
      <c r="AM497" s="2">
        <f t="shared" ca="1" si="280"/>
        <v>8.7668342862980372E-5</v>
      </c>
      <c r="AN497" s="2">
        <f t="shared" ca="1" si="281"/>
        <v>0.20837593620062972</v>
      </c>
      <c r="AO497" s="2">
        <f t="shared" ca="1" si="282"/>
        <v>-1.7639266855575263E-6</v>
      </c>
      <c r="AP497" s="2">
        <f t="shared" ca="1" si="283"/>
        <v>0.15063932807131322</v>
      </c>
      <c r="AQ497" s="2">
        <f t="shared" ca="1" si="284"/>
        <v>1.811965602393135</v>
      </c>
      <c r="AS497" s="2">
        <f t="shared" ca="1" si="285"/>
        <v>8.6956566839297977</v>
      </c>
      <c r="AT497" s="2">
        <f t="shared" ca="1" si="286"/>
        <v>0.40060410452206124</v>
      </c>
      <c r="AU497" s="2">
        <f t="shared" ca="1" si="287"/>
        <v>1.5546996872697856E-4</v>
      </c>
      <c r="AV497" s="2">
        <f t="shared" ca="1" si="288"/>
        <v>0.15048385810258624</v>
      </c>
      <c r="AW497" s="2">
        <f t="shared" ca="1" si="289"/>
        <v>0.70864771726916242</v>
      </c>
      <c r="AX497" s="2">
        <f t="shared" ca="1" si="290"/>
        <v>5.3080853908487449E-2</v>
      </c>
      <c r="AY497" s="9">
        <f t="shared" ca="1" si="291"/>
        <v>0.70864771726916242</v>
      </c>
      <c r="AZ497" s="9">
        <f t="shared" ca="1" si="292"/>
        <v>0.70864771726916242</v>
      </c>
      <c r="BB497" s="2">
        <f t="shared" ca="1" si="293"/>
        <v>8.6956566839297977</v>
      </c>
      <c r="BC497" s="2">
        <f t="shared" ca="1" si="294"/>
        <v>0.40060410452206124</v>
      </c>
      <c r="BD497" s="2">
        <f t="shared" ca="1" si="295"/>
        <v>1.5546996872697856E-4</v>
      </c>
      <c r="BE497" s="2">
        <f t="shared" ca="1" si="296"/>
        <v>0.15048385810258624</v>
      </c>
      <c r="BF497" s="2">
        <f t="shared" ca="1" si="297"/>
        <v>0.70864771726916242</v>
      </c>
      <c r="BG497" s="2">
        <f t="shared" ca="1" si="298"/>
        <v>5.3080853908487449E-2</v>
      </c>
      <c r="BH497" s="2">
        <f t="shared" ca="1" si="299"/>
        <v>0.70864771726916242</v>
      </c>
      <c r="BI497" s="2">
        <f t="shared" ca="1" si="300"/>
        <v>0.70864771726916242</v>
      </c>
    </row>
    <row r="498" spans="1:61" ht="15" x14ac:dyDescent="0.25">
      <c r="A498" s="66">
        <v>432</v>
      </c>
      <c r="B498" s="66">
        <v>1498730347.0880001</v>
      </c>
      <c r="C498" s="67">
        <v>2.33850394356122E-5</v>
      </c>
      <c r="D498" s="67">
        <v>-2.5561842370594199E-5</v>
      </c>
      <c r="E498" s="67">
        <v>1.0903038131001099E-2</v>
      </c>
      <c r="F498" s="67">
        <v>4.9304759589117195E-4</v>
      </c>
      <c r="G498" s="67">
        <v>4.5827663397517597E-5</v>
      </c>
      <c r="H498" s="67">
        <v>0.198579670721657</v>
      </c>
      <c r="I498" s="67">
        <v>-2.5561842370594199E-5</v>
      </c>
      <c r="J498" s="67">
        <v>0.14359342822565599</v>
      </c>
      <c r="K498" s="67">
        <v>1.7255401365593801</v>
      </c>
      <c r="L498" s="67"/>
      <c r="M498" s="67"/>
      <c r="O498" s="11">
        <f t="shared" ca="1" si="258"/>
        <v>1.0581108725652172E-5</v>
      </c>
      <c r="P498" s="11">
        <f t="shared" ca="1" si="259"/>
        <v>-2.6326942600898941E-5</v>
      </c>
      <c r="Q498" s="11">
        <f t="shared" ca="1" si="260"/>
        <v>1.0066546518732815E-2</v>
      </c>
      <c r="R498" s="11">
        <f t="shared" ca="1" si="261"/>
        <v>4.8140110824482484E-4</v>
      </c>
      <c r="S498" s="11">
        <f t="shared" ca="1" si="262"/>
        <v>3.4900011350547477E-5</v>
      </c>
      <c r="T498" s="11">
        <f t="shared" ca="1" si="263"/>
        <v>0.19744111568307471</v>
      </c>
      <c r="U498" s="11">
        <f t="shared" ca="1" si="264"/>
        <v>-2.6326942600898941E-5</v>
      </c>
      <c r="V498" s="11">
        <f t="shared" ca="1" si="265"/>
        <v>0.14294323221996222</v>
      </c>
      <c r="W498" s="11">
        <f t="shared" ca="1" si="266"/>
        <v>1.718417288295875</v>
      </c>
      <c r="X498" s="11"/>
      <c r="Y498" s="2">
        <f t="shared" ca="1" si="267"/>
        <v>1.0581108725652172E-5</v>
      </c>
      <c r="Z498" s="11">
        <f t="shared" ca="1" si="268"/>
        <v>-2.6326942600898941E-5</v>
      </c>
      <c r="AA498" s="2">
        <f t="shared" ca="1" si="269"/>
        <v>1.0066546518732815E-2</v>
      </c>
      <c r="AB498" s="2">
        <f t="shared" ca="1" si="270"/>
        <v>4.8140110824482484E-4</v>
      </c>
      <c r="AC498" s="2">
        <f t="shared" ca="1" si="271"/>
        <v>3.4900011350547477E-5</v>
      </c>
      <c r="AD498" s="2">
        <f t="shared" ca="1" si="272"/>
        <v>0.19744111568307471</v>
      </c>
      <c r="AE498" s="2">
        <f t="shared" ca="1" si="273"/>
        <v>-2.6326942600898941E-5</v>
      </c>
      <c r="AF498" s="2">
        <f t="shared" ca="1" si="274"/>
        <v>0.14294323221996222</v>
      </c>
      <c r="AG498" s="2">
        <f t="shared" ca="1" si="275"/>
        <v>1.718417288295875</v>
      </c>
      <c r="AI498" s="2">
        <f t="shared" ca="1" si="276"/>
        <v>1.0581108725652172E-5</v>
      </c>
      <c r="AJ498" s="11">
        <f t="shared" ca="1" si="277"/>
        <v>-2.6326942600898941E-5</v>
      </c>
      <c r="AK498" s="2">
        <f t="shared" ca="1" si="278"/>
        <v>1.0066546518732815E-2</v>
      </c>
      <c r="AL498" s="2">
        <f t="shared" ca="1" si="279"/>
        <v>4.8140110824482484E-4</v>
      </c>
      <c r="AM498" s="2">
        <f t="shared" ca="1" si="280"/>
        <v>3.4900011350547477E-5</v>
      </c>
      <c r="AN498" s="2">
        <f t="shared" ca="1" si="281"/>
        <v>0.19744111568307471</v>
      </c>
      <c r="AO498" s="2">
        <f t="shared" ca="1" si="282"/>
        <v>-2.6326942600898941E-5</v>
      </c>
      <c r="AP498" s="2">
        <f t="shared" ca="1" si="283"/>
        <v>0.14294323221996222</v>
      </c>
      <c r="AQ498" s="2">
        <f t="shared" ca="1" si="284"/>
        <v>1.718417288295875</v>
      </c>
      <c r="AS498" s="2">
        <f t="shared" ca="1" si="285"/>
        <v>8.703441946986441</v>
      </c>
      <c r="AT498" s="2">
        <f t="shared" ca="1" si="286"/>
        <v>0.40096711940921709</v>
      </c>
      <c r="AU498" s="2">
        <f t="shared" ca="1" si="287"/>
        <v>1.9302601565333212E-4</v>
      </c>
      <c r="AV498" s="2">
        <f t="shared" ca="1" si="288"/>
        <v>0.14275020620430889</v>
      </c>
      <c r="AW498" s="2">
        <f t="shared" ca="1" si="289"/>
        <v>0.70913915368913039</v>
      </c>
      <c r="AX498" s="2">
        <f t="shared" ca="1" si="290"/>
        <v>5.3030591009958057E-2</v>
      </c>
      <c r="AY498" s="9">
        <f t="shared" ca="1" si="291"/>
        <v>0.70913915368913039</v>
      </c>
      <c r="AZ498" s="9">
        <f t="shared" ca="1" si="292"/>
        <v>0.70913915368913039</v>
      </c>
      <c r="BB498" s="2">
        <f t="shared" ca="1" si="293"/>
        <v>8.703441946986441</v>
      </c>
      <c r="BC498" s="2">
        <f t="shared" ca="1" si="294"/>
        <v>0.40096711940921709</v>
      </c>
      <c r="BD498" s="2">
        <f t="shared" ca="1" si="295"/>
        <v>1.9302601565333212E-4</v>
      </c>
      <c r="BE498" s="2">
        <f t="shared" ca="1" si="296"/>
        <v>0.14275020620430889</v>
      </c>
      <c r="BF498" s="2">
        <f t="shared" ca="1" si="297"/>
        <v>0.70913915368913039</v>
      </c>
      <c r="BG498" s="2">
        <f t="shared" ca="1" si="298"/>
        <v>5.3030591009958057E-2</v>
      </c>
      <c r="BH498" s="2">
        <f t="shared" ca="1" si="299"/>
        <v>0.70913915368913039</v>
      </c>
      <c r="BI498" s="2">
        <f t="shared" ca="1" si="300"/>
        <v>0.70913915368913039</v>
      </c>
    </row>
    <row r="499" spans="1:61" ht="15" x14ac:dyDescent="0.25">
      <c r="A499" s="66">
        <v>433</v>
      </c>
      <c r="B499" s="66">
        <v>1498730347.615</v>
      </c>
      <c r="C499" s="67">
        <v>9.2129322672603099E-5</v>
      </c>
      <c r="D499" s="67">
        <v>1.23870582863633E-4</v>
      </c>
      <c r="E499" s="67">
        <v>1.07748687757412E-2</v>
      </c>
      <c r="F499" s="67">
        <v>3.7950290909055402E-4</v>
      </c>
      <c r="G499" s="67">
        <v>5.2869665532729897E-5</v>
      </c>
      <c r="H499" s="67">
        <v>0.19341226829730901</v>
      </c>
      <c r="I499" s="67">
        <v>1.23870582863633E-4</v>
      </c>
      <c r="J499" s="67">
        <v>0.139815551427554</v>
      </c>
      <c r="K499" s="67">
        <v>1.67919584694318</v>
      </c>
      <c r="L499" s="67"/>
      <c r="M499" s="67"/>
      <c r="O499" s="11">
        <f t="shared" ca="1" si="258"/>
        <v>7.9325391962643078E-5</v>
      </c>
      <c r="P499" s="11">
        <f t="shared" ca="1" si="259"/>
        <v>1.2310548263332825E-4</v>
      </c>
      <c r="Q499" s="11">
        <f t="shared" ca="1" si="260"/>
        <v>9.9383771634729157E-3</v>
      </c>
      <c r="R499" s="11">
        <f t="shared" ca="1" si="261"/>
        <v>3.6785642144420691E-4</v>
      </c>
      <c r="S499" s="11">
        <f t="shared" ca="1" si="262"/>
        <v>4.1942013485759776E-5</v>
      </c>
      <c r="T499" s="11">
        <f t="shared" ca="1" si="263"/>
        <v>0.19227371325872672</v>
      </c>
      <c r="U499" s="11">
        <f t="shared" ca="1" si="264"/>
        <v>1.2310548263332825E-4</v>
      </c>
      <c r="V499" s="11">
        <f t="shared" ca="1" si="265"/>
        <v>0.13916535542186023</v>
      </c>
      <c r="W499" s="11">
        <f t="shared" ca="1" si="266"/>
        <v>1.672072998679675</v>
      </c>
      <c r="X499" s="11"/>
      <c r="Y499" s="2">
        <f t="shared" ca="1" si="267"/>
        <v>7.9325391962643078E-5</v>
      </c>
      <c r="Z499" s="11">
        <f t="shared" ca="1" si="268"/>
        <v>1.2310548263332825E-4</v>
      </c>
      <c r="AA499" s="2">
        <f t="shared" ca="1" si="269"/>
        <v>9.9374353144099821E-3</v>
      </c>
      <c r="AB499" s="2">
        <f t="shared" ca="1" si="270"/>
        <v>3.4505939298910013E-4</v>
      </c>
      <c r="AC499" s="2">
        <f t="shared" ca="1" si="271"/>
        <v>4.1942013485759776E-5</v>
      </c>
      <c r="AD499" s="2">
        <f t="shared" ca="1" si="272"/>
        <v>0.19210792641798982</v>
      </c>
      <c r="AE499" s="2">
        <f t="shared" ca="1" si="273"/>
        <v>1.2310548263332825E-4</v>
      </c>
      <c r="AF499" s="2">
        <f t="shared" ca="1" si="274"/>
        <v>0.1389205281796487</v>
      </c>
      <c r="AG499" s="2">
        <f t="shared" ca="1" si="275"/>
        <v>1.6719736534802201</v>
      </c>
      <c r="AI499" s="2">
        <f t="shared" ca="1" si="276"/>
        <v>7.9325391962643078E-5</v>
      </c>
      <c r="AJ499" s="11">
        <f t="shared" ca="1" si="277"/>
        <v>1.2310548263332825E-4</v>
      </c>
      <c r="AK499" s="2">
        <f t="shared" ca="1" si="278"/>
        <v>9.792193622678599E-3</v>
      </c>
      <c r="AL499" s="2">
        <f t="shared" ca="1" si="279"/>
        <v>2.7708021446294455E-4</v>
      </c>
      <c r="AM499" s="2">
        <f t="shared" ca="1" si="280"/>
        <v>4.1942013485759776E-5</v>
      </c>
      <c r="AN499" s="2">
        <f t="shared" ca="1" si="281"/>
        <v>0.19210792641798982</v>
      </c>
      <c r="AO499" s="2">
        <f t="shared" ca="1" si="282"/>
        <v>1.2310548263332825E-4</v>
      </c>
      <c r="AP499" s="2">
        <f t="shared" ca="1" si="283"/>
        <v>0.1389205281796487</v>
      </c>
      <c r="AQ499" s="2">
        <f t="shared" ca="1" si="284"/>
        <v>1.6719736534802201</v>
      </c>
      <c r="AS499" s="2">
        <f t="shared" ca="1" si="285"/>
        <v>8.6963161544069507</v>
      </c>
      <c r="AT499" s="2">
        <f t="shared" ca="1" si="286"/>
        <v>0.40063485446715486</v>
      </c>
      <c r="AU499" s="2">
        <f t="shared" ca="1" si="287"/>
        <v>1.4737610387010821E-4</v>
      </c>
      <c r="AV499" s="2">
        <f t="shared" ca="1" si="288"/>
        <v>0.13901797931799012</v>
      </c>
      <c r="AW499" s="2">
        <f t="shared" ca="1" si="289"/>
        <v>0.70945117349441356</v>
      </c>
      <c r="AX499" s="2">
        <f t="shared" ca="1" si="290"/>
        <v>5.3717418327023377E-2</v>
      </c>
      <c r="AY499" s="9">
        <f t="shared" ca="1" si="291"/>
        <v>0.70945117349441356</v>
      </c>
      <c r="AZ499" s="9">
        <f t="shared" ca="1" si="292"/>
        <v>0.70945117349441356</v>
      </c>
      <c r="BB499" s="2">
        <f t="shared" ca="1" si="293"/>
        <v>8.7033038389177531</v>
      </c>
      <c r="BC499" s="2">
        <f t="shared" ca="1" si="294"/>
        <v>0.40096067960726972</v>
      </c>
      <c r="BD499" s="2">
        <f t="shared" ca="1" si="295"/>
        <v>1.1109827109679029E-4</v>
      </c>
      <c r="BE499" s="2">
        <f t="shared" ca="1" si="296"/>
        <v>0.13880942990855191</v>
      </c>
      <c r="BF499" s="2">
        <f t="shared" ca="1" si="297"/>
        <v>0.7087114897618676</v>
      </c>
      <c r="BG499" s="2">
        <f t="shared" ca="1" si="298"/>
        <v>5.3016519725884503E-2</v>
      </c>
      <c r="BH499" s="2">
        <f t="shared" ca="1" si="299"/>
        <v>0.7087114897618676</v>
      </c>
      <c r="BI499" s="2">
        <f t="shared" ca="1" si="300"/>
        <v>0.7087114897618676</v>
      </c>
    </row>
    <row r="500" spans="1:61" ht="15" x14ac:dyDescent="0.25">
      <c r="A500" s="66">
        <v>434</v>
      </c>
      <c r="B500" s="66">
        <v>1498730348.142</v>
      </c>
      <c r="C500" s="67">
        <v>-4.5118270981801299E-5</v>
      </c>
      <c r="D500" s="67">
        <v>4.2615514331667701E-5</v>
      </c>
      <c r="E500" s="67">
        <v>1.0387475658417701E-2</v>
      </c>
      <c r="F500" s="67">
        <v>4.9447591314634898E-4</v>
      </c>
      <c r="G500" s="67">
        <v>1.08540323424143E-4</v>
      </c>
      <c r="H500" s="67">
        <v>0.18949710012773899</v>
      </c>
      <c r="I500" s="67">
        <v>4.2615514331667701E-5</v>
      </c>
      <c r="J500" s="67">
        <v>0.13706403776449999</v>
      </c>
      <c r="K500" s="67">
        <v>1.6455429431785999</v>
      </c>
      <c r="L500" s="67"/>
      <c r="M500" s="67"/>
      <c r="O500" s="11">
        <f t="shared" ca="1" si="258"/>
        <v>-5.7922201691761327E-5</v>
      </c>
      <c r="P500" s="11">
        <f t="shared" ca="1" si="259"/>
        <v>4.1850414101362962E-5</v>
      </c>
      <c r="Q500" s="11">
        <f t="shared" ca="1" si="260"/>
        <v>9.5509840461494161E-3</v>
      </c>
      <c r="R500" s="11">
        <f t="shared" ca="1" si="261"/>
        <v>4.8282942550000187E-4</v>
      </c>
      <c r="S500" s="11">
        <f t="shared" ca="1" si="262"/>
        <v>9.7612671377172877E-5</v>
      </c>
      <c r="T500" s="11">
        <f t="shared" ca="1" si="263"/>
        <v>0.1883585450891567</v>
      </c>
      <c r="U500" s="11">
        <f t="shared" ca="1" si="264"/>
        <v>4.1850414101362962E-5</v>
      </c>
      <c r="V500" s="11">
        <f t="shared" ca="1" si="265"/>
        <v>0.13641384175880622</v>
      </c>
      <c r="W500" s="11">
        <f t="shared" ca="1" si="266"/>
        <v>1.6384200949150949</v>
      </c>
      <c r="X500" s="11"/>
      <c r="Y500" s="2">
        <f t="shared" ca="1" si="267"/>
        <v>-5.7922201691761327E-5</v>
      </c>
      <c r="Z500" s="11">
        <f t="shared" ca="1" si="268"/>
        <v>4.1850414101362962E-5</v>
      </c>
      <c r="AA500" s="2">
        <f t="shared" ca="1" si="269"/>
        <v>9.5506638591645512E-3</v>
      </c>
      <c r="AB500" s="2">
        <f t="shared" ca="1" si="270"/>
        <v>4.7507944507087289E-4</v>
      </c>
      <c r="AC500" s="2">
        <f t="shared" ca="1" si="271"/>
        <v>9.7612671377172877E-5</v>
      </c>
      <c r="AD500" s="2">
        <f t="shared" ca="1" si="272"/>
        <v>0.18830218490284345</v>
      </c>
      <c r="AE500" s="2">
        <f t="shared" ca="1" si="273"/>
        <v>4.1850414101362962E-5</v>
      </c>
      <c r="AF500" s="2">
        <f t="shared" ca="1" si="274"/>
        <v>0.13633061133518354</v>
      </c>
      <c r="AG500" s="2">
        <f t="shared" ca="1" si="275"/>
        <v>1.6383863219453845</v>
      </c>
      <c r="AI500" s="2">
        <f t="shared" ca="1" si="276"/>
        <v>-5.7922201691761327E-5</v>
      </c>
      <c r="AJ500" s="11">
        <f t="shared" ca="1" si="277"/>
        <v>4.1850414101362962E-5</v>
      </c>
      <c r="AK500" s="2">
        <f t="shared" ca="1" si="278"/>
        <v>9.5012881139603707E-3</v>
      </c>
      <c r="AL500" s="2">
        <f t="shared" ca="1" si="279"/>
        <v>4.5196953387330384E-4</v>
      </c>
      <c r="AM500" s="2">
        <f t="shared" ca="1" si="280"/>
        <v>9.7612671377172877E-5</v>
      </c>
      <c r="AN500" s="2">
        <f t="shared" ca="1" si="281"/>
        <v>0.18830218490284345</v>
      </c>
      <c r="AO500" s="2">
        <f t="shared" ca="1" si="282"/>
        <v>4.1850414101362962E-5</v>
      </c>
      <c r="AP500" s="2">
        <f t="shared" ca="1" si="283"/>
        <v>0.13633061133518354</v>
      </c>
      <c r="AQ500" s="2">
        <f t="shared" ca="1" si="284"/>
        <v>1.6383863219453845</v>
      </c>
      <c r="AS500" s="2">
        <f t="shared" ca="1" si="285"/>
        <v>8.6984112886387681</v>
      </c>
      <c r="AT500" s="2">
        <f t="shared" ca="1" si="286"/>
        <v>0.40073254706837669</v>
      </c>
      <c r="AU500" s="2">
        <f t="shared" ca="1" si="287"/>
        <v>1.9348546548017678E-4</v>
      </c>
      <c r="AV500" s="2">
        <f t="shared" ca="1" si="288"/>
        <v>0.13622035629332604</v>
      </c>
      <c r="AW500" s="2">
        <f t="shared" ca="1" si="289"/>
        <v>0.70953766254799366</v>
      </c>
      <c r="AX500" s="2">
        <f t="shared" ca="1" si="290"/>
        <v>5.2709562910552253E-2</v>
      </c>
      <c r="AY500" s="9" t="str">
        <f t="shared" ca="1" si="291"/>
        <v>rejected</v>
      </c>
      <c r="AZ500" s="9" t="e">
        <f t="shared" ca="1" si="292"/>
        <v>#N/A</v>
      </c>
      <c r="BB500" s="2">
        <f t="shared" ca="1" si="293"/>
        <v>8.7008354299804207</v>
      </c>
      <c r="BC500" s="2">
        <f t="shared" ca="1" si="294"/>
        <v>0.40084558107639245</v>
      </c>
      <c r="BD500" s="2">
        <f t="shared" ca="1" si="295"/>
        <v>1.8116999043427072E-4</v>
      </c>
      <c r="BE500" s="2">
        <f t="shared" ca="1" si="296"/>
        <v>0.13614944134474927</v>
      </c>
      <c r="BF500" s="2">
        <f t="shared" ca="1" si="297"/>
        <v>0.70928100610862777</v>
      </c>
      <c r="BG500" s="2">
        <f t="shared" ca="1" si="298"/>
        <v>5.2465954747720159E-2</v>
      </c>
      <c r="BH500" s="2">
        <f t="shared" ca="1" si="299"/>
        <v>0.70928100610862777</v>
      </c>
      <c r="BI500" s="2">
        <f t="shared" ca="1" si="300"/>
        <v>0.70928100610862777</v>
      </c>
    </row>
    <row r="501" spans="1:61" ht="15" x14ac:dyDescent="0.25">
      <c r="A501" s="66">
        <v>435</v>
      </c>
      <c r="B501" s="66">
        <v>1498730348.6689999</v>
      </c>
      <c r="C501" s="67">
        <v>1.4528538419416299E-4</v>
      </c>
      <c r="D501" s="67">
        <v>6.18771368933542E-5</v>
      </c>
      <c r="E501" s="67">
        <v>1.0757796786576001E-2</v>
      </c>
      <c r="F501" s="67">
        <v>4.9995114821087196E-4</v>
      </c>
      <c r="G501" s="67">
        <v>9.3412144183555902E-5</v>
      </c>
      <c r="H501" s="67">
        <v>0.19560128044710301</v>
      </c>
      <c r="I501" s="67">
        <v>6.18771368933542E-5</v>
      </c>
      <c r="J501" s="67">
        <v>0.14127360317544599</v>
      </c>
      <c r="K501" s="67">
        <v>1.6969233238358601</v>
      </c>
      <c r="L501" s="67"/>
      <c r="M501" s="67"/>
      <c r="O501" s="11">
        <f t="shared" ca="1" si="258"/>
        <v>1.3248145348420296E-4</v>
      </c>
      <c r="P501" s="11">
        <f t="shared" ca="1" si="259"/>
        <v>6.1112036663049462E-5</v>
      </c>
      <c r="Q501" s="11">
        <f t="shared" ca="1" si="260"/>
        <v>9.9213051743077159E-3</v>
      </c>
      <c r="R501" s="11">
        <f t="shared" ca="1" si="261"/>
        <v>4.883046605645248E-4</v>
      </c>
      <c r="S501" s="11">
        <f t="shared" ca="1" si="262"/>
        <v>8.2484492136585775E-5</v>
      </c>
      <c r="T501" s="11">
        <f t="shared" ca="1" si="263"/>
        <v>0.19446272540852072</v>
      </c>
      <c r="U501" s="11">
        <f t="shared" ca="1" si="264"/>
        <v>6.1112036663049462E-5</v>
      </c>
      <c r="V501" s="11">
        <f t="shared" ca="1" si="265"/>
        <v>0.14062340716975222</v>
      </c>
      <c r="W501" s="11">
        <f t="shared" ca="1" si="266"/>
        <v>1.689800475572355</v>
      </c>
      <c r="X501" s="11"/>
      <c r="Y501" s="2">
        <f t="shared" ca="1" si="267"/>
        <v>1.3248145348420296E-4</v>
      </c>
      <c r="Z501" s="11">
        <f t="shared" ca="1" si="268"/>
        <v>6.1112036663049462E-5</v>
      </c>
      <c r="AA501" s="2">
        <f t="shared" ca="1" si="269"/>
        <v>9.920837621496632E-3</v>
      </c>
      <c r="AB501" s="2">
        <f t="shared" ca="1" si="270"/>
        <v>4.7698775729623853E-4</v>
      </c>
      <c r="AC501" s="2">
        <f t="shared" ca="1" si="271"/>
        <v>8.2484492136585775E-5</v>
      </c>
      <c r="AD501" s="2">
        <f t="shared" ca="1" si="272"/>
        <v>0.19438042548756967</v>
      </c>
      <c r="AE501" s="2">
        <f t="shared" ca="1" si="273"/>
        <v>6.1112036663049462E-5</v>
      </c>
      <c r="AF501" s="2">
        <f t="shared" ca="1" si="274"/>
        <v>0.14050187000437098</v>
      </c>
      <c r="AG501" s="2">
        <f t="shared" ca="1" si="275"/>
        <v>1.6897511586179716</v>
      </c>
      <c r="AI501" s="2">
        <f t="shared" ca="1" si="276"/>
        <v>1.3248145348420296E-4</v>
      </c>
      <c r="AJ501" s="11">
        <f t="shared" ca="1" si="277"/>
        <v>6.1112036663049462E-5</v>
      </c>
      <c r="AK501" s="2">
        <f t="shared" ca="1" si="278"/>
        <v>9.8487367255801692E-3</v>
      </c>
      <c r="AL501" s="2">
        <f t="shared" ca="1" si="279"/>
        <v>4.4324152632788924E-4</v>
      </c>
      <c r="AM501" s="2">
        <f t="shared" ca="1" si="280"/>
        <v>8.2484492136585775E-5</v>
      </c>
      <c r="AN501" s="2">
        <f t="shared" ca="1" si="281"/>
        <v>0.19438042548756967</v>
      </c>
      <c r="AO501" s="2">
        <f t="shared" ca="1" si="282"/>
        <v>6.1112036663049462E-5</v>
      </c>
      <c r="AP501" s="2">
        <f t="shared" ca="1" si="283"/>
        <v>0.14050187000437098</v>
      </c>
      <c r="AQ501" s="2">
        <f t="shared" ca="1" si="284"/>
        <v>1.6897511586179716</v>
      </c>
      <c r="AS501" s="2">
        <f t="shared" ca="1" si="285"/>
        <v>8.6895854823719016</v>
      </c>
      <c r="AT501" s="2">
        <f t="shared" ca="1" si="286"/>
        <v>0.40032101643165063</v>
      </c>
      <c r="AU501" s="2">
        <f t="shared" ca="1" si="287"/>
        <v>1.9547861804550273E-4</v>
      </c>
      <c r="AV501" s="2">
        <f t="shared" ca="1" si="288"/>
        <v>0.14042792855170672</v>
      </c>
      <c r="AW501" s="2">
        <f t="shared" ca="1" si="289"/>
        <v>0.70885582641444655</v>
      </c>
      <c r="AX501" s="2">
        <f t="shared" ca="1" si="290"/>
        <v>5.2979509538311077E-2</v>
      </c>
      <c r="AY501" s="9">
        <f t="shared" ca="1" si="291"/>
        <v>0.70885582641444655</v>
      </c>
      <c r="AZ501" s="9">
        <f t="shared" ca="1" si="292"/>
        <v>0.70885582641444655</v>
      </c>
      <c r="BB501" s="2">
        <f t="shared" ca="1" si="293"/>
        <v>8.6930109056995999</v>
      </c>
      <c r="BC501" s="2">
        <f t="shared" ca="1" si="294"/>
        <v>0.40048073683453578</v>
      </c>
      <c r="BD501" s="2">
        <f t="shared" ca="1" si="295"/>
        <v>1.7750969305945738E-4</v>
      </c>
      <c r="BE501" s="2">
        <f t="shared" ca="1" si="296"/>
        <v>0.14032436031131151</v>
      </c>
      <c r="BF501" s="2">
        <f t="shared" ca="1" si="297"/>
        <v>0.70849230419438103</v>
      </c>
      <c r="BG501" s="2">
        <f t="shared" ca="1" si="298"/>
        <v>5.2635485969642883E-2</v>
      </c>
      <c r="BH501" s="2">
        <f t="shared" ca="1" si="299"/>
        <v>0.70849230419438103</v>
      </c>
      <c r="BI501" s="2">
        <f t="shared" ca="1" si="300"/>
        <v>0.70849230419438103</v>
      </c>
    </row>
    <row r="502" spans="1:61" ht="15" x14ac:dyDescent="0.25">
      <c r="A502" s="66">
        <v>436</v>
      </c>
      <c r="B502" s="66">
        <v>1498730349.1960001</v>
      </c>
      <c r="C502" s="67">
        <v>-7.3935491645478495E-5</v>
      </c>
      <c r="D502" s="67">
        <v>-4.2445387238853801E-5</v>
      </c>
      <c r="E502" s="67">
        <v>1.14139533349167E-2</v>
      </c>
      <c r="F502" s="67">
        <v>4.6376754224542398E-4</v>
      </c>
      <c r="G502" s="67">
        <v>-1.09610599341939E-5</v>
      </c>
      <c r="H502" s="67">
        <v>0.20887410316890401</v>
      </c>
      <c r="I502" s="67">
        <v>-4.2445387238853801E-5</v>
      </c>
      <c r="J502" s="67">
        <v>0.15084698155103701</v>
      </c>
      <c r="K502" s="67">
        <v>1.8109971321306999</v>
      </c>
      <c r="L502" s="67"/>
      <c r="M502" s="67"/>
      <c r="O502" s="11">
        <f t="shared" ca="1" si="258"/>
        <v>-8.673942235543853E-5</v>
      </c>
      <c r="P502" s="11">
        <f t="shared" ca="1" si="259"/>
        <v>-4.3210487469158539E-5</v>
      </c>
      <c r="Q502" s="11">
        <f t="shared" ca="1" si="260"/>
        <v>1.0577461722648415E-2</v>
      </c>
      <c r="R502" s="11">
        <f t="shared" ca="1" si="261"/>
        <v>4.5212105459907688E-4</v>
      </c>
      <c r="S502" s="11">
        <f t="shared" ca="1" si="262"/>
        <v>-2.1888711981164022E-5</v>
      </c>
      <c r="T502" s="11">
        <f t="shared" ca="1" si="263"/>
        <v>0.20773554813032172</v>
      </c>
      <c r="U502" s="11">
        <f t="shared" ca="1" si="264"/>
        <v>-4.3210487469158539E-5</v>
      </c>
      <c r="V502" s="11">
        <f t="shared" ca="1" si="265"/>
        <v>0.15019678554534324</v>
      </c>
      <c r="W502" s="11">
        <f t="shared" ca="1" si="266"/>
        <v>1.8038742838671948</v>
      </c>
      <c r="X502" s="11"/>
      <c r="Y502" s="2">
        <f t="shared" ca="1" si="267"/>
        <v>-8.673942235543853E-5</v>
      </c>
      <c r="Z502" s="11">
        <f t="shared" ca="1" si="268"/>
        <v>-4.3210487469158539E-5</v>
      </c>
      <c r="AA502" s="2">
        <f t="shared" ca="1" si="269"/>
        <v>1.0577461722648415E-2</v>
      </c>
      <c r="AB502" s="2">
        <f t="shared" ca="1" si="270"/>
        <v>4.5212105459907688E-4</v>
      </c>
      <c r="AC502" s="2">
        <f t="shared" ca="1" si="271"/>
        <v>-2.1888711981164022E-5</v>
      </c>
      <c r="AD502" s="2">
        <f t="shared" ca="1" si="272"/>
        <v>0.20773554813032172</v>
      </c>
      <c r="AE502" s="2">
        <f t="shared" ca="1" si="273"/>
        <v>-4.3210487469158539E-5</v>
      </c>
      <c r="AF502" s="2">
        <f t="shared" ca="1" si="274"/>
        <v>0.15019678554534324</v>
      </c>
      <c r="AG502" s="2">
        <f t="shared" ca="1" si="275"/>
        <v>1.8038742838671948</v>
      </c>
      <c r="AI502" s="2">
        <f t="shared" ca="1" si="276"/>
        <v>-8.673942235543853E-5</v>
      </c>
      <c r="AJ502" s="11">
        <f t="shared" ca="1" si="277"/>
        <v>-4.3210487469158539E-5</v>
      </c>
      <c r="AK502" s="2">
        <f t="shared" ca="1" si="278"/>
        <v>1.0577461722648415E-2</v>
      </c>
      <c r="AL502" s="2">
        <f t="shared" ca="1" si="279"/>
        <v>4.5212105459907688E-4</v>
      </c>
      <c r="AM502" s="2">
        <f t="shared" ca="1" si="280"/>
        <v>-2.1888711981164022E-5</v>
      </c>
      <c r="AN502" s="2">
        <f t="shared" ca="1" si="281"/>
        <v>0.20773554813032172</v>
      </c>
      <c r="AO502" s="2">
        <f t="shared" ca="1" si="282"/>
        <v>-4.3210487469158539E-5</v>
      </c>
      <c r="AP502" s="2">
        <f t="shared" ca="1" si="283"/>
        <v>0.15019678554534324</v>
      </c>
      <c r="AQ502" s="2">
        <f t="shared" ca="1" si="284"/>
        <v>1.8038742838671948</v>
      </c>
      <c r="AS502" s="2">
        <f t="shared" ca="1" si="285"/>
        <v>8.6835127646787953</v>
      </c>
      <c r="AT502" s="2">
        <f t="shared" ca="1" si="286"/>
        <v>0.40003786004666353</v>
      </c>
      <c r="AU502" s="2">
        <f t="shared" ca="1" si="287"/>
        <v>1.8086553916385543E-4</v>
      </c>
      <c r="AV502" s="2">
        <f t="shared" ca="1" si="288"/>
        <v>0.15001592000617939</v>
      </c>
      <c r="AW502" s="2">
        <f t="shared" ca="1" si="289"/>
        <v>0.70912079091416469</v>
      </c>
      <c r="AX502" s="2">
        <f t="shared" ca="1" si="290"/>
        <v>5.2836672990959295E-2</v>
      </c>
      <c r="AY502" s="9">
        <f t="shared" ca="1" si="291"/>
        <v>0.70912079091416469</v>
      </c>
      <c r="AZ502" s="9">
        <f t="shared" ca="1" si="292"/>
        <v>0.70912079091416469</v>
      </c>
      <c r="BB502" s="2">
        <f t="shared" ca="1" si="293"/>
        <v>8.6835127646787953</v>
      </c>
      <c r="BC502" s="2">
        <f t="shared" ca="1" si="294"/>
        <v>0.40003786004666353</v>
      </c>
      <c r="BD502" s="2">
        <f t="shared" ca="1" si="295"/>
        <v>1.8086553916385543E-4</v>
      </c>
      <c r="BE502" s="2">
        <f t="shared" ca="1" si="296"/>
        <v>0.15001592000617939</v>
      </c>
      <c r="BF502" s="2">
        <f t="shared" ca="1" si="297"/>
        <v>0.70912079091416469</v>
      </c>
      <c r="BG502" s="2">
        <f t="shared" ca="1" si="298"/>
        <v>5.2836672990959295E-2</v>
      </c>
      <c r="BH502" s="2">
        <f t="shared" ca="1" si="299"/>
        <v>0.70912079091416469</v>
      </c>
      <c r="BI502" s="2">
        <f t="shared" ca="1" si="300"/>
        <v>0.70912079091416469</v>
      </c>
    </row>
    <row r="503" spans="1:61" ht="15" x14ac:dyDescent="0.25">
      <c r="A503" s="66">
        <v>437</v>
      </c>
      <c r="B503" s="66">
        <v>1498730349.723</v>
      </c>
      <c r="C503" s="67">
        <v>8.2666607509846293E-6</v>
      </c>
      <c r="D503" s="67">
        <v>-9.3131437249958605E-6</v>
      </c>
      <c r="E503" s="67">
        <v>1.17210115579163E-2</v>
      </c>
      <c r="F503" s="67">
        <v>5.4637282529918201E-4</v>
      </c>
      <c r="G503" s="67">
        <v>4.31740302118287E-7</v>
      </c>
      <c r="H503" s="67">
        <v>0.21389278430067801</v>
      </c>
      <c r="I503" s="67">
        <v>-9.3131437249958605E-6</v>
      </c>
      <c r="J503" s="67">
        <v>0.15466040167334</v>
      </c>
      <c r="K503" s="67">
        <v>1.8558235890196499</v>
      </c>
      <c r="L503" s="67"/>
      <c r="M503" s="67"/>
      <c r="O503" s="11">
        <f t="shared" ca="1" si="258"/>
        <v>-4.5372699589753985E-6</v>
      </c>
      <c r="P503" s="11">
        <f t="shared" ca="1" si="259"/>
        <v>-1.0078243955300601E-5</v>
      </c>
      <c r="Q503" s="11">
        <f t="shared" ca="1" si="260"/>
        <v>1.0884519945648015E-2</v>
      </c>
      <c r="R503" s="11">
        <f t="shared" ca="1" si="261"/>
        <v>5.3472633765283485E-4</v>
      </c>
      <c r="S503" s="11">
        <f t="shared" ca="1" si="262"/>
        <v>-1.0495911744851835E-5</v>
      </c>
      <c r="T503" s="11">
        <f t="shared" ca="1" si="263"/>
        <v>0.21275422926209572</v>
      </c>
      <c r="U503" s="11">
        <f t="shared" ca="1" si="264"/>
        <v>-1.0078243955300601E-5</v>
      </c>
      <c r="V503" s="11">
        <f t="shared" ca="1" si="265"/>
        <v>0.15401020566764623</v>
      </c>
      <c r="W503" s="11">
        <f t="shared" ca="1" si="266"/>
        <v>1.8487007407561449</v>
      </c>
      <c r="X503" s="11"/>
      <c r="Y503" s="2">
        <f t="shared" ca="1" si="267"/>
        <v>-4.5372699589753985E-6</v>
      </c>
      <c r="Z503" s="11">
        <f t="shared" ca="1" si="268"/>
        <v>-1.0078243955300601E-5</v>
      </c>
      <c r="AA503" s="2">
        <f t="shared" ca="1" si="269"/>
        <v>1.0884519945648015E-2</v>
      </c>
      <c r="AB503" s="2">
        <f t="shared" ca="1" si="270"/>
        <v>5.3472633765283485E-4</v>
      </c>
      <c r="AC503" s="2">
        <f t="shared" ca="1" si="271"/>
        <v>-1.0495911744851835E-5</v>
      </c>
      <c r="AD503" s="2">
        <f t="shared" ca="1" si="272"/>
        <v>0.21275422926209572</v>
      </c>
      <c r="AE503" s="2">
        <f t="shared" ca="1" si="273"/>
        <v>-1.0078243955300601E-5</v>
      </c>
      <c r="AF503" s="2">
        <f t="shared" ca="1" si="274"/>
        <v>0.15401020566764623</v>
      </c>
      <c r="AG503" s="2">
        <f t="shared" ca="1" si="275"/>
        <v>1.8487007407561449</v>
      </c>
      <c r="AI503" s="2">
        <f t="shared" ca="1" si="276"/>
        <v>-4.5372699589753985E-6</v>
      </c>
      <c r="AJ503" s="11">
        <f t="shared" ca="1" si="277"/>
        <v>-1.0078243955300601E-5</v>
      </c>
      <c r="AK503" s="2">
        <f t="shared" ca="1" si="278"/>
        <v>1.0884519945648015E-2</v>
      </c>
      <c r="AL503" s="2">
        <f t="shared" ca="1" si="279"/>
        <v>5.3472633765283485E-4</v>
      </c>
      <c r="AM503" s="2">
        <f t="shared" ca="1" si="280"/>
        <v>-1.0495911744851835E-5</v>
      </c>
      <c r="AN503" s="2">
        <f t="shared" ca="1" si="281"/>
        <v>0.21275422926209572</v>
      </c>
      <c r="AO503" s="2">
        <f t="shared" ca="1" si="282"/>
        <v>-1.0078243955300601E-5</v>
      </c>
      <c r="AP503" s="2">
        <f t="shared" ca="1" si="283"/>
        <v>0.15401020566764623</v>
      </c>
      <c r="AQ503" s="2">
        <f t="shared" ca="1" si="284"/>
        <v>1.8487007407561449</v>
      </c>
      <c r="AS503" s="2">
        <f t="shared" ca="1" si="285"/>
        <v>8.6893724612106187</v>
      </c>
      <c r="AT503" s="2">
        <f t="shared" ca="1" si="286"/>
        <v>0.40031108372083962</v>
      </c>
      <c r="AU503" s="2">
        <f t="shared" ca="1" si="287"/>
        <v>2.1405687971988194E-4</v>
      </c>
      <c r="AV503" s="2">
        <f t="shared" ca="1" si="288"/>
        <v>0.15379614878792636</v>
      </c>
      <c r="AW503" s="2">
        <f t="shared" ca="1" si="289"/>
        <v>0.70959968145527541</v>
      </c>
      <c r="AX503" s="2">
        <f t="shared" ca="1" si="290"/>
        <v>5.3124600407290418E-2</v>
      </c>
      <c r="AY503" s="9" t="str">
        <f t="shared" ca="1" si="291"/>
        <v>rejected</v>
      </c>
      <c r="AZ503" s="9" t="e">
        <f t="shared" ca="1" si="292"/>
        <v>#N/A</v>
      </c>
      <c r="BB503" s="2">
        <f t="shared" ca="1" si="293"/>
        <v>8.6893724612106187</v>
      </c>
      <c r="BC503" s="2">
        <f t="shared" ca="1" si="294"/>
        <v>0.40031108372083962</v>
      </c>
      <c r="BD503" s="2">
        <f t="shared" ca="1" si="295"/>
        <v>2.1405687971988194E-4</v>
      </c>
      <c r="BE503" s="2">
        <f t="shared" ca="1" si="296"/>
        <v>0.15379614878792636</v>
      </c>
      <c r="BF503" s="2">
        <f t="shared" ca="1" si="297"/>
        <v>0.70959968145527541</v>
      </c>
      <c r="BG503" s="2">
        <f t="shared" ca="1" si="298"/>
        <v>5.3124600407290418E-2</v>
      </c>
      <c r="BH503" s="2" t="str">
        <f t="shared" ca="1" si="299"/>
        <v>rejected</v>
      </c>
      <c r="BI503" s="2" t="e">
        <f t="shared" ca="1" si="300"/>
        <v>#N/A</v>
      </c>
    </row>
    <row r="504" spans="1:61" ht="15" x14ac:dyDescent="0.25">
      <c r="A504" s="66">
        <v>438</v>
      </c>
      <c r="B504" s="66">
        <v>1498730350.2490001</v>
      </c>
      <c r="C504" s="67">
        <v>1.30637651893314E-4</v>
      </c>
      <c r="D504" s="67">
        <v>8.1757161975448106E-5</v>
      </c>
      <c r="E504" s="67">
        <v>1.2203926532464601E-2</v>
      </c>
      <c r="F504" s="67">
        <v>6.9065088504371595E-4</v>
      </c>
      <c r="G504" s="67">
        <v>2.0794425576612101E-4</v>
      </c>
      <c r="H504" s="67">
        <v>0.221821077626943</v>
      </c>
      <c r="I504" s="67">
        <v>8.1757161975448106E-5</v>
      </c>
      <c r="J504" s="67">
        <v>0.16026430912168099</v>
      </c>
      <c r="K504" s="67">
        <v>1.92432556619196</v>
      </c>
      <c r="L504" s="67"/>
      <c r="M504" s="67"/>
      <c r="O504" s="11">
        <f t="shared" ca="1" si="258"/>
        <v>1.1783372118335397E-4</v>
      </c>
      <c r="P504" s="11">
        <f t="shared" ca="1" si="259"/>
        <v>8.0992061745143368E-5</v>
      </c>
      <c r="Q504" s="11">
        <f t="shared" ca="1" si="260"/>
        <v>1.1367434920196316E-2</v>
      </c>
      <c r="R504" s="11">
        <f t="shared" ca="1" si="261"/>
        <v>6.7900439739736879E-4</v>
      </c>
      <c r="S504" s="11">
        <f t="shared" ca="1" si="262"/>
        <v>1.970166037191509E-4</v>
      </c>
      <c r="T504" s="11">
        <f t="shared" ca="1" si="263"/>
        <v>0.22068252258836071</v>
      </c>
      <c r="U504" s="11">
        <f t="shared" ca="1" si="264"/>
        <v>8.0992061745143368E-5</v>
      </c>
      <c r="V504" s="11">
        <f t="shared" ca="1" si="265"/>
        <v>0.15961411311598722</v>
      </c>
      <c r="W504" s="11">
        <f t="shared" ca="1" si="266"/>
        <v>1.917202717928455</v>
      </c>
      <c r="X504" s="11"/>
      <c r="Y504" s="2">
        <f t="shared" ca="1" si="267"/>
        <v>1.1783372118335397E-4</v>
      </c>
      <c r="Z504" s="11">
        <f t="shared" ca="1" si="268"/>
        <v>8.0992061745143368E-5</v>
      </c>
      <c r="AA504" s="2">
        <f t="shared" ca="1" si="269"/>
        <v>1.1366815270316976E-2</v>
      </c>
      <c r="AB504" s="2">
        <f t="shared" ca="1" si="270"/>
        <v>6.640060537269957E-4</v>
      </c>
      <c r="AC504" s="2">
        <f t="shared" ca="1" si="271"/>
        <v>1.970166037191509E-4</v>
      </c>
      <c r="AD504" s="2">
        <f t="shared" ca="1" si="272"/>
        <v>0.22057345012664517</v>
      </c>
      <c r="AE504" s="2">
        <f t="shared" ca="1" si="273"/>
        <v>8.0992061745143368E-5</v>
      </c>
      <c r="AF504" s="2">
        <f t="shared" ca="1" si="274"/>
        <v>0.15945303935473851</v>
      </c>
      <c r="AG504" s="2">
        <f t="shared" ca="1" si="275"/>
        <v>1.9171373579432114</v>
      </c>
      <c r="AI504" s="2">
        <f t="shared" ca="1" si="276"/>
        <v>1.1783372118335397E-4</v>
      </c>
      <c r="AJ504" s="11">
        <f t="shared" ca="1" si="277"/>
        <v>8.0992061745143368E-5</v>
      </c>
      <c r="AK504" s="2">
        <f t="shared" ca="1" si="278"/>
        <v>1.1271259623134999E-2</v>
      </c>
      <c r="AL504" s="2">
        <f t="shared" ca="1" si="279"/>
        <v>6.1928201945328617E-4</v>
      </c>
      <c r="AM504" s="2">
        <f t="shared" ca="1" si="280"/>
        <v>1.970166037191509E-4</v>
      </c>
      <c r="AN504" s="2">
        <f t="shared" ca="1" si="281"/>
        <v>0.22057345012664517</v>
      </c>
      <c r="AO504" s="2">
        <f t="shared" ca="1" si="282"/>
        <v>8.0992061745143368E-5</v>
      </c>
      <c r="AP504" s="2">
        <f t="shared" ca="1" si="283"/>
        <v>0.15945303935473851</v>
      </c>
      <c r="AQ504" s="2">
        <f t="shared" ca="1" si="284"/>
        <v>1.9171373579432114</v>
      </c>
      <c r="AS504" s="2">
        <f t="shared" ca="1" si="285"/>
        <v>8.6876055948690354</v>
      </c>
      <c r="AT504" s="2">
        <f t="shared" ca="1" si="286"/>
        <v>0.40022869872183059</v>
      </c>
      <c r="AU504" s="2">
        <f t="shared" ca="1" si="287"/>
        <v>2.7175704639674964E-4</v>
      </c>
      <c r="AV504" s="2">
        <f t="shared" ca="1" si="288"/>
        <v>0.15934235606959046</v>
      </c>
      <c r="AW504" s="2">
        <f t="shared" ca="1" si="289"/>
        <v>0.70884931502833382</v>
      </c>
      <c r="AX504" s="2">
        <f t="shared" ca="1" si="290"/>
        <v>5.3477212972443955E-2</v>
      </c>
      <c r="AY504" s="9">
        <f t="shared" ca="1" si="291"/>
        <v>0.70884931502833382</v>
      </c>
      <c r="AZ504" s="9">
        <f t="shared" ca="1" si="292"/>
        <v>0.70884931502833382</v>
      </c>
      <c r="BB504" s="2">
        <f t="shared" ca="1" si="293"/>
        <v>8.6916052536806294</v>
      </c>
      <c r="BC504" s="2">
        <f t="shared" ca="1" si="294"/>
        <v>0.4004151940966873</v>
      </c>
      <c r="BD504" s="2">
        <f t="shared" ca="1" si="295"/>
        <v>2.4796993001997608E-4</v>
      </c>
      <c r="BE504" s="2">
        <f t="shared" ca="1" si="296"/>
        <v>0.15920506942471854</v>
      </c>
      <c r="BF504" s="2">
        <f t="shared" ca="1" si="297"/>
        <v>0.7084245751738244</v>
      </c>
      <c r="BG504" s="2">
        <f t="shared" ca="1" si="298"/>
        <v>5.3075976225360283E-2</v>
      </c>
      <c r="BH504" s="2">
        <f t="shared" ca="1" si="299"/>
        <v>0.7084245751738244</v>
      </c>
      <c r="BI504" s="2">
        <f t="shared" ca="1" si="300"/>
        <v>0.7084245751738244</v>
      </c>
    </row>
    <row r="505" spans="1:61" ht="15" x14ac:dyDescent="0.25">
      <c r="A505" s="66">
        <v>439</v>
      </c>
      <c r="B505" s="66">
        <v>1498730350.776</v>
      </c>
      <c r="C505" s="67">
        <v>3.4251516408893398E-5</v>
      </c>
      <c r="D505" s="67">
        <v>3.0138815030499699E-5</v>
      </c>
      <c r="E505" s="67">
        <v>1.19419779201216E-2</v>
      </c>
      <c r="F505" s="67">
        <v>4.8495383669095799E-4</v>
      </c>
      <c r="G505" s="67">
        <v>1.8416876677581801E-4</v>
      </c>
      <c r="H505" s="67">
        <v>0.217953613369988</v>
      </c>
      <c r="I505" s="67">
        <v>3.0138815030499699E-5</v>
      </c>
      <c r="J505" s="67">
        <v>0.15756591657805399</v>
      </c>
      <c r="K505" s="67">
        <v>1.893219994114</v>
      </c>
      <c r="L505" s="67"/>
      <c r="M505" s="67"/>
      <c r="O505" s="11">
        <f t="shared" ca="1" si="258"/>
        <v>2.144758569893337E-5</v>
      </c>
      <c r="P505" s="11">
        <f t="shared" ca="1" si="259"/>
        <v>2.9373714800194957E-5</v>
      </c>
      <c r="Q505" s="11">
        <f t="shared" ca="1" si="260"/>
        <v>1.1105486307853315E-2</v>
      </c>
      <c r="R505" s="11">
        <f t="shared" ca="1" si="261"/>
        <v>4.7330734904461088E-4</v>
      </c>
      <c r="S505" s="11">
        <f t="shared" ca="1" si="262"/>
        <v>1.732411147288479E-4</v>
      </c>
      <c r="T505" s="11">
        <f t="shared" ca="1" si="263"/>
        <v>0.21681505833140571</v>
      </c>
      <c r="U505" s="11">
        <f t="shared" ca="1" si="264"/>
        <v>2.9373714800194957E-5</v>
      </c>
      <c r="V505" s="11">
        <f t="shared" ca="1" si="265"/>
        <v>0.15691572057236022</v>
      </c>
      <c r="W505" s="11">
        <f t="shared" ca="1" si="266"/>
        <v>1.8860971458504949</v>
      </c>
      <c r="X505" s="11"/>
      <c r="Y505" s="2">
        <f t="shared" ca="1" si="267"/>
        <v>2.144758569893337E-5</v>
      </c>
      <c r="Z505" s="11">
        <f t="shared" ca="1" si="268"/>
        <v>2.9373714800194957E-5</v>
      </c>
      <c r="AA505" s="2">
        <f t="shared" ca="1" si="269"/>
        <v>1.1105261576954515E-2</v>
      </c>
      <c r="AB505" s="2">
        <f t="shared" ca="1" si="270"/>
        <v>4.6786783978955399E-4</v>
      </c>
      <c r="AC505" s="2">
        <f t="shared" ca="1" si="271"/>
        <v>1.732411147288479E-4</v>
      </c>
      <c r="AD505" s="2">
        <f t="shared" ca="1" si="272"/>
        <v>0.21677550058569639</v>
      </c>
      <c r="AE505" s="2">
        <f t="shared" ca="1" si="273"/>
        <v>2.9373714800194957E-5</v>
      </c>
      <c r="AF505" s="2">
        <f t="shared" ca="1" si="274"/>
        <v>0.15685730330747316</v>
      </c>
      <c r="AG505" s="2">
        <f t="shared" ca="1" si="275"/>
        <v>1.8860734414833691</v>
      </c>
      <c r="AI505" s="2">
        <f t="shared" ca="1" si="276"/>
        <v>2.144758569893337E-5</v>
      </c>
      <c r="AJ505" s="11">
        <f t="shared" ca="1" si="277"/>
        <v>2.9373714800194957E-5</v>
      </c>
      <c r="AK505" s="2">
        <f t="shared" ca="1" si="278"/>
        <v>1.1070606028405774E-2</v>
      </c>
      <c r="AL505" s="2">
        <f t="shared" ca="1" si="279"/>
        <v>4.5164759549445351E-4</v>
      </c>
      <c r="AM505" s="2">
        <f t="shared" ca="1" si="280"/>
        <v>1.732411147288479E-4</v>
      </c>
      <c r="AN505" s="2">
        <f t="shared" ca="1" si="281"/>
        <v>0.21677550058569639</v>
      </c>
      <c r="AO505" s="2">
        <f t="shared" ca="1" si="282"/>
        <v>2.9373714800194957E-5</v>
      </c>
      <c r="AP505" s="2">
        <f t="shared" ca="1" si="283"/>
        <v>0.15685730330747316</v>
      </c>
      <c r="AQ505" s="2">
        <f t="shared" ca="1" si="284"/>
        <v>1.8860734414833691</v>
      </c>
      <c r="AS505" s="2">
        <f t="shared" ca="1" si="285"/>
        <v>8.6991058663811138</v>
      </c>
      <c r="AT505" s="2">
        <f t="shared" ca="1" si="286"/>
        <v>0.4007649341285236</v>
      </c>
      <c r="AU505" s="2">
        <f t="shared" ca="1" si="287"/>
        <v>1.8968498856240961E-4</v>
      </c>
      <c r="AV505" s="2">
        <f t="shared" ca="1" si="288"/>
        <v>0.1567260355837978</v>
      </c>
      <c r="AW505" s="2">
        <f t="shared" ca="1" si="289"/>
        <v>0.70917433706451716</v>
      </c>
      <c r="AX505" s="2">
        <f t="shared" ca="1" si="290"/>
        <v>5.324885155247637E-2</v>
      </c>
      <c r="AY505" s="9">
        <f t="shared" ca="1" si="291"/>
        <v>0.70917433706451716</v>
      </c>
      <c r="AZ505" s="9">
        <f t="shared" ca="1" si="292"/>
        <v>0.70917433706451716</v>
      </c>
      <c r="BB505" s="2">
        <f t="shared" ca="1" si="293"/>
        <v>8.700583951541887</v>
      </c>
      <c r="BC505" s="2">
        <f t="shared" ca="1" si="294"/>
        <v>0.40083385500316454</v>
      </c>
      <c r="BD505" s="2">
        <f t="shared" ca="1" si="295"/>
        <v>1.8103564680495168E-4</v>
      </c>
      <c r="BE505" s="2">
        <f t="shared" ca="1" si="296"/>
        <v>0.15667626766066822</v>
      </c>
      <c r="BF505" s="2">
        <f t="shared" ca="1" si="297"/>
        <v>0.70901784578445659</v>
      </c>
      <c r="BG505" s="2">
        <f t="shared" ca="1" si="298"/>
        <v>5.3100523842344496E-2</v>
      </c>
      <c r="BH505" s="2">
        <f t="shared" ca="1" si="299"/>
        <v>0.70901784578445659</v>
      </c>
      <c r="BI505" s="2">
        <f t="shared" ca="1" si="300"/>
        <v>0.70901784578445659</v>
      </c>
    </row>
    <row r="506" spans="1:61" ht="15" x14ac:dyDescent="0.25">
      <c r="A506" s="66">
        <v>440</v>
      </c>
      <c r="B506" s="66">
        <v>1498730351.303</v>
      </c>
      <c r="C506" s="67">
        <v>8.59870279957673E-5</v>
      </c>
      <c r="D506" s="67">
        <v>4.5900360899273598E-5</v>
      </c>
      <c r="E506" s="67">
        <v>1.19369225942422E-2</v>
      </c>
      <c r="F506" s="67">
        <v>6.53269915733E-4</v>
      </c>
      <c r="G506" s="67">
        <v>2.08015024674529E-4</v>
      </c>
      <c r="H506" s="67">
        <v>0.21970044727030499</v>
      </c>
      <c r="I506" s="67">
        <v>4.5900360899273598E-5</v>
      </c>
      <c r="J506" s="67">
        <v>0.15877709715177701</v>
      </c>
      <c r="K506" s="67">
        <v>1.9062394725124501</v>
      </c>
      <c r="L506" s="67"/>
      <c r="M506" s="67"/>
      <c r="O506" s="11">
        <f t="shared" ca="1" si="258"/>
        <v>7.3183097285807279E-5</v>
      </c>
      <c r="P506" s="11">
        <f t="shared" ca="1" si="259"/>
        <v>4.513526066896886E-5</v>
      </c>
      <c r="Q506" s="11">
        <f t="shared" ca="1" si="260"/>
        <v>1.1100430981973915E-2</v>
      </c>
      <c r="R506" s="11">
        <f t="shared" ca="1" si="261"/>
        <v>6.4162342808665284E-4</v>
      </c>
      <c r="S506" s="11">
        <f t="shared" ca="1" si="262"/>
        <v>1.9708737262755889E-4</v>
      </c>
      <c r="T506" s="11">
        <f t="shared" ca="1" si="263"/>
        <v>0.2185618922317227</v>
      </c>
      <c r="U506" s="11">
        <f t="shared" ca="1" si="264"/>
        <v>4.513526066896886E-5</v>
      </c>
      <c r="V506" s="11">
        <f t="shared" ca="1" si="265"/>
        <v>0.15812690114608324</v>
      </c>
      <c r="W506" s="11">
        <f t="shared" ca="1" si="266"/>
        <v>1.899116624248945</v>
      </c>
      <c r="X506" s="11"/>
      <c r="Y506" s="2">
        <f t="shared" ca="1" si="267"/>
        <v>7.3183097285807279E-5</v>
      </c>
      <c r="Z506" s="11">
        <f t="shared" ca="1" si="268"/>
        <v>4.513526066896886E-5</v>
      </c>
      <c r="AA506" s="2">
        <f t="shared" ca="1" si="269"/>
        <v>1.1100085663454731E-2</v>
      </c>
      <c r="AB506" s="2">
        <f t="shared" ca="1" si="270"/>
        <v>6.3326515029277187E-4</v>
      </c>
      <c r="AC506" s="2">
        <f t="shared" ca="1" si="271"/>
        <v>1.9708737262755889E-4</v>
      </c>
      <c r="AD506" s="2">
        <f t="shared" ca="1" si="272"/>
        <v>0.2185011083241982</v>
      </c>
      <c r="AE506" s="2">
        <f t="shared" ca="1" si="273"/>
        <v>4.513526066896886E-5</v>
      </c>
      <c r="AF506" s="2">
        <f t="shared" ca="1" si="274"/>
        <v>0.15803713795146587</v>
      </c>
      <c r="AG506" s="2">
        <f t="shared" ca="1" si="275"/>
        <v>1.8990802004327372</v>
      </c>
      <c r="AI506" s="2">
        <f t="shared" ca="1" si="276"/>
        <v>7.3183097285807279E-5</v>
      </c>
      <c r="AJ506" s="11">
        <f t="shared" ca="1" si="277"/>
        <v>4.513526066896886E-5</v>
      </c>
      <c r="AK506" s="2">
        <f t="shared" ca="1" si="278"/>
        <v>1.1046834407084422E-2</v>
      </c>
      <c r="AL506" s="2">
        <f t="shared" ca="1" si="279"/>
        <v>6.0834133798800833E-4</v>
      </c>
      <c r="AM506" s="2">
        <f t="shared" ca="1" si="280"/>
        <v>1.9708737262755889E-4</v>
      </c>
      <c r="AN506" s="2">
        <f t="shared" ca="1" si="281"/>
        <v>0.2185011083241982</v>
      </c>
      <c r="AO506" s="2">
        <f t="shared" ca="1" si="282"/>
        <v>4.513526066896886E-5</v>
      </c>
      <c r="AP506" s="2">
        <f t="shared" ca="1" si="283"/>
        <v>0.15803713795146587</v>
      </c>
      <c r="AQ506" s="2">
        <f t="shared" ca="1" si="284"/>
        <v>1.8990802004327372</v>
      </c>
      <c r="AS506" s="2">
        <f t="shared" ca="1" si="285"/>
        <v>8.6891479793534732</v>
      </c>
      <c r="AT506" s="2">
        <f t="shared" ca="1" si="286"/>
        <v>0.40030061662604455</v>
      </c>
      <c r="AU506" s="2">
        <f t="shared" ca="1" si="287"/>
        <v>2.5684225390480367E-4</v>
      </c>
      <c r="AV506" s="2">
        <f t="shared" ca="1" si="288"/>
        <v>0.15787005889217845</v>
      </c>
      <c r="AW506" s="2">
        <f t="shared" ca="1" si="289"/>
        <v>0.70905044290328589</v>
      </c>
      <c r="AX506" s="2">
        <f t="shared" ca="1" si="290"/>
        <v>5.2737375993034727E-2</v>
      </c>
      <c r="AY506" s="9">
        <f t="shared" ca="1" si="291"/>
        <v>0.70905044290328589</v>
      </c>
      <c r="AZ506" s="9">
        <f t="shared" ca="1" si="292"/>
        <v>0.70905044290328589</v>
      </c>
      <c r="BB506" s="2">
        <f t="shared" ca="1" si="293"/>
        <v>8.6913984784690488</v>
      </c>
      <c r="BC506" s="2">
        <f t="shared" ca="1" si="294"/>
        <v>0.40040555259362903</v>
      </c>
      <c r="BD506" s="2">
        <f t="shared" ca="1" si="295"/>
        <v>2.4358324960263613E-4</v>
      </c>
      <c r="BE506" s="2">
        <f t="shared" ca="1" si="296"/>
        <v>0.15779355470186324</v>
      </c>
      <c r="BF506" s="2">
        <f t="shared" ca="1" si="297"/>
        <v>0.70881154240787081</v>
      </c>
      <c r="BG506" s="2">
        <f t="shared" ca="1" si="298"/>
        <v>5.2511255391731036E-2</v>
      </c>
      <c r="BH506" s="2">
        <f t="shared" ca="1" si="299"/>
        <v>0.70881154240787081</v>
      </c>
      <c r="BI506" s="2">
        <f t="shared" ca="1" si="300"/>
        <v>0.70881154240787081</v>
      </c>
    </row>
    <row r="507" spans="1:61" ht="15" x14ac:dyDescent="0.25">
      <c r="A507" s="66">
        <v>441</v>
      </c>
      <c r="B507" s="66">
        <v>1498730351.829</v>
      </c>
      <c r="C507" s="67">
        <v>5.1260154073391998E-5</v>
      </c>
      <c r="D507" s="67">
        <v>-3.4790224540986302E-6</v>
      </c>
      <c r="E507" s="67">
        <v>1.24274069291587E-2</v>
      </c>
      <c r="F507" s="67">
        <v>5.5351481325835905E-4</v>
      </c>
      <c r="G507" s="67">
        <v>7.2915031621707696E-5</v>
      </c>
      <c r="H507" s="67">
        <v>0.226764501509367</v>
      </c>
      <c r="I507" s="67">
        <v>-3.4790224540986302E-6</v>
      </c>
      <c r="J507" s="67">
        <v>0.163839419257231</v>
      </c>
      <c r="K507" s="67">
        <v>1.96923706429233</v>
      </c>
      <c r="L507" s="67"/>
      <c r="M507" s="67"/>
      <c r="O507" s="11">
        <f t="shared" ca="1" si="258"/>
        <v>3.845622336343197E-5</v>
      </c>
      <c r="P507" s="11">
        <f t="shared" ca="1" si="259"/>
        <v>-4.2441226844033709E-6</v>
      </c>
      <c r="Q507" s="11">
        <f t="shared" ca="1" si="260"/>
        <v>1.1590915316890415E-2</v>
      </c>
      <c r="R507" s="11">
        <f t="shared" ca="1" si="261"/>
        <v>5.4186832561201189E-4</v>
      </c>
      <c r="S507" s="11">
        <f t="shared" ca="1" si="262"/>
        <v>6.1987379574737569E-5</v>
      </c>
      <c r="T507" s="11">
        <f t="shared" ca="1" si="263"/>
        <v>0.22562594647078471</v>
      </c>
      <c r="U507" s="11">
        <f t="shared" ca="1" si="264"/>
        <v>-4.2441226844033709E-6</v>
      </c>
      <c r="V507" s="11">
        <f t="shared" ca="1" si="265"/>
        <v>0.16318922325153723</v>
      </c>
      <c r="W507" s="11">
        <f t="shared" ca="1" si="266"/>
        <v>1.962114216028825</v>
      </c>
      <c r="X507" s="11"/>
      <c r="Y507" s="2">
        <f t="shared" ca="1" si="267"/>
        <v>3.845622336343197E-5</v>
      </c>
      <c r="Z507" s="11">
        <f t="shared" ca="1" si="268"/>
        <v>-4.2441226844033709E-6</v>
      </c>
      <c r="AA507" s="2">
        <f t="shared" ca="1" si="269"/>
        <v>1.1590915316890415E-2</v>
      </c>
      <c r="AB507" s="2">
        <f t="shared" ca="1" si="270"/>
        <v>5.4186832561201189E-4</v>
      </c>
      <c r="AC507" s="2">
        <f t="shared" ca="1" si="271"/>
        <v>6.1987379574737569E-5</v>
      </c>
      <c r="AD507" s="2">
        <f t="shared" ca="1" si="272"/>
        <v>0.22562594647078471</v>
      </c>
      <c r="AE507" s="2">
        <f t="shared" ca="1" si="273"/>
        <v>-4.2441226844033709E-6</v>
      </c>
      <c r="AF507" s="2">
        <f t="shared" ca="1" si="274"/>
        <v>0.16318922325153723</v>
      </c>
      <c r="AG507" s="2">
        <f t="shared" ca="1" si="275"/>
        <v>1.962114216028825</v>
      </c>
      <c r="AI507" s="2">
        <f t="shared" ca="1" si="276"/>
        <v>3.845622336343197E-5</v>
      </c>
      <c r="AJ507" s="11">
        <f t="shared" ca="1" si="277"/>
        <v>-4.2441226844033709E-6</v>
      </c>
      <c r="AK507" s="2">
        <f t="shared" ca="1" si="278"/>
        <v>1.1590915316890415E-2</v>
      </c>
      <c r="AL507" s="2">
        <f t="shared" ca="1" si="279"/>
        <v>5.4186832561201189E-4</v>
      </c>
      <c r="AM507" s="2">
        <f t="shared" ca="1" si="280"/>
        <v>6.1987379574737569E-5</v>
      </c>
      <c r="AN507" s="2">
        <f t="shared" ca="1" si="281"/>
        <v>0.22562594647078471</v>
      </c>
      <c r="AO507" s="2">
        <f t="shared" ca="1" si="282"/>
        <v>-4.2441226844033709E-6</v>
      </c>
      <c r="AP507" s="2">
        <f t="shared" ca="1" si="283"/>
        <v>0.16318922325153723</v>
      </c>
      <c r="AQ507" s="2">
        <f t="shared" ca="1" si="284"/>
        <v>1.962114216028825</v>
      </c>
      <c r="AS507" s="2">
        <f t="shared" ca="1" si="285"/>
        <v>8.6963146159384213</v>
      </c>
      <c r="AT507" s="2">
        <f t="shared" ca="1" si="286"/>
        <v>0.40063478273104819</v>
      </c>
      <c r="AU507" s="2">
        <f t="shared" ca="1" si="287"/>
        <v>2.1709129890040525E-4</v>
      </c>
      <c r="AV507" s="2">
        <f t="shared" ca="1" si="288"/>
        <v>0.16297213195263682</v>
      </c>
      <c r="AW507" s="2">
        <f t="shared" ca="1" si="289"/>
        <v>0.70875444887569061</v>
      </c>
      <c r="AX507" s="2">
        <f t="shared" ca="1" si="290"/>
        <v>5.3388557241128169E-2</v>
      </c>
      <c r="AY507" s="9">
        <f t="shared" ca="1" si="291"/>
        <v>0.70875444887569061</v>
      </c>
      <c r="AZ507" s="9">
        <f t="shared" ca="1" si="292"/>
        <v>0.70875444887569061</v>
      </c>
      <c r="BB507" s="2">
        <f t="shared" ca="1" si="293"/>
        <v>8.6963146159384213</v>
      </c>
      <c r="BC507" s="2">
        <f t="shared" ca="1" si="294"/>
        <v>0.40063478273104819</v>
      </c>
      <c r="BD507" s="2">
        <f t="shared" ca="1" si="295"/>
        <v>2.1709129890040525E-4</v>
      </c>
      <c r="BE507" s="2">
        <f t="shared" ca="1" si="296"/>
        <v>0.16297213195263682</v>
      </c>
      <c r="BF507" s="2">
        <f t="shared" ca="1" si="297"/>
        <v>0.70875444887569061</v>
      </c>
      <c r="BG507" s="2">
        <f t="shared" ca="1" si="298"/>
        <v>5.3388557241128169E-2</v>
      </c>
      <c r="BH507" s="2">
        <f t="shared" ca="1" si="299"/>
        <v>0.70875444887569061</v>
      </c>
      <c r="BI507" s="2">
        <f t="shared" ca="1" si="300"/>
        <v>0.70875444887569061</v>
      </c>
    </row>
    <row r="508" spans="1:61" ht="15" x14ac:dyDescent="0.25">
      <c r="A508" s="66">
        <v>442</v>
      </c>
      <c r="B508" s="66">
        <v>1498730352.3559999</v>
      </c>
      <c r="C508" s="67">
        <v>6.0945758590282103E-5</v>
      </c>
      <c r="D508" s="67">
        <v>4.2095620528532003E-5</v>
      </c>
      <c r="E508" s="67">
        <v>1.2841987871786E-2</v>
      </c>
      <c r="F508" s="67">
        <v>6.3017536624018799E-4</v>
      </c>
      <c r="G508" s="67">
        <v>1.00457534865552E-4</v>
      </c>
      <c r="H508" s="67">
        <v>0.23370603576500301</v>
      </c>
      <c r="I508" s="67">
        <v>4.2095620528532003E-5</v>
      </c>
      <c r="J508" s="67">
        <v>0.16889264164352299</v>
      </c>
      <c r="K508" s="67">
        <v>2.0275247414283002</v>
      </c>
      <c r="L508" s="67"/>
      <c r="M508" s="67"/>
      <c r="O508" s="11">
        <f t="shared" ca="1" si="258"/>
        <v>4.8141827880322075E-5</v>
      </c>
      <c r="P508" s="11">
        <f t="shared" ca="1" si="259"/>
        <v>4.1330520298227265E-5</v>
      </c>
      <c r="Q508" s="11">
        <f t="shared" ca="1" si="260"/>
        <v>1.2005496259517716E-2</v>
      </c>
      <c r="R508" s="11">
        <f t="shared" ca="1" si="261"/>
        <v>6.1852887859384083E-4</v>
      </c>
      <c r="S508" s="11">
        <f t="shared" ca="1" si="262"/>
        <v>8.9529882818581872E-5</v>
      </c>
      <c r="T508" s="11">
        <f t="shared" ca="1" si="263"/>
        <v>0.23256748072642072</v>
      </c>
      <c r="U508" s="11">
        <f t="shared" ca="1" si="264"/>
        <v>4.1330520298227265E-5</v>
      </c>
      <c r="V508" s="11">
        <f t="shared" ca="1" si="265"/>
        <v>0.16824244563782922</v>
      </c>
      <c r="W508" s="11">
        <f t="shared" ca="1" si="266"/>
        <v>2.0204018931647951</v>
      </c>
      <c r="X508" s="11"/>
      <c r="Y508" s="2">
        <f t="shared" ca="1" si="267"/>
        <v>4.8141827880322075E-5</v>
      </c>
      <c r="Z508" s="11">
        <f t="shared" ca="1" si="268"/>
        <v>4.1330520298227265E-5</v>
      </c>
      <c r="AA508" s="2">
        <f t="shared" ca="1" si="269"/>
        <v>1.2005180050109485E-2</v>
      </c>
      <c r="AB508" s="2">
        <f t="shared" ca="1" si="270"/>
        <v>6.1087517359916194E-4</v>
      </c>
      <c r="AC508" s="2">
        <f t="shared" ca="1" si="271"/>
        <v>8.9529882818581872E-5</v>
      </c>
      <c r="AD508" s="2">
        <f t="shared" ca="1" si="272"/>
        <v>0.23251182068399462</v>
      </c>
      <c r="AE508" s="2">
        <f t="shared" ca="1" si="273"/>
        <v>4.1330520298227265E-5</v>
      </c>
      <c r="AF508" s="2">
        <f t="shared" ca="1" si="274"/>
        <v>0.16816024915813285</v>
      </c>
      <c r="AG508" s="2">
        <f t="shared" ca="1" si="275"/>
        <v>2.0203685397454771</v>
      </c>
      <c r="AI508" s="2">
        <f t="shared" ca="1" si="276"/>
        <v>4.8141827880322075E-5</v>
      </c>
      <c r="AJ508" s="11">
        <f t="shared" ca="1" si="277"/>
        <v>4.1330520298227265E-5</v>
      </c>
      <c r="AK508" s="2">
        <f t="shared" ca="1" si="278"/>
        <v>1.1956417683398876E-2</v>
      </c>
      <c r="AL508" s="2">
        <f t="shared" ca="1" si="279"/>
        <v>5.8805234915761714E-4</v>
      </c>
      <c r="AM508" s="2">
        <f t="shared" ca="1" si="280"/>
        <v>8.9529882818581872E-5</v>
      </c>
      <c r="AN508" s="2">
        <f t="shared" ca="1" si="281"/>
        <v>0.23251182068399462</v>
      </c>
      <c r="AO508" s="2">
        <f t="shared" ca="1" si="282"/>
        <v>4.1330520298227265E-5</v>
      </c>
      <c r="AP508" s="2">
        <f t="shared" ca="1" si="283"/>
        <v>0.16816024915813285</v>
      </c>
      <c r="AQ508" s="2">
        <f t="shared" ca="1" si="284"/>
        <v>2.0203685397454771</v>
      </c>
      <c r="AS508" s="2">
        <f t="shared" ca="1" si="285"/>
        <v>8.6873791935747118</v>
      </c>
      <c r="AT508" s="2">
        <f t="shared" ca="1" si="286"/>
        <v>0.40021814215395751</v>
      </c>
      <c r="AU508" s="2">
        <f t="shared" ca="1" si="287"/>
        <v>2.4754647865939773E-4</v>
      </c>
      <c r="AV508" s="2">
        <f t="shared" ca="1" si="288"/>
        <v>0.16799489915916982</v>
      </c>
      <c r="AW508" s="2">
        <f t="shared" ca="1" si="289"/>
        <v>0.70915870110710211</v>
      </c>
      <c r="AX508" s="2">
        <f t="shared" ca="1" si="290"/>
        <v>5.3591236283994197E-2</v>
      </c>
      <c r="AY508" s="9">
        <f t="shared" ca="1" si="291"/>
        <v>0.70915870110710211</v>
      </c>
      <c r="AZ508" s="9">
        <f t="shared" ca="1" si="292"/>
        <v>0.70915870110710211</v>
      </c>
      <c r="BB508" s="2">
        <f t="shared" ca="1" si="293"/>
        <v>8.6893153810504433</v>
      </c>
      <c r="BC508" s="2">
        <f t="shared" ca="1" si="294"/>
        <v>0.40030842219832347</v>
      </c>
      <c r="BD508" s="2">
        <f t="shared" ca="1" si="295"/>
        <v>2.3540230806130333E-4</v>
      </c>
      <c r="BE508" s="2">
        <f t="shared" ca="1" si="296"/>
        <v>0.16792484685007156</v>
      </c>
      <c r="BF508" s="2">
        <f t="shared" ca="1" si="297"/>
        <v>0.70895311347686163</v>
      </c>
      <c r="BG508" s="2">
        <f t="shared" ca="1" si="298"/>
        <v>5.3397106129433776E-2</v>
      </c>
      <c r="BH508" s="2">
        <f t="shared" ca="1" si="299"/>
        <v>0.70895311347686163</v>
      </c>
      <c r="BI508" s="2">
        <f t="shared" ca="1" si="300"/>
        <v>0.70895311347686163</v>
      </c>
    </row>
    <row r="509" spans="1:61" ht="15" x14ac:dyDescent="0.25">
      <c r="A509" s="66">
        <v>443</v>
      </c>
      <c r="B509" s="66">
        <v>1498730352.8829999</v>
      </c>
      <c r="C509" s="67">
        <v>-1.13396435052362E-5</v>
      </c>
      <c r="D509" s="67">
        <v>-1.2785109677179301E-5</v>
      </c>
      <c r="E509" s="67">
        <v>1.2448360748776499E-2</v>
      </c>
      <c r="F509" s="67">
        <v>5.6470403039472197E-4</v>
      </c>
      <c r="G509" s="67">
        <v>1.2906839002817301E-4</v>
      </c>
      <c r="H509" s="67">
        <v>0.225979045847882</v>
      </c>
      <c r="I509" s="67">
        <v>-1.2785109677179301E-5</v>
      </c>
      <c r="J509" s="67">
        <v>0.163416285126293</v>
      </c>
      <c r="K509" s="67">
        <v>1.9636968494918701</v>
      </c>
      <c r="L509" s="67"/>
      <c r="M509" s="67"/>
      <c r="O509" s="11">
        <f t="shared" ca="1" si="258"/>
        <v>-2.4143574215196228E-5</v>
      </c>
      <c r="P509" s="11">
        <f t="shared" ca="1" si="259"/>
        <v>-1.3550209907484041E-5</v>
      </c>
      <c r="Q509" s="11">
        <f t="shared" ca="1" si="260"/>
        <v>1.1611869136508215E-2</v>
      </c>
      <c r="R509" s="11">
        <f t="shared" ca="1" si="261"/>
        <v>5.5305754274837481E-4</v>
      </c>
      <c r="S509" s="11">
        <f t="shared" ca="1" si="262"/>
        <v>1.1814073798120288E-4</v>
      </c>
      <c r="T509" s="11">
        <f t="shared" ca="1" si="263"/>
        <v>0.22484049080929971</v>
      </c>
      <c r="U509" s="11">
        <f t="shared" ca="1" si="264"/>
        <v>-1.3550209907484041E-5</v>
      </c>
      <c r="V509" s="11">
        <f t="shared" ca="1" si="265"/>
        <v>0.16276608912059923</v>
      </c>
      <c r="W509" s="11">
        <f t="shared" ca="1" si="266"/>
        <v>1.956574001228365</v>
      </c>
      <c r="X509" s="11"/>
      <c r="Y509" s="2">
        <f t="shared" ca="1" si="267"/>
        <v>-2.4143574215196228E-5</v>
      </c>
      <c r="Z509" s="11">
        <f t="shared" ca="1" si="268"/>
        <v>-1.3550209907484041E-5</v>
      </c>
      <c r="AA509" s="2">
        <f t="shared" ca="1" si="269"/>
        <v>1.1611869136508215E-2</v>
      </c>
      <c r="AB509" s="2">
        <f t="shared" ca="1" si="270"/>
        <v>5.5305754274837481E-4</v>
      </c>
      <c r="AC509" s="2">
        <f t="shared" ca="1" si="271"/>
        <v>1.1814073798120288E-4</v>
      </c>
      <c r="AD509" s="2">
        <f t="shared" ca="1" si="272"/>
        <v>0.22484049080929971</v>
      </c>
      <c r="AE509" s="2">
        <f t="shared" ca="1" si="273"/>
        <v>-1.3550209907484041E-5</v>
      </c>
      <c r="AF509" s="2">
        <f t="shared" ca="1" si="274"/>
        <v>0.16276608912059923</v>
      </c>
      <c r="AG509" s="2">
        <f t="shared" ca="1" si="275"/>
        <v>1.956574001228365</v>
      </c>
      <c r="AI509" s="2">
        <f t="shared" ca="1" si="276"/>
        <v>-2.4143574215196228E-5</v>
      </c>
      <c r="AJ509" s="11">
        <f t="shared" ca="1" si="277"/>
        <v>-1.3550209907484041E-5</v>
      </c>
      <c r="AK509" s="2">
        <f t="shared" ca="1" si="278"/>
        <v>1.1611869136508215E-2</v>
      </c>
      <c r="AL509" s="2">
        <f t="shared" ca="1" si="279"/>
        <v>5.5305754274837481E-4</v>
      </c>
      <c r="AM509" s="2">
        <f t="shared" ca="1" si="280"/>
        <v>1.1814073798120288E-4</v>
      </c>
      <c r="AN509" s="2">
        <f t="shared" ca="1" si="281"/>
        <v>0.22484049080929971</v>
      </c>
      <c r="AO509" s="2">
        <f t="shared" ca="1" si="282"/>
        <v>-1.3550209907484041E-5</v>
      </c>
      <c r="AP509" s="2">
        <f t="shared" ca="1" si="283"/>
        <v>0.16276608912059923</v>
      </c>
      <c r="AQ509" s="2">
        <f t="shared" ca="1" si="284"/>
        <v>1.956574001228365</v>
      </c>
      <c r="AS509" s="2">
        <f t="shared" ca="1" si="285"/>
        <v>8.7020535944651058</v>
      </c>
      <c r="AT509" s="2">
        <f t="shared" ca="1" si="286"/>
        <v>0.40090238236983766</v>
      </c>
      <c r="AU509" s="2">
        <f t="shared" ca="1" si="287"/>
        <v>2.2172208647543178E-4</v>
      </c>
      <c r="AV509" s="2">
        <f t="shared" ca="1" si="288"/>
        <v>0.16254436703412378</v>
      </c>
      <c r="AW509" s="2">
        <f t="shared" ca="1" si="289"/>
        <v>0.7091279551706654</v>
      </c>
      <c r="AX509" s="2">
        <f t="shared" ca="1" si="290"/>
        <v>5.3708159865971841E-2</v>
      </c>
      <c r="AY509" s="9">
        <f t="shared" ca="1" si="291"/>
        <v>0.7091279551706654</v>
      </c>
      <c r="AZ509" s="9">
        <f t="shared" ca="1" si="292"/>
        <v>0.7091279551706654</v>
      </c>
      <c r="BB509" s="2">
        <f t="shared" ca="1" si="293"/>
        <v>8.7020535944651058</v>
      </c>
      <c r="BC509" s="2">
        <f t="shared" ca="1" si="294"/>
        <v>0.40090238236983766</v>
      </c>
      <c r="BD509" s="2">
        <f t="shared" ca="1" si="295"/>
        <v>2.2172208647543178E-4</v>
      </c>
      <c r="BE509" s="2">
        <f t="shared" ca="1" si="296"/>
        <v>0.16254436703412378</v>
      </c>
      <c r="BF509" s="2">
        <f t="shared" ca="1" si="297"/>
        <v>0.7091279551706654</v>
      </c>
      <c r="BG509" s="2">
        <f t="shared" ca="1" si="298"/>
        <v>5.3708159865971841E-2</v>
      </c>
      <c r="BH509" s="2">
        <f t="shared" ca="1" si="299"/>
        <v>0.7091279551706654</v>
      </c>
      <c r="BI509" s="2">
        <f t="shared" ca="1" si="300"/>
        <v>0.7091279551706654</v>
      </c>
    </row>
    <row r="510" spans="1:61" ht="15" x14ac:dyDescent="0.25">
      <c r="A510" s="66">
        <v>444</v>
      </c>
      <c r="B510" s="66">
        <v>1498730353.4100001</v>
      </c>
      <c r="C510" s="67">
        <v>-4.3228587925013002E-5</v>
      </c>
      <c r="D510" s="67">
        <v>1.80416960692697E-5</v>
      </c>
      <c r="E510" s="67">
        <v>1.15511073150312E-2</v>
      </c>
      <c r="F510" s="67">
        <v>5.3637412794275204E-4</v>
      </c>
      <c r="G510" s="67">
        <v>-3.01187185320181E-5</v>
      </c>
      <c r="H510" s="67">
        <v>0.21060887533183401</v>
      </c>
      <c r="I510" s="67">
        <v>1.80416960692697E-5</v>
      </c>
      <c r="J510" s="67">
        <v>0.15200114483677901</v>
      </c>
      <c r="K510" s="67">
        <v>1.82902313196789</v>
      </c>
      <c r="L510" s="67"/>
      <c r="M510" s="67"/>
      <c r="O510" s="11">
        <f t="shared" ca="1" si="258"/>
        <v>-5.603251863497303E-5</v>
      </c>
      <c r="P510" s="11">
        <f t="shared" ca="1" si="259"/>
        <v>1.7276595838964958E-5</v>
      </c>
      <c r="Q510" s="11">
        <f t="shared" ca="1" si="260"/>
        <v>1.0714615702762916E-2</v>
      </c>
      <c r="R510" s="11">
        <f t="shared" ca="1" si="261"/>
        <v>5.2472764029640488E-4</v>
      </c>
      <c r="S510" s="11">
        <f t="shared" ca="1" si="262"/>
        <v>-4.1046370578988224E-5</v>
      </c>
      <c r="T510" s="11">
        <f t="shared" ca="1" si="263"/>
        <v>0.20947032029325172</v>
      </c>
      <c r="U510" s="11">
        <f t="shared" ca="1" si="264"/>
        <v>1.7276595838964958E-5</v>
      </c>
      <c r="V510" s="11">
        <f t="shared" ca="1" si="265"/>
        <v>0.15135094883108524</v>
      </c>
      <c r="W510" s="11">
        <f t="shared" ca="1" si="266"/>
        <v>1.8219002837043849</v>
      </c>
      <c r="X510" s="11"/>
      <c r="Y510" s="2">
        <f t="shared" ca="1" si="267"/>
        <v>-5.603251863497303E-5</v>
      </c>
      <c r="Z510" s="11">
        <f t="shared" ca="1" si="268"/>
        <v>1.7276595838964958E-5</v>
      </c>
      <c r="AA510" s="2">
        <f t="shared" ca="1" si="269"/>
        <v>1.0714483523876536E-2</v>
      </c>
      <c r="AB510" s="2">
        <f t="shared" ca="1" si="270"/>
        <v>5.2152831043291402E-4</v>
      </c>
      <c r="AC510" s="2">
        <f t="shared" ca="1" si="271"/>
        <v>-4.1046370578988224E-5</v>
      </c>
      <c r="AD510" s="2">
        <f t="shared" ca="1" si="272"/>
        <v>0.20944705380518341</v>
      </c>
      <c r="AE510" s="2">
        <f t="shared" ca="1" si="273"/>
        <v>1.7276595838964958E-5</v>
      </c>
      <c r="AF510" s="2">
        <f t="shared" ca="1" si="274"/>
        <v>0.15131658983079072</v>
      </c>
      <c r="AG510" s="2">
        <f t="shared" ca="1" si="275"/>
        <v>1.8218863416213615</v>
      </c>
      <c r="AI510" s="2">
        <f t="shared" ca="1" si="276"/>
        <v>-5.603251863497303E-5</v>
      </c>
      <c r="AJ510" s="11">
        <f t="shared" ca="1" si="277"/>
        <v>1.7276595838964958E-5</v>
      </c>
      <c r="AK510" s="2">
        <f t="shared" ca="1" si="278"/>
        <v>1.0694100337414528E-2</v>
      </c>
      <c r="AL510" s="2">
        <f t="shared" ca="1" si="279"/>
        <v>5.1198812775592184E-4</v>
      </c>
      <c r="AM510" s="2">
        <f t="shared" ca="1" si="280"/>
        <v>-4.1046370578988224E-5</v>
      </c>
      <c r="AN510" s="2">
        <f t="shared" ca="1" si="281"/>
        <v>0.20944705380518341</v>
      </c>
      <c r="AO510" s="2">
        <f t="shared" ca="1" si="282"/>
        <v>1.7276595838964958E-5</v>
      </c>
      <c r="AP510" s="2">
        <f t="shared" ca="1" si="283"/>
        <v>0.15131658983079072</v>
      </c>
      <c r="AQ510" s="2">
        <f t="shared" ca="1" si="284"/>
        <v>1.8218863416213615</v>
      </c>
      <c r="AS510" s="2">
        <f t="shared" ca="1" si="285"/>
        <v>8.6976535919445919</v>
      </c>
      <c r="AT510" s="2">
        <f t="shared" ca="1" si="286"/>
        <v>0.40069721690723697</v>
      </c>
      <c r="AU510" s="2">
        <f t="shared" ca="1" si="287"/>
        <v>2.1025690510107116E-4</v>
      </c>
      <c r="AV510" s="2">
        <f t="shared" ca="1" si="288"/>
        <v>0.15114069192598417</v>
      </c>
      <c r="AW510" s="2">
        <f t="shared" ca="1" si="289"/>
        <v>0.70794045318338172</v>
      </c>
      <c r="AX510" s="2">
        <f t="shared" ca="1" si="290"/>
        <v>5.3166982568627286E-2</v>
      </c>
      <c r="AY510" s="9">
        <f t="shared" ca="1" si="291"/>
        <v>0.70794045318338172</v>
      </c>
      <c r="AZ510" s="9">
        <f t="shared" ca="1" si="292"/>
        <v>0.70794045318338172</v>
      </c>
      <c r="BB510" s="2">
        <f t="shared" ca="1" si="293"/>
        <v>8.6985532072271781</v>
      </c>
      <c r="BC510" s="2">
        <f t="shared" ca="1" si="294"/>
        <v>0.40073916450485303</v>
      </c>
      <c r="BD510" s="2">
        <f t="shared" ca="1" si="295"/>
        <v>2.0517369455331206E-4</v>
      </c>
      <c r="BE510" s="2">
        <f t="shared" ca="1" si="296"/>
        <v>0.15111141613623741</v>
      </c>
      <c r="BF510" s="2">
        <f t="shared" ca="1" si="297"/>
        <v>0.70784508338876384</v>
      </c>
      <c r="BG510" s="2">
        <f t="shared" ca="1" si="298"/>
        <v>5.3076694938280204E-2</v>
      </c>
      <c r="BH510" s="2">
        <f t="shared" ca="1" si="299"/>
        <v>0.70784508338876384</v>
      </c>
      <c r="BI510" s="2">
        <f t="shared" ca="1" si="300"/>
        <v>0.70784508338876384</v>
      </c>
    </row>
    <row r="511" spans="1:61" ht="15" x14ac:dyDescent="0.25">
      <c r="A511" s="66">
        <v>445</v>
      </c>
      <c r="B511" s="66">
        <v>1498730353.937</v>
      </c>
      <c r="C511" s="67">
        <v>-4.6299321064777302E-5</v>
      </c>
      <c r="D511" s="67">
        <v>-7.3999676864593199E-6</v>
      </c>
      <c r="E511" s="67">
        <v>1.1617284750780501E-2</v>
      </c>
      <c r="F511" s="67">
        <v>5.6756087187679195E-4</v>
      </c>
      <c r="G511" s="67">
        <v>-3.30602906525578E-5</v>
      </c>
      <c r="H511" s="67">
        <v>0.21337639921354101</v>
      </c>
      <c r="I511" s="67">
        <v>-7.3999676864593199E-6</v>
      </c>
      <c r="J511" s="67">
        <v>0.15411999540118801</v>
      </c>
      <c r="K511" s="67">
        <v>1.8511525644897999</v>
      </c>
      <c r="L511" s="67"/>
      <c r="M511" s="67"/>
      <c r="O511" s="11">
        <f t="shared" ca="1" si="258"/>
        <v>-5.910325177473733E-5</v>
      </c>
      <c r="P511" s="11">
        <f t="shared" ca="1" si="259"/>
        <v>-8.165067916764061E-6</v>
      </c>
      <c r="Q511" s="11">
        <f t="shared" ca="1" si="260"/>
        <v>1.0780793138512216E-2</v>
      </c>
      <c r="R511" s="11">
        <f t="shared" ca="1" si="261"/>
        <v>5.5591438423044479E-4</v>
      </c>
      <c r="S511" s="11">
        <f t="shared" ca="1" si="262"/>
        <v>-4.398794269952792E-5</v>
      </c>
      <c r="T511" s="11">
        <f t="shared" ca="1" si="263"/>
        <v>0.21223784417495872</v>
      </c>
      <c r="U511" s="11">
        <f t="shared" ca="1" si="264"/>
        <v>-8.165067916764061E-6</v>
      </c>
      <c r="V511" s="11">
        <f t="shared" ca="1" si="265"/>
        <v>0.15346979939549424</v>
      </c>
      <c r="W511" s="11">
        <f t="shared" ca="1" si="266"/>
        <v>1.8440297162262949</v>
      </c>
      <c r="X511" s="11"/>
      <c r="Y511" s="2">
        <f t="shared" ca="1" si="267"/>
        <v>-5.910325177473733E-5</v>
      </c>
      <c r="Z511" s="11">
        <f t="shared" ca="1" si="268"/>
        <v>-8.165067916764061E-6</v>
      </c>
      <c r="AA511" s="2">
        <f t="shared" ca="1" si="269"/>
        <v>1.0780793138512216E-2</v>
      </c>
      <c r="AB511" s="2">
        <f t="shared" ca="1" si="270"/>
        <v>5.5591438423044479E-4</v>
      </c>
      <c r="AC511" s="2">
        <f t="shared" ca="1" si="271"/>
        <v>-4.398794269952792E-5</v>
      </c>
      <c r="AD511" s="2">
        <f t="shared" ca="1" si="272"/>
        <v>0.21223784417495872</v>
      </c>
      <c r="AE511" s="2">
        <f t="shared" ca="1" si="273"/>
        <v>-8.165067916764061E-6</v>
      </c>
      <c r="AF511" s="2">
        <f t="shared" ca="1" si="274"/>
        <v>0.15346979939549424</v>
      </c>
      <c r="AG511" s="2">
        <f t="shared" ca="1" si="275"/>
        <v>1.8440297162262949</v>
      </c>
      <c r="AI511" s="2">
        <f t="shared" ca="1" si="276"/>
        <v>-5.910325177473733E-5</v>
      </c>
      <c r="AJ511" s="11">
        <f t="shared" ca="1" si="277"/>
        <v>-8.165067916764061E-6</v>
      </c>
      <c r="AK511" s="2">
        <f t="shared" ca="1" si="278"/>
        <v>1.0780793138512216E-2</v>
      </c>
      <c r="AL511" s="2">
        <f t="shared" ca="1" si="279"/>
        <v>5.5591438423044479E-4</v>
      </c>
      <c r="AM511" s="2">
        <f t="shared" ca="1" si="280"/>
        <v>-4.398794269952792E-5</v>
      </c>
      <c r="AN511" s="2">
        <f t="shared" ca="1" si="281"/>
        <v>0.21223784417495872</v>
      </c>
      <c r="AO511" s="2">
        <f t="shared" ca="1" si="282"/>
        <v>-8.165067916764061E-6</v>
      </c>
      <c r="AP511" s="2">
        <f t="shared" ca="1" si="283"/>
        <v>0.15346979939549424</v>
      </c>
      <c r="AQ511" s="2">
        <f t="shared" ca="1" si="284"/>
        <v>1.8440297162262949</v>
      </c>
      <c r="AS511" s="2">
        <f t="shared" ca="1" si="285"/>
        <v>8.6885056875444189</v>
      </c>
      <c r="AT511" s="2">
        <f t="shared" ca="1" si="286"/>
        <v>0.40027066799113054</v>
      </c>
      <c r="AU511" s="2">
        <f t="shared" ca="1" si="287"/>
        <v>2.2251622192179813E-4</v>
      </c>
      <c r="AV511" s="2">
        <f t="shared" ca="1" si="288"/>
        <v>0.15324728317357245</v>
      </c>
      <c r="AW511" s="2">
        <f t="shared" ca="1" si="289"/>
        <v>0.70882320893939388</v>
      </c>
      <c r="AX511" s="2">
        <f t="shared" ca="1" si="290"/>
        <v>5.2740975151207133E-2</v>
      </c>
      <c r="AY511" s="9">
        <f t="shared" ca="1" si="291"/>
        <v>0.70882320893939388</v>
      </c>
      <c r="AZ511" s="9">
        <f t="shared" ca="1" si="292"/>
        <v>0.70882320893939388</v>
      </c>
      <c r="BB511" s="2">
        <f t="shared" ca="1" si="293"/>
        <v>8.6885056875444189</v>
      </c>
      <c r="BC511" s="2">
        <f t="shared" ca="1" si="294"/>
        <v>0.40027066799113054</v>
      </c>
      <c r="BD511" s="2">
        <f t="shared" ca="1" si="295"/>
        <v>2.2251622192179813E-4</v>
      </c>
      <c r="BE511" s="2">
        <f t="shared" ca="1" si="296"/>
        <v>0.15324728317357245</v>
      </c>
      <c r="BF511" s="2">
        <f t="shared" ca="1" si="297"/>
        <v>0.70882320893939388</v>
      </c>
      <c r="BG511" s="2">
        <f t="shared" ca="1" si="298"/>
        <v>5.2740975151207133E-2</v>
      </c>
      <c r="BH511" s="2">
        <f t="shared" ca="1" si="299"/>
        <v>0.70882320893939388</v>
      </c>
      <c r="BI511" s="2">
        <f t="shared" ca="1" si="300"/>
        <v>0.70882320893939388</v>
      </c>
    </row>
    <row r="512" spans="1:61" ht="15" x14ac:dyDescent="0.25">
      <c r="A512" s="66">
        <v>446</v>
      </c>
      <c r="B512" s="66">
        <v>1498730354.464</v>
      </c>
      <c r="C512" s="67">
        <v>8.5278304133787794E-5</v>
      </c>
      <c r="D512" s="67">
        <v>-3.1465506582435801E-5</v>
      </c>
      <c r="E512" s="67">
        <v>1.2716463443088201E-2</v>
      </c>
      <c r="F512" s="67">
        <v>6.44936769295865E-4</v>
      </c>
      <c r="G512" s="67">
        <v>7.0465086252666505E-5</v>
      </c>
      <c r="H512" s="67">
        <v>0.23397164026660899</v>
      </c>
      <c r="I512" s="67">
        <v>-3.1465506582435801E-5</v>
      </c>
      <c r="J512" s="67">
        <v>0.16891711751167199</v>
      </c>
      <c r="K512" s="67">
        <v>2.0297473599712998</v>
      </c>
      <c r="L512" s="67"/>
      <c r="M512" s="67"/>
      <c r="O512" s="11">
        <f t="shared" ca="1" si="258"/>
        <v>7.2474373423827773E-5</v>
      </c>
      <c r="P512" s="11">
        <f t="shared" ca="1" si="259"/>
        <v>-3.223060681274054E-5</v>
      </c>
      <c r="Q512" s="11">
        <f t="shared" ca="1" si="260"/>
        <v>1.1879971830819916E-2</v>
      </c>
      <c r="R512" s="11">
        <f t="shared" ca="1" si="261"/>
        <v>6.3329028164951784E-4</v>
      </c>
      <c r="S512" s="11">
        <f t="shared" ca="1" si="262"/>
        <v>5.9537434205696384E-5</v>
      </c>
      <c r="T512" s="11">
        <f t="shared" ca="1" si="263"/>
        <v>0.2328330852280267</v>
      </c>
      <c r="U512" s="11">
        <f t="shared" ca="1" si="264"/>
        <v>-3.223060681274054E-5</v>
      </c>
      <c r="V512" s="11">
        <f t="shared" ca="1" si="265"/>
        <v>0.16826692150597822</v>
      </c>
      <c r="W512" s="11">
        <f t="shared" ca="1" si="266"/>
        <v>2.0226245117077948</v>
      </c>
      <c r="X512" s="11"/>
      <c r="Y512" s="2">
        <f t="shared" ca="1" si="267"/>
        <v>7.2474373423827773E-5</v>
      </c>
      <c r="Z512" s="11">
        <f t="shared" ca="1" si="268"/>
        <v>-3.223060681274054E-5</v>
      </c>
      <c r="AA512" s="2">
        <f t="shared" ca="1" si="269"/>
        <v>1.1879971830819916E-2</v>
      </c>
      <c r="AB512" s="2">
        <f t="shared" ca="1" si="270"/>
        <v>6.3329028164951784E-4</v>
      </c>
      <c r="AC512" s="2">
        <f t="shared" ca="1" si="271"/>
        <v>5.9537434205696384E-5</v>
      </c>
      <c r="AD512" s="2">
        <f t="shared" ca="1" si="272"/>
        <v>0.2328330852280267</v>
      </c>
      <c r="AE512" s="2">
        <f t="shared" ca="1" si="273"/>
        <v>-3.223060681274054E-5</v>
      </c>
      <c r="AF512" s="2">
        <f t="shared" ca="1" si="274"/>
        <v>0.16826692150597822</v>
      </c>
      <c r="AG512" s="2">
        <f t="shared" ca="1" si="275"/>
        <v>2.0226245117077948</v>
      </c>
      <c r="AI512" s="2">
        <f t="shared" ca="1" si="276"/>
        <v>7.2474373423827773E-5</v>
      </c>
      <c r="AJ512" s="11">
        <f t="shared" ca="1" si="277"/>
        <v>-3.223060681274054E-5</v>
      </c>
      <c r="AK512" s="2">
        <f t="shared" ca="1" si="278"/>
        <v>1.1879971830819916E-2</v>
      </c>
      <c r="AL512" s="2">
        <f t="shared" ca="1" si="279"/>
        <v>6.3329028164951784E-4</v>
      </c>
      <c r="AM512" s="2">
        <f t="shared" ca="1" si="280"/>
        <v>5.9537434205696384E-5</v>
      </c>
      <c r="AN512" s="2">
        <f t="shared" ca="1" si="281"/>
        <v>0.2328330852280267</v>
      </c>
      <c r="AO512" s="2">
        <f t="shared" ca="1" si="282"/>
        <v>-3.223060681274054E-5</v>
      </c>
      <c r="AP512" s="2">
        <f t="shared" ca="1" si="283"/>
        <v>0.16826692150597822</v>
      </c>
      <c r="AQ512" s="2">
        <f t="shared" ca="1" si="284"/>
        <v>2.0226245117077948</v>
      </c>
      <c r="AS512" s="2">
        <f t="shared" ca="1" si="285"/>
        <v>8.6870150336535001</v>
      </c>
      <c r="AT512" s="2">
        <f t="shared" ca="1" si="286"/>
        <v>0.40020116222744445</v>
      </c>
      <c r="AU512" s="2">
        <f t="shared" ca="1" si="287"/>
        <v>2.5344350674348268E-4</v>
      </c>
      <c r="AV512" s="2">
        <f t="shared" ca="1" si="288"/>
        <v>0.16801347799923474</v>
      </c>
      <c r="AW512" s="2">
        <f t="shared" ca="1" si="289"/>
        <v>0.70844302064527909</v>
      </c>
      <c r="AX512" s="2">
        <f t="shared" ca="1" si="290"/>
        <v>5.2968141717605659E-2</v>
      </c>
      <c r="AY512" s="9">
        <f t="shared" ca="1" si="291"/>
        <v>0.70844302064527909</v>
      </c>
      <c r="AZ512" s="9">
        <f t="shared" ca="1" si="292"/>
        <v>0.70844302064527909</v>
      </c>
      <c r="BB512" s="2">
        <f t="shared" ca="1" si="293"/>
        <v>8.6870150336535001</v>
      </c>
      <c r="BC512" s="2">
        <f t="shared" ca="1" si="294"/>
        <v>0.40020116222744445</v>
      </c>
      <c r="BD512" s="2">
        <f t="shared" ca="1" si="295"/>
        <v>2.5344350674348268E-4</v>
      </c>
      <c r="BE512" s="2">
        <f t="shared" ca="1" si="296"/>
        <v>0.16801347799923474</v>
      </c>
      <c r="BF512" s="2">
        <f t="shared" ca="1" si="297"/>
        <v>0.70844302064527909</v>
      </c>
      <c r="BG512" s="2">
        <f t="shared" ca="1" si="298"/>
        <v>5.2968141717605659E-2</v>
      </c>
      <c r="BH512" s="2">
        <f t="shared" ca="1" si="299"/>
        <v>0.70844302064527909</v>
      </c>
      <c r="BI512" s="2">
        <f t="shared" ca="1" si="300"/>
        <v>0.70844302064527909</v>
      </c>
    </row>
    <row r="513" spans="1:61" ht="15" x14ac:dyDescent="0.25">
      <c r="A513" s="66">
        <v>447</v>
      </c>
      <c r="B513" s="66">
        <v>1498730354.9909999</v>
      </c>
      <c r="C513" s="67">
        <v>-1.16214980815825E-4</v>
      </c>
      <c r="D513" s="67">
        <v>1.68131649509811E-5</v>
      </c>
      <c r="E513" s="67">
        <v>1.2410788691288799E-2</v>
      </c>
      <c r="F513" s="67">
        <v>6.2112816250422197E-4</v>
      </c>
      <c r="G513" s="67">
        <v>-5.1696057746689999E-5</v>
      </c>
      <c r="H513" s="67">
        <v>0.227791091580472</v>
      </c>
      <c r="I513" s="67">
        <v>1.68131649509811E-5</v>
      </c>
      <c r="J513" s="67">
        <v>0.16467076974908301</v>
      </c>
      <c r="K513" s="67">
        <v>1.9785900112345201</v>
      </c>
      <c r="L513" s="67"/>
      <c r="M513" s="67"/>
      <c r="O513" s="11">
        <f t="shared" ca="1" si="258"/>
        <v>-1.2901891152578503E-4</v>
      </c>
      <c r="P513" s="11">
        <f t="shared" ca="1" si="259"/>
        <v>1.6048064720676358E-5</v>
      </c>
      <c r="Q513" s="11">
        <f t="shared" ca="1" si="260"/>
        <v>1.1574297079020515E-2</v>
      </c>
      <c r="R513" s="11">
        <f t="shared" ca="1" si="261"/>
        <v>6.0948167485787481E-4</v>
      </c>
      <c r="S513" s="11">
        <f t="shared" ca="1" si="262"/>
        <v>-6.2623709793660127E-5</v>
      </c>
      <c r="T513" s="11">
        <f t="shared" ca="1" si="263"/>
        <v>0.22665253654188972</v>
      </c>
      <c r="U513" s="11">
        <f t="shared" ca="1" si="264"/>
        <v>1.6048064720676358E-5</v>
      </c>
      <c r="V513" s="11">
        <f t="shared" ca="1" si="265"/>
        <v>0.16402057374338924</v>
      </c>
      <c r="W513" s="11">
        <f t="shared" ca="1" si="266"/>
        <v>1.971467162971015</v>
      </c>
      <c r="X513" s="11"/>
      <c r="Y513" s="2">
        <f t="shared" ca="1" si="267"/>
        <v>-1.2901891152578503E-4</v>
      </c>
      <c r="Z513" s="11">
        <f t="shared" ca="1" si="268"/>
        <v>1.6048064720676358E-5</v>
      </c>
      <c r="AA513" s="2">
        <f t="shared" ca="1" si="269"/>
        <v>1.157417429931651E-2</v>
      </c>
      <c r="AB513" s="2">
        <f t="shared" ca="1" si="270"/>
        <v>6.0650984793139792E-4</v>
      </c>
      <c r="AC513" s="2">
        <f t="shared" ca="1" si="271"/>
        <v>-6.2623709793660127E-5</v>
      </c>
      <c r="AD513" s="2">
        <f t="shared" ca="1" si="272"/>
        <v>0.22663092452353709</v>
      </c>
      <c r="AE513" s="2">
        <f t="shared" ca="1" si="273"/>
        <v>1.6048064720676358E-5</v>
      </c>
      <c r="AF513" s="2">
        <f t="shared" ca="1" si="274"/>
        <v>0.16398865799646759</v>
      </c>
      <c r="AG513" s="2">
        <f t="shared" ca="1" si="275"/>
        <v>1.9714542123033727</v>
      </c>
      <c r="AI513" s="2">
        <f t="shared" ca="1" si="276"/>
        <v>-1.2901891152578503E-4</v>
      </c>
      <c r="AJ513" s="11">
        <f t="shared" ca="1" si="277"/>
        <v>1.6048064720676358E-5</v>
      </c>
      <c r="AK513" s="2">
        <f t="shared" ca="1" si="278"/>
        <v>1.1555240552263276E-2</v>
      </c>
      <c r="AL513" s="2">
        <f t="shared" ca="1" si="279"/>
        <v>5.9764806344129908E-4</v>
      </c>
      <c r="AM513" s="2">
        <f t="shared" ca="1" si="280"/>
        <v>-6.2623709793660127E-5</v>
      </c>
      <c r="AN513" s="2">
        <f t="shared" ca="1" si="281"/>
        <v>0.22663092452353709</v>
      </c>
      <c r="AO513" s="2">
        <f t="shared" ca="1" si="282"/>
        <v>1.6048064720676358E-5</v>
      </c>
      <c r="AP513" s="2">
        <f t="shared" ca="1" si="283"/>
        <v>0.16398865799646759</v>
      </c>
      <c r="AQ513" s="2">
        <f t="shared" ca="1" si="284"/>
        <v>1.9714542123033727</v>
      </c>
      <c r="AS513" s="2">
        <f t="shared" ca="1" si="285"/>
        <v>8.6981914830970801</v>
      </c>
      <c r="AT513" s="2">
        <f t="shared" ca="1" si="286"/>
        <v>0.40072229789059977</v>
      </c>
      <c r="AU513" s="2">
        <f t="shared" ca="1" si="287"/>
        <v>2.4423289727125896E-4</v>
      </c>
      <c r="AV513" s="2">
        <f t="shared" ca="1" si="288"/>
        <v>0.16377634084611797</v>
      </c>
      <c r="AW513" s="2">
        <f t="shared" ca="1" si="289"/>
        <v>0.70894880528200277</v>
      </c>
      <c r="AX513" s="2">
        <f t="shared" ca="1" si="290"/>
        <v>5.3082263590305094E-2</v>
      </c>
      <c r="AY513" s="9">
        <f t="shared" ca="1" si="291"/>
        <v>0.70894880528200277</v>
      </c>
      <c r="AZ513" s="9">
        <f t="shared" ca="1" si="292"/>
        <v>0.70894880528200277</v>
      </c>
      <c r="BB513" s="2">
        <f t="shared" ca="1" si="293"/>
        <v>8.6989638172641541</v>
      </c>
      <c r="BC513" s="2">
        <f t="shared" ca="1" si="294"/>
        <v>0.40075831060060674</v>
      </c>
      <c r="BD513" s="2">
        <f t="shared" ca="1" si="295"/>
        <v>2.3951242823845925E-4</v>
      </c>
      <c r="BE513" s="2">
        <f t="shared" ca="1" si="296"/>
        <v>0.16374914556822912</v>
      </c>
      <c r="BF513" s="2">
        <f t="shared" ca="1" si="297"/>
        <v>0.70886698256447378</v>
      </c>
      <c r="BG513" s="2">
        <f t="shared" ca="1" si="298"/>
        <v>5.3004735304004715E-2</v>
      </c>
      <c r="BH513" s="2">
        <f t="shared" ca="1" si="299"/>
        <v>0.70886698256447378</v>
      </c>
      <c r="BI513" s="2">
        <f t="shared" ca="1" si="300"/>
        <v>0.70886698256447378</v>
      </c>
    </row>
    <row r="514" spans="1:61" ht="15" x14ac:dyDescent="0.25">
      <c r="A514" s="66">
        <v>448</v>
      </c>
      <c r="B514" s="66">
        <v>1498730355.5179999</v>
      </c>
      <c r="C514" s="67">
        <v>7.6773657274914107E-5</v>
      </c>
      <c r="D514" s="67">
        <v>-2.0578876261178599E-5</v>
      </c>
      <c r="E514" s="67">
        <v>1.18100662641012E-2</v>
      </c>
      <c r="F514" s="67">
        <v>4.9566617908554595E-4</v>
      </c>
      <c r="G514" s="67">
        <v>-4.3578636497468001E-5</v>
      </c>
      <c r="H514" s="67">
        <v>0.214425237408744</v>
      </c>
      <c r="I514" s="67">
        <v>-2.0578876261178599E-5</v>
      </c>
      <c r="J514" s="67">
        <v>0.154892672977852</v>
      </c>
      <c r="K514" s="67">
        <v>1.8644263806111001</v>
      </c>
      <c r="L514" s="67"/>
      <c r="M514" s="67"/>
      <c r="O514" s="11">
        <f t="shared" ca="1" si="258"/>
        <v>6.3969726564954072E-5</v>
      </c>
      <c r="P514" s="11">
        <f t="shared" ca="1" si="259"/>
        <v>-2.1343976491483341E-5</v>
      </c>
      <c r="Q514" s="11">
        <f t="shared" ca="1" si="260"/>
        <v>1.0973574651832916E-2</v>
      </c>
      <c r="R514" s="11">
        <f t="shared" ca="1" si="261"/>
        <v>4.8401969143919884E-4</v>
      </c>
      <c r="S514" s="11">
        <f t="shared" ca="1" si="262"/>
        <v>-5.4506288544438122E-5</v>
      </c>
      <c r="T514" s="11">
        <f t="shared" ca="1" si="263"/>
        <v>0.21328668237016171</v>
      </c>
      <c r="U514" s="11">
        <f t="shared" ca="1" si="264"/>
        <v>-2.1343976491483341E-5</v>
      </c>
      <c r="V514" s="11">
        <f t="shared" ca="1" si="265"/>
        <v>0.15424247697215823</v>
      </c>
      <c r="W514" s="11">
        <f t="shared" ca="1" si="266"/>
        <v>1.857303532347595</v>
      </c>
      <c r="X514" s="11"/>
      <c r="Y514" s="2">
        <f t="shared" ca="1" si="267"/>
        <v>6.3969726564954072E-5</v>
      </c>
      <c r="Z514" s="11">
        <f t="shared" ca="1" si="268"/>
        <v>-2.1343976491483341E-5</v>
      </c>
      <c r="AA514" s="2">
        <f t="shared" ca="1" si="269"/>
        <v>1.0973574651832916E-2</v>
      </c>
      <c r="AB514" s="2">
        <f t="shared" ca="1" si="270"/>
        <v>4.8401969143919884E-4</v>
      </c>
      <c r="AC514" s="2">
        <f t="shared" ca="1" si="271"/>
        <v>-5.4506288544438122E-5</v>
      </c>
      <c r="AD514" s="2">
        <f t="shared" ca="1" si="272"/>
        <v>0.21328668237016171</v>
      </c>
      <c r="AE514" s="2">
        <f t="shared" ca="1" si="273"/>
        <v>-2.1343976491483341E-5</v>
      </c>
      <c r="AF514" s="2">
        <f t="shared" ca="1" si="274"/>
        <v>0.15424247697215823</v>
      </c>
      <c r="AG514" s="2">
        <f t="shared" ca="1" si="275"/>
        <v>1.857303532347595</v>
      </c>
      <c r="AI514" s="2">
        <f t="shared" ca="1" si="276"/>
        <v>6.3969726564954072E-5</v>
      </c>
      <c r="AJ514" s="11">
        <f t="shared" ca="1" si="277"/>
        <v>-2.1343976491483341E-5</v>
      </c>
      <c r="AK514" s="2">
        <f t="shared" ca="1" si="278"/>
        <v>1.0973574651832916E-2</v>
      </c>
      <c r="AL514" s="2">
        <f t="shared" ca="1" si="279"/>
        <v>4.8401969143919884E-4</v>
      </c>
      <c r="AM514" s="2">
        <f t="shared" ca="1" si="280"/>
        <v>-5.4506288544438122E-5</v>
      </c>
      <c r="AN514" s="2">
        <f t="shared" ca="1" si="281"/>
        <v>0.21328668237016171</v>
      </c>
      <c r="AO514" s="2">
        <f t="shared" ca="1" si="282"/>
        <v>-2.1343976491483341E-5</v>
      </c>
      <c r="AP514" s="2">
        <f t="shared" ca="1" si="283"/>
        <v>0.15424247697215823</v>
      </c>
      <c r="AQ514" s="2">
        <f t="shared" ca="1" si="284"/>
        <v>1.857303532347595</v>
      </c>
      <c r="AS514" s="2">
        <f t="shared" ca="1" si="285"/>
        <v>8.7080145450629747</v>
      </c>
      <c r="AT514" s="2">
        <f t="shared" ca="1" si="286"/>
        <v>0.40118033448719487</v>
      </c>
      <c r="AU514" s="2">
        <f t="shared" ca="1" si="287"/>
        <v>1.9417918170996665E-4</v>
      </c>
      <c r="AV514" s="2">
        <f t="shared" ca="1" si="288"/>
        <v>0.15404829779044826</v>
      </c>
      <c r="AW514" s="2">
        <f t="shared" ca="1" si="289"/>
        <v>0.70822394747213935</v>
      </c>
      <c r="AX514" s="2">
        <f t="shared" ca="1" si="290"/>
        <v>5.3542834052734405E-2</v>
      </c>
      <c r="AY514" s="9">
        <f t="shared" ca="1" si="291"/>
        <v>0.70822394747213935</v>
      </c>
      <c r="AZ514" s="9">
        <f t="shared" ca="1" si="292"/>
        <v>0.70822394747213935</v>
      </c>
      <c r="BB514" s="2">
        <f t="shared" ca="1" si="293"/>
        <v>8.7080145450629747</v>
      </c>
      <c r="BC514" s="2">
        <f t="shared" ca="1" si="294"/>
        <v>0.40118033448719487</v>
      </c>
      <c r="BD514" s="2">
        <f t="shared" ca="1" si="295"/>
        <v>1.9417918170996665E-4</v>
      </c>
      <c r="BE514" s="2">
        <f t="shared" ca="1" si="296"/>
        <v>0.15404829779044826</v>
      </c>
      <c r="BF514" s="2">
        <f t="shared" ca="1" si="297"/>
        <v>0.70822394747213935</v>
      </c>
      <c r="BG514" s="2">
        <f t="shared" ca="1" si="298"/>
        <v>5.3542834052734405E-2</v>
      </c>
      <c r="BH514" s="2">
        <f t="shared" ca="1" si="299"/>
        <v>0.70822394747213935</v>
      </c>
      <c r="BI514" s="2">
        <f t="shared" ca="1" si="300"/>
        <v>0.70822394747213935</v>
      </c>
    </row>
    <row r="515" spans="1:61" ht="15" x14ac:dyDescent="0.25">
      <c r="A515" s="66">
        <v>449</v>
      </c>
      <c r="B515" s="66">
        <v>1498730356.0450001</v>
      </c>
      <c r="C515" s="67">
        <v>2.8335496812268602E-6</v>
      </c>
      <c r="D515" s="67">
        <v>-7.9668385085225592E-6</v>
      </c>
      <c r="E515" s="67">
        <v>1.12823511360304E-2</v>
      </c>
      <c r="F515" s="67">
        <v>6.2469941734839699E-4</v>
      </c>
      <c r="G515" s="67">
        <v>2.52684026180427E-6</v>
      </c>
      <c r="H515" s="67">
        <v>0.20498750855971101</v>
      </c>
      <c r="I515" s="67">
        <v>-7.9668385085225592E-6</v>
      </c>
      <c r="J515" s="67">
        <v>0.147944096969712</v>
      </c>
      <c r="K515" s="67">
        <v>1.7769114605193099</v>
      </c>
      <c r="L515" s="67"/>
      <c r="M515" s="67"/>
      <c r="O515" s="11">
        <f t="shared" ref="O515:O578" ca="1" si="301">C515-AVERAGE(OFFSET(C$67,$J$2,0,$J$3))</f>
        <v>-9.9703810287331668E-6</v>
      </c>
      <c r="P515" s="11">
        <f t="shared" ref="P515:P578" ca="1" si="302">D515-AVERAGE(OFFSET(D$67,$J$2,0,$J$3))</f>
        <v>-8.7319387388272995E-6</v>
      </c>
      <c r="Q515" s="11">
        <f t="shared" ref="Q515:Q578" ca="1" si="303">E515-AVERAGE(OFFSET(E$67,$J$2,0,$J$3))</f>
        <v>1.0445859523762115E-2</v>
      </c>
      <c r="R515" s="11">
        <f t="shared" ref="R515:R578" ca="1" si="304">F515-AVERAGE(OFFSET(F$67,$J$2,0,$J$3))</f>
        <v>6.1305292970204983E-4</v>
      </c>
      <c r="S515" s="11">
        <f t="shared" ref="S515:S578" ca="1" si="305">G515-AVERAGE(OFFSET(G$67,$J$2,0,$J$3))</f>
        <v>-8.4008117851658533E-6</v>
      </c>
      <c r="T515" s="11">
        <f t="shared" ref="T515:T578" ca="1" si="306">H515-AVERAGE(OFFSET(H$67,$J$2,0,$J$3))</f>
        <v>0.20384895352112872</v>
      </c>
      <c r="U515" s="11">
        <f t="shared" ref="U515:U578" ca="1" si="307">I515-AVERAGE(OFFSET(I$67,$J$2,0,$J$3))</f>
        <v>-8.7319387388272995E-6</v>
      </c>
      <c r="V515" s="11">
        <f t="shared" ref="V515:V578" ca="1" si="308">J515-AVERAGE(OFFSET(J$67,$J$2,0,$J$3))</f>
        <v>0.14729390096401823</v>
      </c>
      <c r="W515" s="11">
        <f t="shared" ref="W515:W578" ca="1" si="309">K515-AVERAGE(OFFSET(K$67,$J$2,0,$J$3))</f>
        <v>1.7697886122558049</v>
      </c>
      <c r="X515" s="11"/>
      <c r="Y515" s="2">
        <f t="shared" ref="Y515:Y578" ca="1" si="310">O515</f>
        <v>-9.9703810287331668E-6</v>
      </c>
      <c r="Z515" s="11">
        <f t="shared" ref="Z515:Z578" ca="1" si="311">P515</f>
        <v>-8.7319387388272995E-6</v>
      </c>
      <c r="AA515" s="2">
        <f t="shared" ref="AA515:AA578" ca="1" si="312">IF($U515&gt;0,Q515-($B$14/$B$18*$U515), Q515)</f>
        <v>1.0445859523762115E-2</v>
      </c>
      <c r="AB515" s="2">
        <f t="shared" ref="AB515:AB578" ca="1" si="313">IF($U515&gt;0,R515-($B$15/$B$18*$U515), R515)</f>
        <v>6.1305292970204983E-4</v>
      </c>
      <c r="AC515" s="2">
        <f t="shared" ref="AC515:AC578" ca="1" si="314">S515</f>
        <v>-8.4008117851658533E-6</v>
      </c>
      <c r="AD515" s="2">
        <f t="shared" ref="AD515:AD578" ca="1" si="315">IF($U515&gt;0,T515-($B$17/$B$18*$U515), T515)</f>
        <v>0.20384895352112872</v>
      </c>
      <c r="AE515" s="2">
        <f t="shared" ref="AE515:AE578" ca="1" si="316">U515</f>
        <v>-8.7319387388272995E-6</v>
      </c>
      <c r="AF515" s="2">
        <f t="shared" ref="AF515:AF578" ca="1" si="317">IF($U515&gt;0,V515-($B$19/$B$18*$U515), V515)</f>
        <v>0.14729390096401823</v>
      </c>
      <c r="AG515" s="2">
        <f t="shared" ref="AG515:AG578" ca="1" si="318">IF($U515&gt;0,W515-($B$20/$B$18*$U515), W515)</f>
        <v>1.7697886122558049</v>
      </c>
      <c r="AI515" s="2">
        <f t="shared" ref="AI515:AI578" ca="1" si="319">Y515</f>
        <v>-9.9703810287331668E-6</v>
      </c>
      <c r="AJ515" s="11">
        <f t="shared" ref="AJ515:AJ578" ca="1" si="320">Z515</f>
        <v>-8.7319387388272995E-6</v>
      </c>
      <c r="AK515" s="2">
        <f t="shared" ref="AK515:AK578" ca="1" si="321">IF($AJ515&gt;0,AA515-($B$25/$B$24*$AJ515),AA515)</f>
        <v>1.0445859523762115E-2</v>
      </c>
      <c r="AL515" s="2">
        <f t="shared" ref="AL515:AL578" ca="1" si="322">IF($AJ515&gt;0,AB515-($B$26/$B$25*$AJ515),AB515)</f>
        <v>6.1305292970204983E-4</v>
      </c>
      <c r="AM515" s="2">
        <f t="shared" ref="AM515:AM578" ca="1" si="323">AC515</f>
        <v>-8.4008117851658533E-6</v>
      </c>
      <c r="AN515" s="2">
        <f t="shared" ref="AN515:AN578" ca="1" si="324">AD515</f>
        <v>0.20384895352112872</v>
      </c>
      <c r="AO515" s="2">
        <f t="shared" ref="AO515:AO578" ca="1" si="325">AE515</f>
        <v>-8.7319387388272995E-6</v>
      </c>
      <c r="AP515" s="2">
        <f t="shared" ref="AP515:AP578" ca="1" si="326">AF515</f>
        <v>0.14729390096401823</v>
      </c>
      <c r="AQ515" s="2">
        <f t="shared" ref="AQ515:AQ578" ca="1" si="327">AG515</f>
        <v>1.7697886122558049</v>
      </c>
      <c r="AS515" s="2">
        <f t="shared" ref="AS515:AS578" ca="1" si="328">IF(AND(T515&gt;0,W515&gt;0),W515/T515, #N/A)</f>
        <v>8.6818626325318284</v>
      </c>
      <c r="AT515" s="2">
        <f t="shared" ref="AT515:AT578" ca="1" si="329">$B$8*((AS515/$B$10)^$B$11)</f>
        <v>0.39996091872361006</v>
      </c>
      <c r="AU515" s="2">
        <f t="shared" ref="AU515:AU578" ca="1" si="330">AT515*R515</f>
        <v>2.4519721298983259E-4</v>
      </c>
      <c r="AV515" s="2">
        <f t="shared" ref="AV515:AV578" ca="1" si="331">V515-AU515</f>
        <v>0.14704870375102841</v>
      </c>
      <c r="AW515" s="2">
        <f t="shared" ref="AW515:AW578" ca="1" si="332">(AV515/T515)/((AS515/$B$10)^$B$12)</f>
        <v>0.7084153591793062</v>
      </c>
      <c r="AX515" s="2">
        <f t="shared" ref="AX515:AX578" ca="1" si="333">(Q515/T515)/((AS515/$B$10)^$B$13)</f>
        <v>5.3163805426554363E-2</v>
      </c>
      <c r="AY515" s="9">
        <f t="shared" ref="AY515:AY578" ca="1" si="334">IF(AND(AW515&lt;$M$3,AW515&gt;$M$4),AW515,"rejected")</f>
        <v>0.7084153591793062</v>
      </c>
      <c r="AZ515" s="9">
        <f t="shared" ref="AZ515:AZ578" ca="1" si="335">IF(AND(AW515&lt;$M$3,AW515&gt;$M$4),AW515,#N/A)</f>
        <v>0.7084153591793062</v>
      </c>
      <c r="BB515" s="2">
        <f t="shared" ref="BB515:BB578" ca="1" si="336">IF(AND(AQ515&gt;0, AN515&gt;0),AQ515/AN515, #N/A)</f>
        <v>8.6818626325318284</v>
      </c>
      <c r="BC515" s="2">
        <f t="shared" ref="BC515:BC578" ca="1" si="337">$B$8*((BB515/$B$10)^$B$11)</f>
        <v>0.39996091872361006</v>
      </c>
      <c r="BD515" s="2">
        <f t="shared" ref="BD515:BD578" ca="1" si="338">BC515*AL515</f>
        <v>2.4519721298983259E-4</v>
      </c>
      <c r="BE515" s="2">
        <f t="shared" ref="BE515:BE578" ca="1" si="339">AP515-BD515</f>
        <v>0.14704870375102841</v>
      </c>
      <c r="BF515" s="2">
        <f t="shared" ref="BF515:BF578" ca="1" si="340">(BE515/AN515)/((BB515/$B$10)^$B$12)</f>
        <v>0.7084153591793062</v>
      </c>
      <c r="BG515" s="2">
        <f t="shared" ref="BG515:BG578" ca="1" si="341">(AK515/AN515)/((BB515/$B$10)^$B$13)</f>
        <v>5.3163805426554363E-2</v>
      </c>
      <c r="BH515" s="2">
        <f t="shared" ref="BH515:BH578" ca="1" si="342">IF(AND(BF515&lt;$P$3,BF515&gt;$P$4),BF515,"rejected")</f>
        <v>0.7084153591793062</v>
      </c>
      <c r="BI515" s="2">
        <f t="shared" ref="BI515:BI578" ca="1" si="343">IF(AND(BF515&lt;$P$3,BF515&gt;$P$4),BF515,#N/A)</f>
        <v>0.7084153591793062</v>
      </c>
    </row>
    <row r="516" spans="1:61" ht="15" x14ac:dyDescent="0.25">
      <c r="A516" s="66">
        <v>450</v>
      </c>
      <c r="B516" s="66">
        <v>1498730356.573</v>
      </c>
      <c r="C516" s="67">
        <v>4.3228261064457799E-5</v>
      </c>
      <c r="D516" s="67">
        <v>1.25134258648633E-5</v>
      </c>
      <c r="E516" s="67">
        <v>1.13119420932477E-2</v>
      </c>
      <c r="F516" s="67">
        <v>4.7876453567100702E-4</v>
      </c>
      <c r="G516" s="67">
        <v>-3.61709113317817E-6</v>
      </c>
      <c r="H516" s="67">
        <v>0.20405154342152701</v>
      </c>
      <c r="I516" s="67">
        <v>1.25134258648633E-5</v>
      </c>
      <c r="J516" s="67">
        <v>0.14750163894135401</v>
      </c>
      <c r="K516" s="67">
        <v>1.77244424950516</v>
      </c>
      <c r="L516" s="67"/>
      <c r="M516" s="67"/>
      <c r="O516" s="11">
        <f t="shared" ca="1" si="301"/>
        <v>3.0424330354497771E-5</v>
      </c>
      <c r="P516" s="11">
        <f t="shared" ca="1" si="302"/>
        <v>1.174832563455856E-5</v>
      </c>
      <c r="Q516" s="11">
        <f t="shared" ca="1" si="303"/>
        <v>1.0475450480979415E-2</v>
      </c>
      <c r="R516" s="11">
        <f t="shared" ca="1" si="304"/>
        <v>4.6711804802465991E-4</v>
      </c>
      <c r="S516" s="11">
        <f t="shared" ca="1" si="305"/>
        <v>-1.4544743180148293E-5</v>
      </c>
      <c r="T516" s="11">
        <f t="shared" ca="1" si="306"/>
        <v>0.20291298838294472</v>
      </c>
      <c r="U516" s="11">
        <f t="shared" ca="1" si="307"/>
        <v>1.174832563455856E-5</v>
      </c>
      <c r="V516" s="11">
        <f t="shared" ca="1" si="308"/>
        <v>0.14685144293566024</v>
      </c>
      <c r="W516" s="11">
        <f t="shared" ca="1" si="309"/>
        <v>1.7653214012416549</v>
      </c>
      <c r="X516" s="11"/>
      <c r="Y516" s="2">
        <f t="shared" ca="1" si="310"/>
        <v>3.0424330354497771E-5</v>
      </c>
      <c r="Z516" s="11">
        <f t="shared" ca="1" si="311"/>
        <v>1.174832563455856E-5</v>
      </c>
      <c r="AA516" s="2">
        <f t="shared" ca="1" si="312"/>
        <v>1.0475360597496947E-2</v>
      </c>
      <c r="AB516" s="2">
        <f t="shared" ca="1" si="313"/>
        <v>4.6494245918765728E-4</v>
      </c>
      <c r="AC516" s="2">
        <f t="shared" ca="1" si="314"/>
        <v>-1.4544743180148293E-5</v>
      </c>
      <c r="AD516" s="2">
        <f t="shared" ca="1" si="315"/>
        <v>0.20289716684722398</v>
      </c>
      <c r="AE516" s="2">
        <f t="shared" ca="1" si="316"/>
        <v>1.174832563455856E-5</v>
      </c>
      <c r="AF516" s="2">
        <f t="shared" ca="1" si="317"/>
        <v>0.14682807833723469</v>
      </c>
      <c r="AG516" s="2">
        <f t="shared" ca="1" si="318"/>
        <v>1.7653119204311463</v>
      </c>
      <c r="AI516" s="2">
        <f t="shared" ca="1" si="319"/>
        <v>3.0424330354497771E-5</v>
      </c>
      <c r="AJ516" s="11">
        <f t="shared" ca="1" si="320"/>
        <v>1.174832563455856E-5</v>
      </c>
      <c r="AK516" s="2">
        <f t="shared" ca="1" si="321"/>
        <v>1.046149974699968E-2</v>
      </c>
      <c r="AL516" s="2">
        <f t="shared" ca="1" si="322"/>
        <v>4.5845500218240077E-4</v>
      </c>
      <c r="AM516" s="2">
        <f t="shared" ca="1" si="323"/>
        <v>-1.4544743180148293E-5</v>
      </c>
      <c r="AN516" s="2">
        <f t="shared" ca="1" si="324"/>
        <v>0.20289716684722398</v>
      </c>
      <c r="AO516" s="2">
        <f t="shared" ca="1" si="325"/>
        <v>1.174832563455856E-5</v>
      </c>
      <c r="AP516" s="2">
        <f t="shared" ca="1" si="326"/>
        <v>0.14682807833723469</v>
      </c>
      <c r="AQ516" s="2">
        <f t="shared" ca="1" si="327"/>
        <v>1.7653119204311463</v>
      </c>
      <c r="AS516" s="2">
        <f t="shared" ca="1" si="328"/>
        <v>8.699893561816145</v>
      </c>
      <c r="AT516" s="2">
        <f t="shared" ca="1" si="329"/>
        <v>0.40080166315716648</v>
      </c>
      <c r="AU516" s="2">
        <f t="shared" ca="1" si="330"/>
        <v>1.8722169053901285E-4</v>
      </c>
      <c r="AV516" s="2">
        <f t="shared" ca="1" si="331"/>
        <v>0.14666422124512124</v>
      </c>
      <c r="AW516" s="2">
        <f t="shared" ca="1" si="332"/>
        <v>0.7090809790481053</v>
      </c>
      <c r="AX516" s="2">
        <f t="shared" ca="1" si="333"/>
        <v>5.3674153636544715E-2</v>
      </c>
      <c r="AY516" s="9">
        <f t="shared" ca="1" si="334"/>
        <v>0.7090809790481053</v>
      </c>
      <c r="AZ516" s="9">
        <f t="shared" ca="1" si="335"/>
        <v>0.7090809790481053</v>
      </c>
      <c r="BB516" s="2">
        <f t="shared" ca="1" si="336"/>
        <v>8.700525235822429</v>
      </c>
      <c r="BC516" s="2">
        <f t="shared" ca="1" si="337"/>
        <v>0.4008311171752969</v>
      </c>
      <c r="BD516" s="2">
        <f t="shared" ca="1" si="338"/>
        <v>1.8376303069937488E-4</v>
      </c>
      <c r="BE516" s="2">
        <f t="shared" ca="1" si="339"/>
        <v>0.14664431530653532</v>
      </c>
      <c r="BF516" s="2">
        <f t="shared" ca="1" si="340"/>
        <v>0.70901410037850199</v>
      </c>
      <c r="BG516" s="2">
        <f t="shared" ca="1" si="341"/>
        <v>5.3610835384121605E-2</v>
      </c>
      <c r="BH516" s="2">
        <f t="shared" ca="1" si="342"/>
        <v>0.70901410037850199</v>
      </c>
      <c r="BI516" s="2">
        <f t="shared" ca="1" si="343"/>
        <v>0.70901410037850199</v>
      </c>
    </row>
    <row r="517" spans="1:61" ht="15" x14ac:dyDescent="0.25">
      <c r="A517" s="66">
        <v>451</v>
      </c>
      <c r="B517" s="66">
        <v>1498730357.0999999</v>
      </c>
      <c r="C517" s="67">
        <v>9.8744144079286007E-5</v>
      </c>
      <c r="D517" s="67">
        <v>2.8650222744137102E-5</v>
      </c>
      <c r="E517" s="67">
        <v>1.16841885261525E-2</v>
      </c>
      <c r="F517" s="67">
        <v>7.6327396390311105E-4</v>
      </c>
      <c r="G517" s="67">
        <v>-1.42797899609814E-5</v>
      </c>
      <c r="H517" s="67">
        <v>0.209848902948616</v>
      </c>
      <c r="I517" s="67">
        <v>2.8650222744137102E-5</v>
      </c>
      <c r="J517" s="67">
        <v>0.15155523953393901</v>
      </c>
      <c r="K517" s="67">
        <v>1.82126328957838</v>
      </c>
      <c r="L517" s="67"/>
      <c r="M517" s="67"/>
      <c r="O517" s="11">
        <f t="shared" ca="1" si="301"/>
        <v>8.5940213369325985E-5</v>
      </c>
      <c r="P517" s="11">
        <f t="shared" ca="1" si="302"/>
        <v>2.788512251383236E-5</v>
      </c>
      <c r="Q517" s="11">
        <f t="shared" ca="1" si="303"/>
        <v>1.0847696913884215E-2</v>
      </c>
      <c r="R517" s="11">
        <f t="shared" ca="1" si="304"/>
        <v>7.5162747625676389E-4</v>
      </c>
      <c r="S517" s="11">
        <f t="shared" ca="1" si="305"/>
        <v>-2.5207442007951522E-5</v>
      </c>
      <c r="T517" s="11">
        <f t="shared" ca="1" si="306"/>
        <v>0.20871034791003371</v>
      </c>
      <c r="U517" s="11">
        <f t="shared" ca="1" si="307"/>
        <v>2.788512251383236E-5</v>
      </c>
      <c r="V517" s="11">
        <f t="shared" ca="1" si="308"/>
        <v>0.15090504352824524</v>
      </c>
      <c r="W517" s="11">
        <f t="shared" ca="1" si="309"/>
        <v>1.814140441314875</v>
      </c>
      <c r="X517" s="11"/>
      <c r="Y517" s="2">
        <f t="shared" ca="1" si="310"/>
        <v>8.5940213369325985E-5</v>
      </c>
      <c r="Z517" s="11">
        <f t="shared" ca="1" si="311"/>
        <v>2.788512251383236E-5</v>
      </c>
      <c r="AA517" s="2">
        <f t="shared" ca="1" si="312"/>
        <v>1.0847483571830331E-2</v>
      </c>
      <c r="AB517" s="2">
        <f t="shared" ca="1" si="313"/>
        <v>7.4646362881614732E-4</v>
      </c>
      <c r="AC517" s="2">
        <f t="shared" ca="1" si="314"/>
        <v>-2.5207442007951522E-5</v>
      </c>
      <c r="AD517" s="2">
        <f t="shared" ca="1" si="315"/>
        <v>0.20867279485986698</v>
      </c>
      <c r="AE517" s="2">
        <f t="shared" ca="1" si="316"/>
        <v>2.788512251383236E-5</v>
      </c>
      <c r="AF517" s="2">
        <f t="shared" ca="1" si="317"/>
        <v>0.15084958671594284</v>
      </c>
      <c r="AG517" s="2">
        <f t="shared" ca="1" si="318"/>
        <v>1.8141179382305386</v>
      </c>
      <c r="AI517" s="2">
        <f t="shared" ca="1" si="319"/>
        <v>8.5940213369325985E-5</v>
      </c>
      <c r="AJ517" s="11">
        <f t="shared" ca="1" si="320"/>
        <v>2.788512251383236E-5</v>
      </c>
      <c r="AK517" s="2">
        <f t="shared" ca="1" si="321"/>
        <v>1.0814584286750485E-2</v>
      </c>
      <c r="AL517" s="2">
        <f t="shared" ca="1" si="322"/>
        <v>7.3106538918422427E-4</v>
      </c>
      <c r="AM517" s="2">
        <f t="shared" ca="1" si="323"/>
        <v>-2.5207442007951522E-5</v>
      </c>
      <c r="AN517" s="2">
        <f t="shared" ca="1" si="324"/>
        <v>0.20867279485986698</v>
      </c>
      <c r="AO517" s="2">
        <f t="shared" ca="1" si="325"/>
        <v>2.788512251383236E-5</v>
      </c>
      <c r="AP517" s="2">
        <f t="shared" ca="1" si="326"/>
        <v>0.15084958671594284</v>
      </c>
      <c r="AQ517" s="2">
        <f t="shared" ca="1" si="327"/>
        <v>1.8141179382305386</v>
      </c>
      <c r="AS517" s="2">
        <f t="shared" ca="1" si="328"/>
        <v>8.6921442059829008</v>
      </c>
      <c r="AT517" s="2">
        <f t="shared" ca="1" si="329"/>
        <v>0.40044032434771953</v>
      </c>
      <c r="AU517" s="2">
        <f t="shared" ca="1" si="330"/>
        <v>3.009819503809164E-4</v>
      </c>
      <c r="AV517" s="2">
        <f t="shared" ca="1" si="331"/>
        <v>0.15060406157786432</v>
      </c>
      <c r="AW517" s="2">
        <f t="shared" ca="1" si="332"/>
        <v>0.70822149419224156</v>
      </c>
      <c r="AX517" s="2">
        <f t="shared" ca="1" si="333"/>
        <v>5.3988329440019092E-2</v>
      </c>
      <c r="AY517" s="9">
        <f t="shared" ca="1" si="334"/>
        <v>0.70822149419224156</v>
      </c>
      <c r="AZ517" s="9">
        <f t="shared" ca="1" si="335"/>
        <v>0.70822149419224156</v>
      </c>
      <c r="BB517" s="2">
        <f t="shared" ca="1" si="336"/>
        <v>8.6936006174106168</v>
      </c>
      <c r="BC517" s="2">
        <f t="shared" ca="1" si="337"/>
        <v>0.40050823394858975</v>
      </c>
      <c r="BD517" s="2">
        <f t="shared" ca="1" si="338"/>
        <v>2.9279770792311213E-4</v>
      </c>
      <c r="BE517" s="2">
        <f t="shared" ca="1" si="339"/>
        <v>0.15055678900801972</v>
      </c>
      <c r="BF517" s="2">
        <f t="shared" ca="1" si="340"/>
        <v>0.70806686175138145</v>
      </c>
      <c r="BG517" s="2">
        <f t="shared" ca="1" si="341"/>
        <v>5.3842445819152741E-2</v>
      </c>
      <c r="BH517" s="2">
        <f t="shared" ca="1" si="342"/>
        <v>0.70806686175138145</v>
      </c>
      <c r="BI517" s="2">
        <f t="shared" ca="1" si="343"/>
        <v>0.70806686175138145</v>
      </c>
    </row>
    <row r="518" spans="1:61" ht="15" x14ac:dyDescent="0.25">
      <c r="A518" s="66">
        <v>452</v>
      </c>
      <c r="B518" s="66">
        <v>1498730357.6270001</v>
      </c>
      <c r="C518" s="67">
        <v>-7.0976759662213199E-7</v>
      </c>
      <c r="D518" s="67">
        <v>-2.2090323716633601E-5</v>
      </c>
      <c r="E518" s="67">
        <v>1.2243417320016201E-2</v>
      </c>
      <c r="F518" s="67">
        <v>6.3065153712758197E-4</v>
      </c>
      <c r="G518" s="67">
        <v>-7.8069863150357206E-6</v>
      </c>
      <c r="H518" s="67">
        <v>0.22475912159679901</v>
      </c>
      <c r="I518" s="67">
        <v>-2.2090323716633601E-5</v>
      </c>
      <c r="J518" s="67">
        <v>0.162292733708333</v>
      </c>
      <c r="K518" s="67">
        <v>1.94689497306229</v>
      </c>
      <c r="L518" s="67"/>
      <c r="M518" s="67"/>
      <c r="O518" s="11">
        <f t="shared" ca="1" si="301"/>
        <v>-1.3513698306582159E-5</v>
      </c>
      <c r="P518" s="11">
        <f t="shared" ca="1" si="302"/>
        <v>-2.2855423946938343E-5</v>
      </c>
      <c r="Q518" s="11">
        <f t="shared" ca="1" si="303"/>
        <v>1.1406925707747916E-2</v>
      </c>
      <c r="R518" s="11">
        <f t="shared" ca="1" si="304"/>
        <v>6.1900504948123481E-4</v>
      </c>
      <c r="S518" s="11">
        <f t="shared" ca="1" si="305"/>
        <v>-1.8734638362005841E-5</v>
      </c>
      <c r="T518" s="11">
        <f t="shared" ca="1" si="306"/>
        <v>0.22362056655821672</v>
      </c>
      <c r="U518" s="11">
        <f t="shared" ca="1" si="307"/>
        <v>-2.2855423946938343E-5</v>
      </c>
      <c r="V518" s="11">
        <f t="shared" ca="1" si="308"/>
        <v>0.16164253770263923</v>
      </c>
      <c r="W518" s="11">
        <f t="shared" ca="1" si="309"/>
        <v>1.9397721247987849</v>
      </c>
      <c r="X518" s="11"/>
      <c r="Y518" s="2">
        <f t="shared" ca="1" si="310"/>
        <v>-1.3513698306582159E-5</v>
      </c>
      <c r="Z518" s="11">
        <f t="shared" ca="1" si="311"/>
        <v>-2.2855423946938343E-5</v>
      </c>
      <c r="AA518" s="2">
        <f t="shared" ca="1" si="312"/>
        <v>1.1406925707747916E-2</v>
      </c>
      <c r="AB518" s="2">
        <f t="shared" ca="1" si="313"/>
        <v>6.1900504948123481E-4</v>
      </c>
      <c r="AC518" s="2">
        <f t="shared" ca="1" si="314"/>
        <v>-1.8734638362005841E-5</v>
      </c>
      <c r="AD518" s="2">
        <f t="shared" ca="1" si="315"/>
        <v>0.22362056655821672</v>
      </c>
      <c r="AE518" s="2">
        <f t="shared" ca="1" si="316"/>
        <v>-2.2855423946938343E-5</v>
      </c>
      <c r="AF518" s="2">
        <f t="shared" ca="1" si="317"/>
        <v>0.16164253770263923</v>
      </c>
      <c r="AG518" s="2">
        <f t="shared" ca="1" si="318"/>
        <v>1.9397721247987849</v>
      </c>
      <c r="AI518" s="2">
        <f t="shared" ca="1" si="319"/>
        <v>-1.3513698306582159E-5</v>
      </c>
      <c r="AJ518" s="11">
        <f t="shared" ca="1" si="320"/>
        <v>-2.2855423946938343E-5</v>
      </c>
      <c r="AK518" s="2">
        <f t="shared" ca="1" si="321"/>
        <v>1.1406925707747916E-2</v>
      </c>
      <c r="AL518" s="2">
        <f t="shared" ca="1" si="322"/>
        <v>6.1900504948123481E-4</v>
      </c>
      <c r="AM518" s="2">
        <f t="shared" ca="1" si="323"/>
        <v>-1.8734638362005841E-5</v>
      </c>
      <c r="AN518" s="2">
        <f t="shared" ca="1" si="324"/>
        <v>0.22362056655821672</v>
      </c>
      <c r="AO518" s="2">
        <f t="shared" ca="1" si="325"/>
        <v>-2.2855423946938343E-5</v>
      </c>
      <c r="AP518" s="2">
        <f t="shared" ca="1" si="326"/>
        <v>0.16164253770263923</v>
      </c>
      <c r="AQ518" s="2">
        <f t="shared" ca="1" si="327"/>
        <v>1.9397721247987849</v>
      </c>
      <c r="AS518" s="2">
        <f t="shared" ca="1" si="328"/>
        <v>8.6743905297001849</v>
      </c>
      <c r="AT518" s="2">
        <f t="shared" ca="1" si="329"/>
        <v>0.39961251643670126</v>
      </c>
      <c r="AU518" s="2">
        <f t="shared" ca="1" si="330"/>
        <v>2.4736216551022103E-4</v>
      </c>
      <c r="AV518" s="2">
        <f t="shared" ca="1" si="331"/>
        <v>0.16139517553712901</v>
      </c>
      <c r="AW518" s="2">
        <f t="shared" ca="1" si="332"/>
        <v>0.70909165245452577</v>
      </c>
      <c r="AX518" s="2">
        <f t="shared" ca="1" si="333"/>
        <v>5.2875513856030051E-2</v>
      </c>
      <c r="AY518" s="9">
        <f t="shared" ca="1" si="334"/>
        <v>0.70909165245452577</v>
      </c>
      <c r="AZ518" s="9">
        <f t="shared" ca="1" si="335"/>
        <v>0.70909165245452577</v>
      </c>
      <c r="BB518" s="2">
        <f t="shared" ca="1" si="336"/>
        <v>8.6743905297001849</v>
      </c>
      <c r="BC518" s="2">
        <f t="shared" ca="1" si="337"/>
        <v>0.39961251643670126</v>
      </c>
      <c r="BD518" s="2">
        <f t="shared" ca="1" si="338"/>
        <v>2.4736216551022103E-4</v>
      </c>
      <c r="BE518" s="2">
        <f t="shared" ca="1" si="339"/>
        <v>0.16139517553712901</v>
      </c>
      <c r="BF518" s="2">
        <f t="shared" ca="1" si="340"/>
        <v>0.70909165245452577</v>
      </c>
      <c r="BG518" s="2">
        <f t="shared" ca="1" si="341"/>
        <v>5.2875513856030051E-2</v>
      </c>
      <c r="BH518" s="2">
        <f t="shared" ca="1" si="342"/>
        <v>0.70909165245452577</v>
      </c>
      <c r="BI518" s="2">
        <f t="shared" ca="1" si="343"/>
        <v>0.70909165245452577</v>
      </c>
    </row>
    <row r="519" spans="1:61" ht="15" x14ac:dyDescent="0.25">
      <c r="A519" s="66">
        <v>453</v>
      </c>
      <c r="B519" s="66">
        <v>1498730358.1530001</v>
      </c>
      <c r="C519" s="67">
        <v>6.6131020585444701E-6</v>
      </c>
      <c r="D519" s="67">
        <v>1.12710519648989E-6</v>
      </c>
      <c r="E519" s="67">
        <v>1.3102723701088399E-2</v>
      </c>
      <c r="F519" s="67">
        <v>8.3066337891468602E-4</v>
      </c>
      <c r="G519" s="67">
        <v>1.21243182626665E-4</v>
      </c>
      <c r="H519" s="67">
        <v>0.23974486136641601</v>
      </c>
      <c r="I519" s="67">
        <v>1.12710519648989E-6</v>
      </c>
      <c r="J519" s="67">
        <v>0.17338573736395199</v>
      </c>
      <c r="K519" s="67">
        <v>2.08169534361513</v>
      </c>
      <c r="L519" s="67"/>
      <c r="M519" s="67"/>
      <c r="O519" s="11">
        <f t="shared" ca="1" si="301"/>
        <v>-6.1908286514155577E-6</v>
      </c>
      <c r="P519" s="11">
        <f t="shared" ca="1" si="302"/>
        <v>3.6200496618514954E-7</v>
      </c>
      <c r="Q519" s="11">
        <f t="shared" ca="1" si="303"/>
        <v>1.2266232088820115E-2</v>
      </c>
      <c r="R519" s="11">
        <f t="shared" ca="1" si="304"/>
        <v>8.1901689126833886E-4</v>
      </c>
      <c r="S519" s="11">
        <f t="shared" ca="1" si="305"/>
        <v>1.1031553057969487E-4</v>
      </c>
      <c r="T519" s="11">
        <f t="shared" ca="1" si="306"/>
        <v>0.23860630632783372</v>
      </c>
      <c r="U519" s="11">
        <f t="shared" ca="1" si="307"/>
        <v>3.6200496618514954E-7</v>
      </c>
      <c r="V519" s="11">
        <f t="shared" ca="1" si="308"/>
        <v>0.17273554135825822</v>
      </c>
      <c r="W519" s="11">
        <f t="shared" ca="1" si="309"/>
        <v>2.0745724953516249</v>
      </c>
      <c r="X519" s="11"/>
      <c r="Y519" s="2">
        <f t="shared" ca="1" si="310"/>
        <v>-6.1908286514155577E-6</v>
      </c>
      <c r="Z519" s="11">
        <f t="shared" ca="1" si="311"/>
        <v>3.6200496618514954E-7</v>
      </c>
      <c r="AA519" s="2">
        <f t="shared" ca="1" si="312"/>
        <v>1.2266229319211232E-2</v>
      </c>
      <c r="AB519" s="2">
        <f t="shared" ca="1" si="313"/>
        <v>8.1894985414425242E-4</v>
      </c>
      <c r="AC519" s="2">
        <f t="shared" ca="1" si="314"/>
        <v>1.1031553057969487E-4</v>
      </c>
      <c r="AD519" s="2">
        <f t="shared" ca="1" si="315"/>
        <v>0.23860581881372475</v>
      </c>
      <c r="AE519" s="2">
        <f t="shared" ca="1" si="316"/>
        <v>3.6200496618514954E-7</v>
      </c>
      <c r="AF519" s="2">
        <f t="shared" ca="1" si="317"/>
        <v>0.17273482141731292</v>
      </c>
      <c r="AG519" s="2">
        <f t="shared" ca="1" si="318"/>
        <v>2.0745722032163374</v>
      </c>
      <c r="AI519" s="2">
        <f t="shared" ca="1" si="319"/>
        <v>-6.1908286514155577E-6</v>
      </c>
      <c r="AJ519" s="11">
        <f t="shared" ca="1" si="320"/>
        <v>3.6200496618514954E-7</v>
      </c>
      <c r="AK519" s="2">
        <f t="shared" ca="1" si="321"/>
        <v>1.2265802220331643E-2</v>
      </c>
      <c r="AL519" s="2">
        <f t="shared" ca="1" si="322"/>
        <v>8.1874995402853664E-4</v>
      </c>
      <c r="AM519" s="2">
        <f t="shared" ca="1" si="323"/>
        <v>1.1031553057969487E-4</v>
      </c>
      <c r="AN519" s="2">
        <f t="shared" ca="1" si="324"/>
        <v>0.23860581881372475</v>
      </c>
      <c r="AO519" s="2">
        <f t="shared" ca="1" si="325"/>
        <v>3.6200496618514954E-7</v>
      </c>
      <c r="AP519" s="2">
        <f t="shared" ca="1" si="326"/>
        <v>0.17273482141731292</v>
      </c>
      <c r="AQ519" s="2">
        <f t="shared" ca="1" si="327"/>
        <v>2.0745722032163374</v>
      </c>
      <c r="AS519" s="2">
        <f t="shared" ca="1" si="328"/>
        <v>8.694541763289612</v>
      </c>
      <c r="AT519" s="2">
        <f t="shared" ca="1" si="329"/>
        <v>0.40055211780357797</v>
      </c>
      <c r="AU519" s="2">
        <f t="shared" ca="1" si="330"/>
        <v>3.2805895031443586E-4</v>
      </c>
      <c r="AV519" s="2">
        <f t="shared" ca="1" si="331"/>
        <v>0.17240748240794379</v>
      </c>
      <c r="AW519" s="2">
        <f t="shared" ca="1" si="332"/>
        <v>0.70907190056002622</v>
      </c>
      <c r="AX519" s="2">
        <f t="shared" ca="1" si="333"/>
        <v>5.3414374703145168E-2</v>
      </c>
      <c r="AY519" s="9">
        <f t="shared" ca="1" si="334"/>
        <v>0.70907190056002622</v>
      </c>
      <c r="AZ519" s="9">
        <f t="shared" ca="1" si="335"/>
        <v>0.70907190056002622</v>
      </c>
      <c r="BB519" s="2">
        <f t="shared" ca="1" si="336"/>
        <v>8.6945583034415375</v>
      </c>
      <c r="BC519" s="2">
        <f t="shared" ca="1" si="337"/>
        <v>0.40055288904014152</v>
      </c>
      <c r="BD519" s="2">
        <f t="shared" ca="1" si="338"/>
        <v>3.279526594876134E-4</v>
      </c>
      <c r="BE519" s="2">
        <f t="shared" ca="1" si="339"/>
        <v>0.17240686875782529</v>
      </c>
      <c r="BF519" s="2">
        <f t="shared" ca="1" si="340"/>
        <v>0.7090701462143465</v>
      </c>
      <c r="BG519" s="2">
        <f t="shared" ca="1" si="341"/>
        <v>5.3412715907176923E-2</v>
      </c>
      <c r="BH519" s="2">
        <f t="shared" ca="1" si="342"/>
        <v>0.7090701462143465</v>
      </c>
      <c r="BI519" s="2">
        <f t="shared" ca="1" si="343"/>
        <v>0.7090701462143465</v>
      </c>
    </row>
    <row r="520" spans="1:61" ht="15" x14ac:dyDescent="0.25">
      <c r="A520" s="66">
        <v>454</v>
      </c>
      <c r="B520" s="66">
        <v>1498730358.681</v>
      </c>
      <c r="C520" s="67">
        <v>1.9841648762444799E-5</v>
      </c>
      <c r="D520" s="67">
        <v>6.4240783771694296E-5</v>
      </c>
      <c r="E520" s="67">
        <v>1.20967794214845E-2</v>
      </c>
      <c r="F520" s="67">
        <v>5.9422511970854601E-4</v>
      </c>
      <c r="G520" s="67">
        <v>-7.8608187136776998E-5</v>
      </c>
      <c r="H520" s="67">
        <v>0.22133504504767099</v>
      </c>
      <c r="I520" s="67">
        <v>6.4240783771694296E-5</v>
      </c>
      <c r="J520" s="67">
        <v>0.160238404074417</v>
      </c>
      <c r="K520" s="67">
        <v>1.9263956866276299</v>
      </c>
      <c r="L520" s="67"/>
      <c r="M520" s="67"/>
      <c r="O520" s="11">
        <f t="shared" ca="1" si="301"/>
        <v>7.0377180524847716E-6</v>
      </c>
      <c r="P520" s="11">
        <f t="shared" ca="1" si="302"/>
        <v>6.3475683541389558E-5</v>
      </c>
      <c r="Q520" s="11">
        <f t="shared" ca="1" si="303"/>
        <v>1.1260287809216216E-2</v>
      </c>
      <c r="R520" s="11">
        <f t="shared" ca="1" si="304"/>
        <v>5.8257863206219885E-4</v>
      </c>
      <c r="S520" s="11">
        <f t="shared" ca="1" si="305"/>
        <v>-8.9535839183747126E-5</v>
      </c>
      <c r="T520" s="11">
        <f t="shared" ca="1" si="306"/>
        <v>0.2201964900090887</v>
      </c>
      <c r="U520" s="11">
        <f t="shared" ca="1" si="307"/>
        <v>6.3475683541389558E-5</v>
      </c>
      <c r="V520" s="11">
        <f t="shared" ca="1" si="308"/>
        <v>0.15958820806872323</v>
      </c>
      <c r="W520" s="11">
        <f t="shared" ca="1" si="309"/>
        <v>1.9192728383641249</v>
      </c>
      <c r="X520" s="11"/>
      <c r="Y520" s="2">
        <f t="shared" ca="1" si="310"/>
        <v>7.0377180524847716E-6</v>
      </c>
      <c r="Z520" s="11">
        <f t="shared" ca="1" si="311"/>
        <v>6.3475683541389558E-5</v>
      </c>
      <c r="AA520" s="2">
        <f t="shared" ca="1" si="312"/>
        <v>1.1259802172737777E-2</v>
      </c>
      <c r="AB520" s="2">
        <f t="shared" ca="1" si="313"/>
        <v>5.7082402184544271E-4</v>
      </c>
      <c r="AC520" s="2">
        <f t="shared" ca="1" si="314"/>
        <v>-8.9535839183747126E-5</v>
      </c>
      <c r="AD520" s="2">
        <f t="shared" ca="1" si="315"/>
        <v>0.22011100695169078</v>
      </c>
      <c r="AE520" s="2">
        <f t="shared" ca="1" si="316"/>
        <v>6.3475683541389558E-5</v>
      </c>
      <c r="AF520" s="2">
        <f t="shared" ca="1" si="317"/>
        <v>0.1594619701773109</v>
      </c>
      <c r="AG520" s="2">
        <f t="shared" ca="1" si="318"/>
        <v>1.9192216139644713</v>
      </c>
      <c r="AI520" s="2">
        <f t="shared" ca="1" si="319"/>
        <v>7.0377180524847716E-6</v>
      </c>
      <c r="AJ520" s="11">
        <f t="shared" ca="1" si="320"/>
        <v>6.3475683541389558E-5</v>
      </c>
      <c r="AK520" s="2">
        <f t="shared" ca="1" si="321"/>
        <v>1.1184912610842168E-2</v>
      </c>
      <c r="AL520" s="2">
        <f t="shared" ca="1" si="322"/>
        <v>5.357725787153081E-4</v>
      </c>
      <c r="AM520" s="2">
        <f t="shared" ca="1" si="323"/>
        <v>-8.9535839183747126E-5</v>
      </c>
      <c r="AN520" s="2">
        <f t="shared" ca="1" si="324"/>
        <v>0.22011100695169078</v>
      </c>
      <c r="AO520" s="2">
        <f t="shared" ca="1" si="325"/>
        <v>6.3475683541389558E-5</v>
      </c>
      <c r="AP520" s="2">
        <f t="shared" ca="1" si="326"/>
        <v>0.1594619701773109</v>
      </c>
      <c r="AQ520" s="2">
        <f t="shared" ca="1" si="327"/>
        <v>1.9192216139644713</v>
      </c>
      <c r="AS520" s="2">
        <f t="shared" ca="1" si="328"/>
        <v>8.716182707021833</v>
      </c>
      <c r="AT520" s="2">
        <f t="shared" ca="1" si="329"/>
        <v>0.40156121002240347</v>
      </c>
      <c r="AU520" s="2">
        <f t="shared" ca="1" si="330"/>
        <v>2.3394098042409315E-4</v>
      </c>
      <c r="AV520" s="2">
        <f t="shared" ca="1" si="331"/>
        <v>0.15935426708829914</v>
      </c>
      <c r="AW520" s="2">
        <f t="shared" ca="1" si="332"/>
        <v>0.70929303496318052</v>
      </c>
      <c r="AX520" s="2">
        <f t="shared" ca="1" si="333"/>
        <v>5.3268775927545961E-2</v>
      </c>
      <c r="AY520" s="9">
        <f t="shared" ca="1" si="334"/>
        <v>0.70929303496318052</v>
      </c>
      <c r="AZ520" s="9">
        <f t="shared" ca="1" si="335"/>
        <v>0.70929303496318052</v>
      </c>
      <c r="BB520" s="2">
        <f t="shared" ca="1" si="336"/>
        <v>8.7193350325533494</v>
      </c>
      <c r="BC520" s="2">
        <f t="shared" ca="1" si="337"/>
        <v>0.4017082018595608</v>
      </c>
      <c r="BD520" s="2">
        <f t="shared" ca="1" si="338"/>
        <v>2.1522423920138643E-4</v>
      </c>
      <c r="BE520" s="2">
        <f t="shared" ca="1" si="339"/>
        <v>0.1592467459381095</v>
      </c>
      <c r="BF520" s="2">
        <f t="shared" ca="1" si="340"/>
        <v>0.70896061870141724</v>
      </c>
      <c r="BG520" s="2">
        <f t="shared" ca="1" si="341"/>
        <v>5.2952338461064376E-2</v>
      </c>
      <c r="BH520" s="2">
        <f t="shared" ca="1" si="342"/>
        <v>0.70896061870141724</v>
      </c>
      <c r="BI520" s="2">
        <f t="shared" ca="1" si="343"/>
        <v>0.70896061870141724</v>
      </c>
    </row>
    <row r="521" spans="1:61" ht="15" x14ac:dyDescent="0.25">
      <c r="A521" s="66">
        <v>455</v>
      </c>
      <c r="B521" s="66">
        <v>1498730359.2079999</v>
      </c>
      <c r="C521" s="67">
        <v>3.9448569205214002E-5</v>
      </c>
      <c r="D521" s="67">
        <v>-5.32351822206161E-5</v>
      </c>
      <c r="E521" s="67">
        <v>1.0689505772068701E-2</v>
      </c>
      <c r="F521" s="67">
        <v>5.3208900257038804E-4</v>
      </c>
      <c r="G521" s="67">
        <v>9.1890823335683396E-6</v>
      </c>
      <c r="H521" s="67">
        <v>0.19378641906198099</v>
      </c>
      <c r="I521" s="67">
        <v>-5.32351822206161E-5</v>
      </c>
      <c r="J521" s="67">
        <v>0.14014140537105799</v>
      </c>
      <c r="K521" s="67">
        <v>1.68470689102612</v>
      </c>
      <c r="L521" s="67"/>
      <c r="M521" s="67"/>
      <c r="O521" s="11">
        <f t="shared" ca="1" si="301"/>
        <v>2.6644638495253974E-5</v>
      </c>
      <c r="P521" s="11">
        <f t="shared" ca="1" si="302"/>
        <v>-5.4000282450920838E-5</v>
      </c>
      <c r="Q521" s="11">
        <f t="shared" ca="1" si="303"/>
        <v>9.8530141598004162E-3</v>
      </c>
      <c r="R521" s="11">
        <f t="shared" ca="1" si="304"/>
        <v>5.2044251492404088E-4</v>
      </c>
      <c r="S521" s="11">
        <f t="shared" ca="1" si="305"/>
        <v>-1.7385697134017828E-6</v>
      </c>
      <c r="T521" s="11">
        <f t="shared" ca="1" si="306"/>
        <v>0.1926478640233987</v>
      </c>
      <c r="U521" s="11">
        <f t="shared" ca="1" si="307"/>
        <v>-5.4000282450920838E-5</v>
      </c>
      <c r="V521" s="11">
        <f t="shared" ca="1" si="308"/>
        <v>0.13949120936536422</v>
      </c>
      <c r="W521" s="11">
        <f t="shared" ca="1" si="309"/>
        <v>1.677584042762615</v>
      </c>
      <c r="X521" s="11"/>
      <c r="Y521" s="2">
        <f t="shared" ca="1" si="310"/>
        <v>2.6644638495253974E-5</v>
      </c>
      <c r="Z521" s="11">
        <f t="shared" ca="1" si="311"/>
        <v>-5.4000282450920838E-5</v>
      </c>
      <c r="AA521" s="2">
        <f t="shared" ca="1" si="312"/>
        <v>9.8530141598004162E-3</v>
      </c>
      <c r="AB521" s="2">
        <f t="shared" ca="1" si="313"/>
        <v>5.2044251492404088E-4</v>
      </c>
      <c r="AC521" s="2">
        <f t="shared" ca="1" si="314"/>
        <v>-1.7385697134017828E-6</v>
      </c>
      <c r="AD521" s="2">
        <f t="shared" ca="1" si="315"/>
        <v>0.1926478640233987</v>
      </c>
      <c r="AE521" s="2">
        <f t="shared" ca="1" si="316"/>
        <v>-5.4000282450920838E-5</v>
      </c>
      <c r="AF521" s="2">
        <f t="shared" ca="1" si="317"/>
        <v>0.13949120936536422</v>
      </c>
      <c r="AG521" s="2">
        <f t="shared" ca="1" si="318"/>
        <v>1.677584042762615</v>
      </c>
      <c r="AI521" s="2">
        <f t="shared" ca="1" si="319"/>
        <v>2.6644638495253974E-5</v>
      </c>
      <c r="AJ521" s="11">
        <f t="shared" ca="1" si="320"/>
        <v>-5.4000282450920838E-5</v>
      </c>
      <c r="AK521" s="2">
        <f t="shared" ca="1" si="321"/>
        <v>9.8530141598004162E-3</v>
      </c>
      <c r="AL521" s="2">
        <f t="shared" ca="1" si="322"/>
        <v>5.2044251492404088E-4</v>
      </c>
      <c r="AM521" s="2">
        <f t="shared" ca="1" si="323"/>
        <v>-1.7385697134017828E-6</v>
      </c>
      <c r="AN521" s="2">
        <f t="shared" ca="1" si="324"/>
        <v>0.1926478640233987</v>
      </c>
      <c r="AO521" s="2">
        <f t="shared" ca="1" si="325"/>
        <v>-5.4000282450920838E-5</v>
      </c>
      <c r="AP521" s="2">
        <f t="shared" ca="1" si="326"/>
        <v>0.13949120936536422</v>
      </c>
      <c r="AQ521" s="2">
        <f t="shared" ca="1" si="327"/>
        <v>1.677584042762615</v>
      </c>
      <c r="AS521" s="2">
        <f t="shared" ca="1" si="328"/>
        <v>8.708033443645439</v>
      </c>
      <c r="AT521" s="2">
        <f t="shared" ca="1" si="329"/>
        <v>0.4011812157095444</v>
      </c>
      <c r="AU521" s="2">
        <f t="shared" ca="1" si="330"/>
        <v>2.0879176084415943E-4</v>
      </c>
      <c r="AV521" s="2">
        <f t="shared" ca="1" si="331"/>
        <v>0.13928241760452006</v>
      </c>
      <c r="AW521" s="2">
        <f t="shared" ca="1" si="332"/>
        <v>0.70893932343305499</v>
      </c>
      <c r="AX521" s="2">
        <f t="shared" ca="1" si="333"/>
        <v>5.3225879278675219E-2</v>
      </c>
      <c r="AY521" s="9">
        <f t="shared" ca="1" si="334"/>
        <v>0.70893932343305499</v>
      </c>
      <c r="AZ521" s="9">
        <f t="shared" ca="1" si="335"/>
        <v>0.70893932343305499</v>
      </c>
      <c r="BB521" s="2">
        <f t="shared" ca="1" si="336"/>
        <v>8.708033443645439</v>
      </c>
      <c r="BC521" s="2">
        <f t="shared" ca="1" si="337"/>
        <v>0.4011812157095444</v>
      </c>
      <c r="BD521" s="2">
        <f t="shared" ca="1" si="338"/>
        <v>2.0879176084415943E-4</v>
      </c>
      <c r="BE521" s="2">
        <f t="shared" ca="1" si="339"/>
        <v>0.13928241760452006</v>
      </c>
      <c r="BF521" s="2">
        <f t="shared" ca="1" si="340"/>
        <v>0.70893932343305499</v>
      </c>
      <c r="BG521" s="2">
        <f t="shared" ca="1" si="341"/>
        <v>5.3225879278675219E-2</v>
      </c>
      <c r="BH521" s="2">
        <f t="shared" ca="1" si="342"/>
        <v>0.70893932343305499</v>
      </c>
      <c r="BI521" s="2">
        <f t="shared" ca="1" si="343"/>
        <v>0.70893932343305499</v>
      </c>
    </row>
    <row r="522" spans="1:61" ht="15" x14ac:dyDescent="0.25">
      <c r="A522" s="66">
        <v>456</v>
      </c>
      <c r="B522" s="66">
        <v>1498730359.734</v>
      </c>
      <c r="C522" s="67">
        <v>1.5095553216983601E-4</v>
      </c>
      <c r="D522" s="67">
        <v>1.534839773559E-5</v>
      </c>
      <c r="E522" s="67">
        <v>1.08982284807475E-2</v>
      </c>
      <c r="F522" s="67">
        <v>6.1779500283530998E-4</v>
      </c>
      <c r="G522" s="67">
        <v>1.9544254262263299E-4</v>
      </c>
      <c r="H522" s="67">
        <v>0.19786040289513501</v>
      </c>
      <c r="I522" s="67">
        <v>1.534839773559E-5</v>
      </c>
      <c r="J522" s="67">
        <v>0.14296073523328301</v>
      </c>
      <c r="K522" s="67">
        <v>1.71634564451696</v>
      </c>
      <c r="L522" s="67"/>
      <c r="M522" s="67"/>
      <c r="O522" s="11">
        <f t="shared" ca="1" si="301"/>
        <v>1.3815160145987598E-4</v>
      </c>
      <c r="P522" s="11">
        <f t="shared" ca="1" si="302"/>
        <v>1.458329750528526E-5</v>
      </c>
      <c r="Q522" s="11">
        <f t="shared" ca="1" si="303"/>
        <v>1.0061736868479216E-2</v>
      </c>
      <c r="R522" s="11">
        <f t="shared" ca="1" si="304"/>
        <v>6.0614851518896282E-4</v>
      </c>
      <c r="S522" s="11">
        <f t="shared" ca="1" si="305"/>
        <v>1.8451489057566287E-4</v>
      </c>
      <c r="T522" s="11">
        <f t="shared" ca="1" si="306"/>
        <v>0.19672184785655272</v>
      </c>
      <c r="U522" s="11">
        <f t="shared" ca="1" si="307"/>
        <v>1.458329750528526E-5</v>
      </c>
      <c r="V522" s="11">
        <f t="shared" ca="1" si="308"/>
        <v>0.14231053922758924</v>
      </c>
      <c r="W522" s="11">
        <f t="shared" ca="1" si="309"/>
        <v>1.709222796253455</v>
      </c>
      <c r="X522" s="11"/>
      <c r="Y522" s="2">
        <f t="shared" ca="1" si="310"/>
        <v>1.3815160145987598E-4</v>
      </c>
      <c r="Z522" s="11">
        <f t="shared" ca="1" si="311"/>
        <v>1.458329750528526E-5</v>
      </c>
      <c r="AA522" s="2">
        <f t="shared" ca="1" si="312"/>
        <v>1.0061625295340505E-2</v>
      </c>
      <c r="AB522" s="2">
        <f t="shared" ca="1" si="313"/>
        <v>6.0344793808154431E-4</v>
      </c>
      <c r="AC522" s="2">
        <f t="shared" ca="1" si="314"/>
        <v>1.8451489057566287E-4</v>
      </c>
      <c r="AD522" s="2">
        <f t="shared" ca="1" si="315"/>
        <v>0.19670220844838657</v>
      </c>
      <c r="AE522" s="2">
        <f t="shared" ca="1" si="316"/>
        <v>1.458329750528526E-5</v>
      </c>
      <c r="AF522" s="2">
        <f t="shared" ca="1" si="317"/>
        <v>0.14228153655090744</v>
      </c>
      <c r="AG522" s="2">
        <f t="shared" ca="1" si="318"/>
        <v>1.709211027641949</v>
      </c>
      <c r="AI522" s="2">
        <f t="shared" ca="1" si="319"/>
        <v>1.3815160145987598E-4</v>
      </c>
      <c r="AJ522" s="11">
        <f t="shared" ca="1" si="320"/>
        <v>1.458329750528526E-5</v>
      </c>
      <c r="AK522" s="2">
        <f t="shared" ca="1" si="321"/>
        <v>1.0044419702580689E-2</v>
      </c>
      <c r="AL522" s="2">
        <f t="shared" ca="1" si="322"/>
        <v>5.953950019863697E-4</v>
      </c>
      <c r="AM522" s="2">
        <f t="shared" ca="1" si="323"/>
        <v>1.8451489057566287E-4</v>
      </c>
      <c r="AN522" s="2">
        <f t="shared" ca="1" si="324"/>
        <v>0.19670220844838657</v>
      </c>
      <c r="AO522" s="2">
        <f t="shared" ca="1" si="325"/>
        <v>1.458329750528526E-5</v>
      </c>
      <c r="AP522" s="2">
        <f t="shared" ca="1" si="326"/>
        <v>0.14228153655090744</v>
      </c>
      <c r="AQ522" s="2">
        <f t="shared" ca="1" si="327"/>
        <v>1.709211027641949</v>
      </c>
      <c r="AS522" s="2">
        <f t="shared" ca="1" si="328"/>
        <v>8.688525524118706</v>
      </c>
      <c r="AT522" s="2">
        <f t="shared" ca="1" si="329"/>
        <v>0.40027159292595738</v>
      </c>
      <c r="AU522" s="2">
        <f t="shared" ca="1" si="330"/>
        <v>2.4262403172439003E-4</v>
      </c>
      <c r="AV522" s="2">
        <f t="shared" ca="1" si="331"/>
        <v>0.14206791519586484</v>
      </c>
      <c r="AW522" s="2">
        <f t="shared" ca="1" si="332"/>
        <v>0.70894228993419617</v>
      </c>
      <c r="AX522" s="2">
        <f t="shared" ca="1" si="333"/>
        <v>5.3105761794389764E-2</v>
      </c>
      <c r="AY522" s="9">
        <f t="shared" ca="1" si="334"/>
        <v>0.70894228993419617</v>
      </c>
      <c r="AZ522" s="9">
        <f t="shared" ca="1" si="335"/>
        <v>0.70894228993419617</v>
      </c>
      <c r="BB522" s="2">
        <f t="shared" ca="1" si="336"/>
        <v>8.6893331860604679</v>
      </c>
      <c r="BC522" s="2">
        <f t="shared" ca="1" si="337"/>
        <v>0.40030925240681681</v>
      </c>
      <c r="BD522" s="2">
        <f t="shared" ca="1" si="338"/>
        <v>2.3834212813191887E-4</v>
      </c>
      <c r="BE522" s="2">
        <f t="shared" ca="1" si="339"/>
        <v>0.14204319442277552</v>
      </c>
      <c r="BF522" s="2">
        <f t="shared" ca="1" si="340"/>
        <v>0.70885651735951283</v>
      </c>
      <c r="BG522" s="2">
        <f t="shared" ca="1" si="341"/>
        <v>5.3024698232719526E-2</v>
      </c>
      <c r="BH522" s="2">
        <f t="shared" ca="1" si="342"/>
        <v>0.70885651735951283</v>
      </c>
      <c r="BI522" s="2">
        <f t="shared" ca="1" si="343"/>
        <v>0.70885651735951283</v>
      </c>
    </row>
    <row r="523" spans="1:61" ht="15" x14ac:dyDescent="0.25">
      <c r="A523" s="66">
        <v>457</v>
      </c>
      <c r="B523" s="66">
        <v>1498730360.2609999</v>
      </c>
      <c r="C523" s="67">
        <v>1.5589596658531999E-5</v>
      </c>
      <c r="D523" s="67">
        <v>-8.3683700470639701E-6</v>
      </c>
      <c r="E523" s="67">
        <v>1.1782386258411701E-2</v>
      </c>
      <c r="F523" s="67">
        <v>6.8326981849080499E-4</v>
      </c>
      <c r="G523" s="67">
        <v>6.5965825403660998E-5</v>
      </c>
      <c r="H523" s="67">
        <v>0.21474287968510999</v>
      </c>
      <c r="I523" s="67">
        <v>-8.3683700470639701E-6</v>
      </c>
      <c r="J523" s="67">
        <v>0.15497591361100499</v>
      </c>
      <c r="K523" s="67">
        <v>1.85994903982832</v>
      </c>
      <c r="L523" s="67"/>
      <c r="M523" s="67"/>
      <c r="O523" s="11">
        <f t="shared" ca="1" si="301"/>
        <v>2.7856659485719709E-6</v>
      </c>
      <c r="P523" s="11">
        <f t="shared" ca="1" si="302"/>
        <v>-9.1334702773687104E-6</v>
      </c>
      <c r="Q523" s="11">
        <f t="shared" ca="1" si="303"/>
        <v>1.0945894646143416E-2</v>
      </c>
      <c r="R523" s="11">
        <f t="shared" ca="1" si="304"/>
        <v>6.7162333084445783E-4</v>
      </c>
      <c r="S523" s="11">
        <f t="shared" ca="1" si="305"/>
        <v>5.5038173356690877E-5</v>
      </c>
      <c r="T523" s="11">
        <f t="shared" ca="1" si="306"/>
        <v>0.2136043246465277</v>
      </c>
      <c r="U523" s="11">
        <f t="shared" ca="1" si="307"/>
        <v>-9.1334702773687104E-6</v>
      </c>
      <c r="V523" s="11">
        <f t="shared" ca="1" si="308"/>
        <v>0.15432571760531122</v>
      </c>
      <c r="W523" s="11">
        <f t="shared" ca="1" si="309"/>
        <v>1.852826191564815</v>
      </c>
      <c r="X523" s="11"/>
      <c r="Y523" s="2">
        <f t="shared" ca="1" si="310"/>
        <v>2.7856659485719709E-6</v>
      </c>
      <c r="Z523" s="11">
        <f t="shared" ca="1" si="311"/>
        <v>-9.1334702773687104E-6</v>
      </c>
      <c r="AA523" s="2">
        <f t="shared" ca="1" si="312"/>
        <v>1.0945894646143416E-2</v>
      </c>
      <c r="AB523" s="2">
        <f t="shared" ca="1" si="313"/>
        <v>6.7162333084445783E-4</v>
      </c>
      <c r="AC523" s="2">
        <f t="shared" ca="1" si="314"/>
        <v>5.5038173356690877E-5</v>
      </c>
      <c r="AD523" s="2">
        <f t="shared" ca="1" si="315"/>
        <v>0.2136043246465277</v>
      </c>
      <c r="AE523" s="2">
        <f t="shared" ca="1" si="316"/>
        <v>-9.1334702773687104E-6</v>
      </c>
      <c r="AF523" s="2">
        <f t="shared" ca="1" si="317"/>
        <v>0.15432571760531122</v>
      </c>
      <c r="AG523" s="2">
        <f t="shared" ca="1" si="318"/>
        <v>1.852826191564815</v>
      </c>
      <c r="AI523" s="2">
        <f t="shared" ca="1" si="319"/>
        <v>2.7856659485719709E-6</v>
      </c>
      <c r="AJ523" s="11">
        <f t="shared" ca="1" si="320"/>
        <v>-9.1334702773687104E-6</v>
      </c>
      <c r="AK523" s="2">
        <f t="shared" ca="1" si="321"/>
        <v>1.0945894646143416E-2</v>
      </c>
      <c r="AL523" s="2">
        <f t="shared" ca="1" si="322"/>
        <v>6.7162333084445783E-4</v>
      </c>
      <c r="AM523" s="2">
        <f t="shared" ca="1" si="323"/>
        <v>5.5038173356690877E-5</v>
      </c>
      <c r="AN523" s="2">
        <f t="shared" ca="1" si="324"/>
        <v>0.2136043246465277</v>
      </c>
      <c r="AO523" s="2">
        <f t="shared" ca="1" si="325"/>
        <v>-9.1334702773687104E-6</v>
      </c>
      <c r="AP523" s="2">
        <f t="shared" ca="1" si="326"/>
        <v>0.15432571760531122</v>
      </c>
      <c r="AQ523" s="2">
        <f t="shared" ca="1" si="327"/>
        <v>1.852826191564815</v>
      </c>
      <c r="AS523" s="2">
        <f t="shared" ca="1" si="328"/>
        <v>8.6741043030419469</v>
      </c>
      <c r="AT523" s="2">
        <f t="shared" ca="1" si="329"/>
        <v>0.39959917059767658</v>
      </c>
      <c r="AU523" s="2">
        <f t="shared" ca="1" si="330"/>
        <v>2.6838012595949427E-4</v>
      </c>
      <c r="AV523" s="2">
        <f t="shared" ca="1" si="331"/>
        <v>0.15405733747935171</v>
      </c>
      <c r="AW523" s="2">
        <f t="shared" ca="1" si="332"/>
        <v>0.70860323568843497</v>
      </c>
      <c r="AX523" s="2">
        <f t="shared" ca="1" si="333"/>
        <v>5.3115868888490229E-2</v>
      </c>
      <c r="AY523" s="9">
        <f t="shared" ca="1" si="334"/>
        <v>0.70860323568843497</v>
      </c>
      <c r="AZ523" s="9">
        <f t="shared" ca="1" si="335"/>
        <v>0.70860323568843497</v>
      </c>
      <c r="BB523" s="2">
        <f t="shared" ca="1" si="336"/>
        <v>8.6741043030419469</v>
      </c>
      <c r="BC523" s="2">
        <f t="shared" ca="1" si="337"/>
        <v>0.39959917059767658</v>
      </c>
      <c r="BD523" s="2">
        <f t="shared" ca="1" si="338"/>
        <v>2.6838012595949427E-4</v>
      </c>
      <c r="BE523" s="2">
        <f t="shared" ca="1" si="339"/>
        <v>0.15405733747935171</v>
      </c>
      <c r="BF523" s="2">
        <f t="shared" ca="1" si="340"/>
        <v>0.70860323568843497</v>
      </c>
      <c r="BG523" s="2">
        <f t="shared" ca="1" si="341"/>
        <v>5.3115868888490229E-2</v>
      </c>
      <c r="BH523" s="2">
        <f t="shared" ca="1" si="342"/>
        <v>0.70860323568843497</v>
      </c>
      <c r="BI523" s="2">
        <f t="shared" ca="1" si="343"/>
        <v>0.70860323568843497</v>
      </c>
    </row>
    <row r="524" spans="1:61" ht="15" x14ac:dyDescent="0.25">
      <c r="A524" s="66">
        <v>458</v>
      </c>
      <c r="B524" s="66">
        <v>1498730360.7880001</v>
      </c>
      <c r="C524" s="67">
        <v>-6.0708018870820199E-5</v>
      </c>
      <c r="D524" s="67">
        <v>-7.3054889010771402E-6</v>
      </c>
      <c r="E524" s="67">
        <v>1.2771875377748701E-2</v>
      </c>
      <c r="F524" s="67">
        <v>6.5993648293300995E-4</v>
      </c>
      <c r="G524" s="67">
        <v>-1.7831969631268901E-4</v>
      </c>
      <c r="H524" s="67">
        <v>0.23550508576910101</v>
      </c>
      <c r="I524" s="67">
        <v>-7.3054889010771402E-6</v>
      </c>
      <c r="J524" s="67">
        <v>0.17014161732289901</v>
      </c>
      <c r="K524" s="67">
        <v>2.0432784740115602</v>
      </c>
      <c r="L524" s="67"/>
      <c r="M524" s="67"/>
      <c r="N524" s="16"/>
      <c r="O524" s="11">
        <f t="shared" ca="1" si="301"/>
        <v>-7.3511949580780226E-5</v>
      </c>
      <c r="P524" s="11">
        <f t="shared" ca="1" si="302"/>
        <v>-8.0705891313818813E-6</v>
      </c>
      <c r="Q524" s="11">
        <f t="shared" ca="1" si="303"/>
        <v>1.1935383765480416E-2</v>
      </c>
      <c r="R524" s="11">
        <f t="shared" ca="1" si="304"/>
        <v>6.4828999528666279E-4</v>
      </c>
      <c r="S524" s="11">
        <f t="shared" ca="1" si="305"/>
        <v>-1.8924734835965913E-4</v>
      </c>
      <c r="T524" s="11">
        <f t="shared" ca="1" si="306"/>
        <v>0.23436653073051872</v>
      </c>
      <c r="U524" s="11">
        <f t="shared" ca="1" si="307"/>
        <v>-8.0705891313818813E-6</v>
      </c>
      <c r="V524" s="11">
        <f t="shared" ca="1" si="308"/>
        <v>0.16949142131720524</v>
      </c>
      <c r="W524" s="11">
        <f t="shared" ca="1" si="309"/>
        <v>2.0361556257480551</v>
      </c>
      <c r="X524" s="11"/>
      <c r="Y524" s="2">
        <f t="shared" ca="1" si="310"/>
        <v>-7.3511949580780226E-5</v>
      </c>
      <c r="Z524" s="11">
        <f t="shared" ca="1" si="311"/>
        <v>-8.0705891313818813E-6</v>
      </c>
      <c r="AA524" s="2">
        <f t="shared" ca="1" si="312"/>
        <v>1.1935383765480416E-2</v>
      </c>
      <c r="AB524" s="2">
        <f t="shared" ca="1" si="313"/>
        <v>6.4828999528666279E-4</v>
      </c>
      <c r="AC524" s="2">
        <f t="shared" ca="1" si="314"/>
        <v>-1.8924734835965913E-4</v>
      </c>
      <c r="AD524" s="2">
        <f t="shared" ca="1" si="315"/>
        <v>0.23436653073051872</v>
      </c>
      <c r="AE524" s="2">
        <f t="shared" ca="1" si="316"/>
        <v>-8.0705891313818813E-6</v>
      </c>
      <c r="AF524" s="2">
        <f t="shared" ca="1" si="317"/>
        <v>0.16949142131720524</v>
      </c>
      <c r="AG524" s="2">
        <f t="shared" ca="1" si="318"/>
        <v>2.0361556257480551</v>
      </c>
      <c r="AI524" s="2">
        <f t="shared" ca="1" si="319"/>
        <v>-7.3511949580780226E-5</v>
      </c>
      <c r="AJ524" s="11">
        <f t="shared" ca="1" si="320"/>
        <v>-8.0705891313818813E-6</v>
      </c>
      <c r="AK524" s="2">
        <f t="shared" ca="1" si="321"/>
        <v>1.1935383765480416E-2</v>
      </c>
      <c r="AL524" s="2">
        <f t="shared" ca="1" si="322"/>
        <v>6.4828999528666279E-4</v>
      </c>
      <c r="AM524" s="2">
        <f t="shared" ca="1" si="323"/>
        <v>-1.8924734835965913E-4</v>
      </c>
      <c r="AN524" s="2">
        <f t="shared" ca="1" si="324"/>
        <v>0.23436653073051872</v>
      </c>
      <c r="AO524" s="2">
        <f t="shared" ca="1" si="325"/>
        <v>-8.0705891313818813E-6</v>
      </c>
      <c r="AP524" s="2">
        <f t="shared" ca="1" si="326"/>
        <v>0.16949142131720524</v>
      </c>
      <c r="AQ524" s="2">
        <f t="shared" ca="1" si="327"/>
        <v>2.0361556257480551</v>
      </c>
      <c r="AS524" s="2">
        <f t="shared" ca="1" si="328"/>
        <v>8.6879112789755997</v>
      </c>
      <c r="AT524" s="2">
        <f t="shared" ca="1" si="329"/>
        <v>0.4002429520688659</v>
      </c>
      <c r="AU524" s="2">
        <f t="shared" ca="1" si="330"/>
        <v>2.5947350151024509E-4</v>
      </c>
      <c r="AV524" s="2">
        <f t="shared" ca="1" si="331"/>
        <v>0.16923194781569501</v>
      </c>
      <c r="AW524" s="2">
        <f t="shared" ca="1" si="332"/>
        <v>0.70887505772086346</v>
      </c>
      <c r="AX524" s="2">
        <f t="shared" ca="1" si="333"/>
        <v>5.2872599255728493E-2</v>
      </c>
      <c r="AY524" s="9">
        <f t="shared" ca="1" si="334"/>
        <v>0.70887505772086346</v>
      </c>
      <c r="AZ524" s="9">
        <f t="shared" ca="1" si="335"/>
        <v>0.70887505772086346</v>
      </c>
      <c r="BA524" s="9"/>
      <c r="BB524" s="2">
        <f t="shared" ca="1" si="336"/>
        <v>8.6879112789755997</v>
      </c>
      <c r="BC524" s="2">
        <f t="shared" ca="1" si="337"/>
        <v>0.4002429520688659</v>
      </c>
      <c r="BD524" s="2">
        <f t="shared" ca="1" si="338"/>
        <v>2.5947350151024509E-4</v>
      </c>
      <c r="BE524" s="2">
        <f t="shared" ca="1" si="339"/>
        <v>0.16923194781569501</v>
      </c>
      <c r="BF524" s="2">
        <f t="shared" ca="1" si="340"/>
        <v>0.70887505772086346</v>
      </c>
      <c r="BG524" s="2">
        <f t="shared" ca="1" si="341"/>
        <v>5.2872599255728493E-2</v>
      </c>
      <c r="BH524" s="2">
        <f t="shared" ca="1" si="342"/>
        <v>0.70887505772086346</v>
      </c>
      <c r="BI524" s="2">
        <f t="shared" ca="1" si="343"/>
        <v>0.70887505772086346</v>
      </c>
    </row>
    <row r="525" spans="1:61" ht="15" x14ac:dyDescent="0.25">
      <c r="A525" s="66">
        <v>459</v>
      </c>
      <c r="B525" s="66">
        <v>1498730361.3150001</v>
      </c>
      <c r="C525" s="67">
        <v>-2.81109938995702E-5</v>
      </c>
      <c r="D525" s="67">
        <v>-5.8098469587739202E-5</v>
      </c>
      <c r="E525" s="67">
        <v>1.2130728176095401E-2</v>
      </c>
      <c r="F525" s="67">
        <v>6.0112937131403198E-4</v>
      </c>
      <c r="G525" s="67">
        <v>-2.69952705845491E-4</v>
      </c>
      <c r="H525" s="67">
        <v>0.223728675325916</v>
      </c>
      <c r="I525" s="67">
        <v>-5.8098469587739202E-5</v>
      </c>
      <c r="J525" s="67">
        <v>0.161865988079374</v>
      </c>
      <c r="K525" s="67">
        <v>1.94598627724535</v>
      </c>
      <c r="L525" s="67"/>
      <c r="M525" s="67"/>
      <c r="N525" s="16"/>
      <c r="O525" s="11">
        <f t="shared" ca="1" si="301"/>
        <v>-4.0914924609530224E-5</v>
      </c>
      <c r="P525" s="11">
        <f t="shared" ca="1" si="302"/>
        <v>-5.8863569818043941E-5</v>
      </c>
      <c r="Q525" s="11">
        <f t="shared" ca="1" si="303"/>
        <v>1.1294236563827116E-2</v>
      </c>
      <c r="R525" s="11">
        <f t="shared" ca="1" si="304"/>
        <v>5.8948288366768482E-4</v>
      </c>
      <c r="S525" s="11">
        <f t="shared" ca="1" si="305"/>
        <v>-2.8088035789246112E-4</v>
      </c>
      <c r="T525" s="11">
        <f t="shared" ca="1" si="306"/>
        <v>0.22259012028733371</v>
      </c>
      <c r="U525" s="11">
        <f t="shared" ca="1" si="307"/>
        <v>-5.8863569818043941E-5</v>
      </c>
      <c r="V525" s="11">
        <f t="shared" ca="1" si="308"/>
        <v>0.16121579207368023</v>
      </c>
      <c r="W525" s="11">
        <f t="shared" ca="1" si="309"/>
        <v>1.9388634289818449</v>
      </c>
      <c r="X525" s="11"/>
      <c r="Y525" s="2">
        <f t="shared" ca="1" si="310"/>
        <v>-4.0914924609530224E-5</v>
      </c>
      <c r="Z525" s="11">
        <f t="shared" ca="1" si="311"/>
        <v>-5.8863569818043941E-5</v>
      </c>
      <c r="AA525" s="2">
        <f t="shared" ca="1" si="312"/>
        <v>1.1294236563827116E-2</v>
      </c>
      <c r="AB525" s="2">
        <f t="shared" ca="1" si="313"/>
        <v>5.8948288366768482E-4</v>
      </c>
      <c r="AC525" s="2">
        <f t="shared" ca="1" si="314"/>
        <v>-2.8088035789246112E-4</v>
      </c>
      <c r="AD525" s="2">
        <f t="shared" ca="1" si="315"/>
        <v>0.22259012028733371</v>
      </c>
      <c r="AE525" s="2">
        <f t="shared" ca="1" si="316"/>
        <v>-5.8863569818043941E-5</v>
      </c>
      <c r="AF525" s="2">
        <f t="shared" ca="1" si="317"/>
        <v>0.16121579207368023</v>
      </c>
      <c r="AG525" s="2">
        <f t="shared" ca="1" si="318"/>
        <v>1.9388634289818449</v>
      </c>
      <c r="AI525" s="2">
        <f t="shared" ca="1" si="319"/>
        <v>-4.0914924609530224E-5</v>
      </c>
      <c r="AJ525" s="11">
        <f t="shared" ca="1" si="320"/>
        <v>-5.8863569818043941E-5</v>
      </c>
      <c r="AK525" s="2">
        <f t="shared" ca="1" si="321"/>
        <v>1.1294236563827116E-2</v>
      </c>
      <c r="AL525" s="2">
        <f t="shared" ca="1" si="322"/>
        <v>5.8948288366768482E-4</v>
      </c>
      <c r="AM525" s="2">
        <f t="shared" ca="1" si="323"/>
        <v>-2.8088035789246112E-4</v>
      </c>
      <c r="AN525" s="2">
        <f t="shared" ca="1" si="324"/>
        <v>0.22259012028733371</v>
      </c>
      <c r="AO525" s="2">
        <f t="shared" ca="1" si="325"/>
        <v>-5.8863569818043941E-5</v>
      </c>
      <c r="AP525" s="2">
        <f t="shared" ca="1" si="326"/>
        <v>0.16121579207368023</v>
      </c>
      <c r="AQ525" s="2">
        <f t="shared" ca="1" si="327"/>
        <v>1.9388634289818449</v>
      </c>
      <c r="AS525" s="2">
        <f t="shared" ca="1" si="328"/>
        <v>8.7104648961015645</v>
      </c>
      <c r="AT525" s="2">
        <f t="shared" ca="1" si="329"/>
        <v>0.40129459214432717</v>
      </c>
      <c r="AU525" s="2">
        <f t="shared" ca="1" si="330"/>
        <v>2.3655629337748544E-4</v>
      </c>
      <c r="AV525" s="2">
        <f t="shared" ca="1" si="331"/>
        <v>0.16097923578030274</v>
      </c>
      <c r="AW525" s="2">
        <f t="shared" ca="1" si="332"/>
        <v>0.70905493875805148</v>
      </c>
      <c r="AX525" s="2">
        <f t="shared" ca="1" si="333"/>
        <v>5.2819343293136353E-2</v>
      </c>
      <c r="AY525" s="9">
        <f t="shared" ca="1" si="334"/>
        <v>0.70905493875805148</v>
      </c>
      <c r="AZ525" s="9">
        <f t="shared" ca="1" si="335"/>
        <v>0.70905493875805148</v>
      </c>
      <c r="BA525" s="9"/>
      <c r="BB525" s="2">
        <f t="shared" ca="1" si="336"/>
        <v>8.7104648961015645</v>
      </c>
      <c r="BC525" s="2">
        <f t="shared" ca="1" si="337"/>
        <v>0.40129459214432717</v>
      </c>
      <c r="BD525" s="2">
        <f t="shared" ca="1" si="338"/>
        <v>2.3655629337748544E-4</v>
      </c>
      <c r="BE525" s="2">
        <f t="shared" ca="1" si="339"/>
        <v>0.16097923578030274</v>
      </c>
      <c r="BF525" s="2">
        <f t="shared" ca="1" si="340"/>
        <v>0.70905493875805148</v>
      </c>
      <c r="BG525" s="2">
        <f t="shared" ca="1" si="341"/>
        <v>5.2819343293136353E-2</v>
      </c>
      <c r="BH525" s="2">
        <f t="shared" ca="1" si="342"/>
        <v>0.70905493875805148</v>
      </c>
      <c r="BI525" s="2">
        <f t="shared" ca="1" si="343"/>
        <v>0.70905493875805148</v>
      </c>
    </row>
    <row r="526" spans="1:61" ht="15" x14ac:dyDescent="0.25">
      <c r="A526" s="66">
        <v>460</v>
      </c>
      <c r="B526" s="66">
        <v>1498730361.842</v>
      </c>
      <c r="C526" s="67">
        <v>1.0865115693047101E-5</v>
      </c>
      <c r="D526" s="67">
        <v>-3.8148030366236199E-5</v>
      </c>
      <c r="E526" s="67">
        <v>1.1947033271279699E-2</v>
      </c>
      <c r="F526" s="67">
        <v>6.65174531229486E-4</v>
      </c>
      <c r="G526" s="67">
        <v>1.8394544032127901E-5</v>
      </c>
      <c r="H526" s="67">
        <v>0.219124242773065</v>
      </c>
      <c r="I526" s="67">
        <v>-3.8148030366236199E-5</v>
      </c>
      <c r="J526" s="67">
        <v>0.15828712678853199</v>
      </c>
      <c r="K526" s="67">
        <v>1.9025788393594001</v>
      </c>
      <c r="L526" s="67"/>
      <c r="M526" s="67"/>
      <c r="N526" s="16"/>
      <c r="O526" s="11">
        <f t="shared" ca="1" si="301"/>
        <v>-1.9388150169129273E-6</v>
      </c>
      <c r="P526" s="11">
        <f t="shared" ca="1" si="302"/>
        <v>-3.8913130596540938E-5</v>
      </c>
      <c r="Q526" s="11">
        <f t="shared" ca="1" si="303"/>
        <v>1.1110541659011415E-2</v>
      </c>
      <c r="R526" s="11">
        <f t="shared" ca="1" si="304"/>
        <v>6.5352804358313884E-4</v>
      </c>
      <c r="S526" s="11">
        <f t="shared" ca="1" si="305"/>
        <v>7.4668919851577782E-6</v>
      </c>
      <c r="T526" s="11">
        <f t="shared" ca="1" si="306"/>
        <v>0.21798568773448271</v>
      </c>
      <c r="U526" s="11">
        <f t="shared" ca="1" si="307"/>
        <v>-3.8913130596540938E-5</v>
      </c>
      <c r="V526" s="11">
        <f t="shared" ca="1" si="308"/>
        <v>0.15763693078283822</v>
      </c>
      <c r="W526" s="11">
        <f t="shared" ca="1" si="309"/>
        <v>1.895455991095895</v>
      </c>
      <c r="X526" s="11"/>
      <c r="Y526" s="2">
        <f t="shared" ca="1" si="310"/>
        <v>-1.9388150169129273E-6</v>
      </c>
      <c r="Z526" s="11">
        <f t="shared" ca="1" si="311"/>
        <v>-3.8913130596540938E-5</v>
      </c>
      <c r="AA526" s="2">
        <f t="shared" ca="1" si="312"/>
        <v>1.1110541659011415E-2</v>
      </c>
      <c r="AB526" s="2">
        <f t="shared" ca="1" si="313"/>
        <v>6.5352804358313884E-4</v>
      </c>
      <c r="AC526" s="2">
        <f t="shared" ca="1" si="314"/>
        <v>7.4668919851577782E-6</v>
      </c>
      <c r="AD526" s="2">
        <f t="shared" ca="1" si="315"/>
        <v>0.21798568773448271</v>
      </c>
      <c r="AE526" s="2">
        <f t="shared" ca="1" si="316"/>
        <v>-3.8913130596540938E-5</v>
      </c>
      <c r="AF526" s="2">
        <f t="shared" ca="1" si="317"/>
        <v>0.15763693078283822</v>
      </c>
      <c r="AG526" s="2">
        <f t="shared" ca="1" si="318"/>
        <v>1.895455991095895</v>
      </c>
      <c r="AI526" s="2">
        <f t="shared" ca="1" si="319"/>
        <v>-1.9388150169129273E-6</v>
      </c>
      <c r="AJ526" s="11">
        <f t="shared" ca="1" si="320"/>
        <v>-3.8913130596540938E-5</v>
      </c>
      <c r="AK526" s="2">
        <f t="shared" ca="1" si="321"/>
        <v>1.1110541659011415E-2</v>
      </c>
      <c r="AL526" s="2">
        <f t="shared" ca="1" si="322"/>
        <v>6.5352804358313884E-4</v>
      </c>
      <c r="AM526" s="2">
        <f t="shared" ca="1" si="323"/>
        <v>7.4668919851577782E-6</v>
      </c>
      <c r="AN526" s="2">
        <f t="shared" ca="1" si="324"/>
        <v>0.21798568773448271</v>
      </c>
      <c r="AO526" s="2">
        <f t="shared" ca="1" si="325"/>
        <v>-3.8913130596540938E-5</v>
      </c>
      <c r="AP526" s="2">
        <f t="shared" ca="1" si="326"/>
        <v>0.15763693078283822</v>
      </c>
      <c r="AQ526" s="2">
        <f t="shared" ca="1" si="327"/>
        <v>1.895455991095895</v>
      </c>
      <c r="AS526" s="2">
        <f t="shared" ca="1" si="328"/>
        <v>8.695323123253182</v>
      </c>
      <c r="AT526" s="2">
        <f t="shared" ca="1" si="329"/>
        <v>0.4005885511868576</v>
      </c>
      <c r="AU526" s="2">
        <f t="shared" ca="1" si="330"/>
        <v>2.6179585213895114E-4</v>
      </c>
      <c r="AV526" s="2">
        <f t="shared" ca="1" si="331"/>
        <v>0.15737513493069927</v>
      </c>
      <c r="AW526" s="2">
        <f t="shared" ca="1" si="332"/>
        <v>0.70844243069401469</v>
      </c>
      <c r="AX526" s="2">
        <f t="shared" ca="1" si="333"/>
        <v>5.2963426657333418E-2</v>
      </c>
      <c r="AY526" s="9">
        <f t="shared" ca="1" si="334"/>
        <v>0.70844243069401469</v>
      </c>
      <c r="AZ526" s="9">
        <f t="shared" ca="1" si="335"/>
        <v>0.70844243069401469</v>
      </c>
      <c r="BA526" s="9"/>
      <c r="BB526" s="2">
        <f t="shared" ca="1" si="336"/>
        <v>8.695323123253182</v>
      </c>
      <c r="BC526" s="2">
        <f t="shared" ca="1" si="337"/>
        <v>0.4005885511868576</v>
      </c>
      <c r="BD526" s="2">
        <f t="shared" ca="1" si="338"/>
        <v>2.6179585213895114E-4</v>
      </c>
      <c r="BE526" s="2">
        <f t="shared" ca="1" si="339"/>
        <v>0.15737513493069927</v>
      </c>
      <c r="BF526" s="2">
        <f t="shared" ca="1" si="340"/>
        <v>0.70844243069401469</v>
      </c>
      <c r="BG526" s="2">
        <f t="shared" ca="1" si="341"/>
        <v>5.2963426657333418E-2</v>
      </c>
      <c r="BH526" s="2">
        <f t="shared" ca="1" si="342"/>
        <v>0.70844243069401469</v>
      </c>
      <c r="BI526" s="2">
        <f t="shared" ca="1" si="343"/>
        <v>0.70844243069401469</v>
      </c>
    </row>
    <row r="527" spans="1:61" ht="15" x14ac:dyDescent="0.25">
      <c r="A527" s="66">
        <v>461</v>
      </c>
      <c r="B527" s="66">
        <v>1498730362.369</v>
      </c>
      <c r="C527" s="67">
        <v>-5.4566632278717202E-5</v>
      </c>
      <c r="D527" s="67">
        <v>-3.5054762618488799E-5</v>
      </c>
      <c r="E527" s="67">
        <v>1.16531426984468E-2</v>
      </c>
      <c r="F527" s="67">
        <v>6.6398406329592097E-4</v>
      </c>
      <c r="G527" s="67">
        <v>-7.6985198147294805E-5</v>
      </c>
      <c r="H527" s="67">
        <v>0.213253335319885</v>
      </c>
      <c r="I527" s="67">
        <v>-3.5054762618488799E-5</v>
      </c>
      <c r="J527" s="67">
        <v>0.154231843083521</v>
      </c>
      <c r="K527" s="67">
        <v>1.8539560078227799</v>
      </c>
      <c r="L527" s="67"/>
      <c r="M527" s="67"/>
      <c r="N527" s="16"/>
      <c r="O527" s="11">
        <f t="shared" ca="1" si="301"/>
        <v>-6.737056298867723E-5</v>
      </c>
      <c r="P527" s="11">
        <f t="shared" ca="1" si="302"/>
        <v>-3.5819862848793538E-5</v>
      </c>
      <c r="Q527" s="11">
        <f t="shared" ca="1" si="303"/>
        <v>1.0816651086178516E-2</v>
      </c>
      <c r="R527" s="11">
        <f t="shared" ca="1" si="304"/>
        <v>6.5233757564957381E-4</v>
      </c>
      <c r="S527" s="11">
        <f t="shared" ca="1" si="305"/>
        <v>-8.7912850194264933E-5</v>
      </c>
      <c r="T527" s="11">
        <f t="shared" ca="1" si="306"/>
        <v>0.21211478028130271</v>
      </c>
      <c r="U527" s="11">
        <f t="shared" ca="1" si="307"/>
        <v>-3.5819862848793538E-5</v>
      </c>
      <c r="V527" s="11">
        <f t="shared" ca="1" si="308"/>
        <v>0.15358164707782723</v>
      </c>
      <c r="W527" s="11">
        <f t="shared" ca="1" si="309"/>
        <v>1.8468331595592749</v>
      </c>
      <c r="X527" s="11"/>
      <c r="Y527" s="2">
        <f t="shared" ca="1" si="310"/>
        <v>-6.737056298867723E-5</v>
      </c>
      <c r="Z527" s="11">
        <f t="shared" ca="1" si="311"/>
        <v>-3.5819862848793538E-5</v>
      </c>
      <c r="AA527" s="2">
        <f t="shared" ca="1" si="312"/>
        <v>1.0816651086178516E-2</v>
      </c>
      <c r="AB527" s="2">
        <f t="shared" ca="1" si="313"/>
        <v>6.5233757564957381E-4</v>
      </c>
      <c r="AC527" s="2">
        <f t="shared" ca="1" si="314"/>
        <v>-8.7912850194264933E-5</v>
      </c>
      <c r="AD527" s="2">
        <f t="shared" ca="1" si="315"/>
        <v>0.21211478028130271</v>
      </c>
      <c r="AE527" s="2">
        <f t="shared" ca="1" si="316"/>
        <v>-3.5819862848793538E-5</v>
      </c>
      <c r="AF527" s="2">
        <f t="shared" ca="1" si="317"/>
        <v>0.15358164707782723</v>
      </c>
      <c r="AG527" s="2">
        <f t="shared" ca="1" si="318"/>
        <v>1.8468331595592749</v>
      </c>
      <c r="AI527" s="2">
        <f t="shared" ca="1" si="319"/>
        <v>-6.737056298867723E-5</v>
      </c>
      <c r="AJ527" s="11">
        <f t="shared" ca="1" si="320"/>
        <v>-3.5819862848793538E-5</v>
      </c>
      <c r="AK527" s="2">
        <f t="shared" ca="1" si="321"/>
        <v>1.0816651086178516E-2</v>
      </c>
      <c r="AL527" s="2">
        <f t="shared" ca="1" si="322"/>
        <v>6.5233757564957381E-4</v>
      </c>
      <c r="AM527" s="2">
        <f t="shared" ca="1" si="323"/>
        <v>-8.7912850194264933E-5</v>
      </c>
      <c r="AN527" s="2">
        <f t="shared" ca="1" si="324"/>
        <v>0.21211478028130271</v>
      </c>
      <c r="AO527" s="2">
        <f t="shared" ca="1" si="325"/>
        <v>-3.5819862848793538E-5</v>
      </c>
      <c r="AP527" s="2">
        <f t="shared" ca="1" si="326"/>
        <v>0.15358164707782723</v>
      </c>
      <c r="AQ527" s="2">
        <f t="shared" ca="1" si="327"/>
        <v>1.8468331595592749</v>
      </c>
      <c r="AS527" s="2">
        <f t="shared" ca="1" si="328"/>
        <v>8.7067631831692207</v>
      </c>
      <c r="AT527" s="2">
        <f t="shared" ca="1" si="329"/>
        <v>0.40112198476203942</v>
      </c>
      <c r="AU527" s="2">
        <f t="shared" ca="1" si="330"/>
        <v>2.6166694307941407E-4</v>
      </c>
      <c r="AV527" s="2">
        <f t="shared" ca="1" si="331"/>
        <v>0.15331998013474782</v>
      </c>
      <c r="AW527" s="2">
        <f t="shared" ca="1" si="332"/>
        <v>0.70882119739779426</v>
      </c>
      <c r="AX527" s="2">
        <f t="shared" ca="1" si="333"/>
        <v>5.3060946913635491E-2</v>
      </c>
      <c r="AY527" s="9">
        <f t="shared" ca="1" si="334"/>
        <v>0.70882119739779426</v>
      </c>
      <c r="AZ527" s="9">
        <f t="shared" ca="1" si="335"/>
        <v>0.70882119739779426</v>
      </c>
      <c r="BA527" s="9"/>
      <c r="BB527" s="2">
        <f t="shared" ca="1" si="336"/>
        <v>8.7067631831692207</v>
      </c>
      <c r="BC527" s="2">
        <f t="shared" ca="1" si="337"/>
        <v>0.40112198476203942</v>
      </c>
      <c r="BD527" s="2">
        <f t="shared" ca="1" si="338"/>
        <v>2.6166694307941407E-4</v>
      </c>
      <c r="BE527" s="2">
        <f t="shared" ca="1" si="339"/>
        <v>0.15331998013474782</v>
      </c>
      <c r="BF527" s="2">
        <f t="shared" ca="1" si="340"/>
        <v>0.70882119739779426</v>
      </c>
      <c r="BG527" s="2">
        <f t="shared" ca="1" si="341"/>
        <v>5.3060946913635491E-2</v>
      </c>
      <c r="BH527" s="2">
        <f t="shared" ca="1" si="342"/>
        <v>0.70882119739779426</v>
      </c>
      <c r="BI527" s="2">
        <f t="shared" ca="1" si="343"/>
        <v>0.70882119739779426</v>
      </c>
    </row>
    <row r="528" spans="1:61" ht="15" x14ac:dyDescent="0.25">
      <c r="A528" s="66">
        <v>462</v>
      </c>
      <c r="B528" s="66">
        <v>1498730362.8959999</v>
      </c>
      <c r="C528" s="67">
        <v>-6.3306286369712794E-5</v>
      </c>
      <c r="D528" s="67">
        <v>-4.4782882277810203E-5</v>
      </c>
      <c r="E528" s="67">
        <v>1.16865952192851E-2</v>
      </c>
      <c r="F528" s="67">
        <v>7.0088922893779104E-4</v>
      </c>
      <c r="G528" s="67">
        <v>-8.5005797194784703E-5</v>
      </c>
      <c r="H528" s="67">
        <v>0.21474762918141899</v>
      </c>
      <c r="I528" s="67">
        <v>-4.4782882277810203E-5</v>
      </c>
      <c r="J528" s="67">
        <v>0.15527563327318999</v>
      </c>
      <c r="K528" s="67">
        <v>1.8645400950037101</v>
      </c>
      <c r="L528" s="67"/>
      <c r="M528" s="67"/>
      <c r="N528" s="16"/>
      <c r="O528" s="11">
        <f t="shared" ca="1" si="301"/>
        <v>-7.6110217079672815E-5</v>
      </c>
      <c r="P528" s="11">
        <f t="shared" ca="1" si="302"/>
        <v>-4.5547982508114942E-5</v>
      </c>
      <c r="Q528" s="11">
        <f t="shared" ca="1" si="303"/>
        <v>1.0850103607016815E-2</v>
      </c>
      <c r="R528" s="11">
        <f t="shared" ca="1" si="304"/>
        <v>6.8924274129144388E-4</v>
      </c>
      <c r="S528" s="11">
        <f t="shared" ca="1" si="305"/>
        <v>-9.5933449241754831E-5</v>
      </c>
      <c r="T528" s="11">
        <f t="shared" ca="1" si="306"/>
        <v>0.2136090741428367</v>
      </c>
      <c r="U528" s="11">
        <f t="shared" ca="1" si="307"/>
        <v>-4.5547982508114942E-5</v>
      </c>
      <c r="V528" s="11">
        <f t="shared" ca="1" si="308"/>
        <v>0.15462543726749622</v>
      </c>
      <c r="W528" s="11">
        <f t="shared" ca="1" si="309"/>
        <v>1.857417246740205</v>
      </c>
      <c r="X528" s="11"/>
      <c r="Y528" s="2">
        <f t="shared" ca="1" si="310"/>
        <v>-7.6110217079672815E-5</v>
      </c>
      <c r="Z528" s="11">
        <f t="shared" ca="1" si="311"/>
        <v>-4.5547982508114942E-5</v>
      </c>
      <c r="AA528" s="2">
        <f t="shared" ca="1" si="312"/>
        <v>1.0850103607016815E-2</v>
      </c>
      <c r="AB528" s="2">
        <f t="shared" ca="1" si="313"/>
        <v>6.8924274129144388E-4</v>
      </c>
      <c r="AC528" s="2">
        <f t="shared" ca="1" si="314"/>
        <v>-9.5933449241754831E-5</v>
      </c>
      <c r="AD528" s="2">
        <f t="shared" ca="1" si="315"/>
        <v>0.2136090741428367</v>
      </c>
      <c r="AE528" s="2">
        <f t="shared" ca="1" si="316"/>
        <v>-4.5547982508114942E-5</v>
      </c>
      <c r="AF528" s="2">
        <f t="shared" ca="1" si="317"/>
        <v>0.15462543726749622</v>
      </c>
      <c r="AG528" s="2">
        <f t="shared" ca="1" si="318"/>
        <v>1.857417246740205</v>
      </c>
      <c r="AI528" s="2">
        <f t="shared" ca="1" si="319"/>
        <v>-7.6110217079672815E-5</v>
      </c>
      <c r="AJ528" s="11">
        <f t="shared" ca="1" si="320"/>
        <v>-4.5547982508114942E-5</v>
      </c>
      <c r="AK528" s="2">
        <f t="shared" ca="1" si="321"/>
        <v>1.0850103607016815E-2</v>
      </c>
      <c r="AL528" s="2">
        <f t="shared" ca="1" si="322"/>
        <v>6.8924274129144388E-4</v>
      </c>
      <c r="AM528" s="2">
        <f t="shared" ca="1" si="323"/>
        <v>-9.5933449241754831E-5</v>
      </c>
      <c r="AN528" s="2">
        <f t="shared" ca="1" si="324"/>
        <v>0.2136090741428367</v>
      </c>
      <c r="AO528" s="2">
        <f t="shared" ca="1" si="325"/>
        <v>-4.5547982508114942E-5</v>
      </c>
      <c r="AP528" s="2">
        <f t="shared" ca="1" si="326"/>
        <v>0.15462543726749622</v>
      </c>
      <c r="AQ528" s="2">
        <f t="shared" ca="1" si="327"/>
        <v>1.857417246740205</v>
      </c>
      <c r="AS528" s="2">
        <f t="shared" ca="1" si="328"/>
        <v>8.6954042294017064</v>
      </c>
      <c r="AT528" s="2">
        <f t="shared" ca="1" si="329"/>
        <v>0.40059233302021335</v>
      </c>
      <c r="AU528" s="2">
        <f t="shared" ca="1" si="330"/>
        <v>2.7610535775118687E-4</v>
      </c>
      <c r="AV528" s="2">
        <f t="shared" ca="1" si="331"/>
        <v>0.15434933190974504</v>
      </c>
      <c r="AW528" s="2">
        <f t="shared" ca="1" si="332"/>
        <v>0.70905421896351151</v>
      </c>
      <c r="AX528" s="2">
        <f t="shared" ca="1" si="333"/>
        <v>5.2782159687219624E-2</v>
      </c>
      <c r="AY528" s="9">
        <f t="shared" ca="1" si="334"/>
        <v>0.70905421896351151</v>
      </c>
      <c r="AZ528" s="9">
        <f t="shared" ca="1" si="335"/>
        <v>0.70905421896351151</v>
      </c>
      <c r="BA528" s="9"/>
      <c r="BB528" s="2">
        <f t="shared" ca="1" si="336"/>
        <v>8.6954042294017064</v>
      </c>
      <c r="BC528" s="2">
        <f t="shared" ca="1" si="337"/>
        <v>0.40059233302021335</v>
      </c>
      <c r="BD528" s="2">
        <f t="shared" ca="1" si="338"/>
        <v>2.7610535775118687E-4</v>
      </c>
      <c r="BE528" s="2">
        <f t="shared" ca="1" si="339"/>
        <v>0.15434933190974504</v>
      </c>
      <c r="BF528" s="2">
        <f t="shared" ca="1" si="340"/>
        <v>0.70905421896351151</v>
      </c>
      <c r="BG528" s="2">
        <f t="shared" ca="1" si="341"/>
        <v>5.2782159687219624E-2</v>
      </c>
      <c r="BH528" s="2">
        <f t="shared" ca="1" si="342"/>
        <v>0.70905421896351151</v>
      </c>
      <c r="BI528" s="2">
        <f t="shared" ca="1" si="343"/>
        <v>0.70905421896351151</v>
      </c>
    </row>
    <row r="529" spans="1:61" ht="15" x14ac:dyDescent="0.25">
      <c r="A529" s="66">
        <v>463</v>
      </c>
      <c r="B529" s="66">
        <v>1498730363.4230001</v>
      </c>
      <c r="C529" s="67">
        <v>-1.5827779139338401E-5</v>
      </c>
      <c r="D529" s="67">
        <v>-7.2332837843689106E-5</v>
      </c>
      <c r="E529" s="67">
        <v>1.1369201852757299E-2</v>
      </c>
      <c r="F529" s="67">
        <v>6.8612699907419404E-4</v>
      </c>
      <c r="G529" s="67">
        <v>-1.9117320968001E-4</v>
      </c>
      <c r="H529" s="67">
        <v>0.20999522346259999</v>
      </c>
      <c r="I529" s="67">
        <v>-7.2332837843689106E-5</v>
      </c>
      <c r="J529" s="67">
        <v>0.15187756216141701</v>
      </c>
      <c r="K529" s="67">
        <v>1.82447655723129</v>
      </c>
      <c r="L529" s="67"/>
      <c r="M529" s="67"/>
      <c r="N529" s="16"/>
      <c r="O529" s="11">
        <f t="shared" ca="1" si="301"/>
        <v>-2.8631709849298429E-5</v>
      </c>
      <c r="P529" s="11">
        <f t="shared" ca="1" si="302"/>
        <v>-7.3097938073993845E-5</v>
      </c>
      <c r="Q529" s="11">
        <f t="shared" ca="1" si="303"/>
        <v>1.0532710240489015E-2</v>
      </c>
      <c r="R529" s="11">
        <f t="shared" ca="1" si="304"/>
        <v>6.7448051142784688E-4</v>
      </c>
      <c r="S529" s="11">
        <f t="shared" ca="1" si="305"/>
        <v>-2.0210086172698012E-4</v>
      </c>
      <c r="T529" s="11">
        <f t="shared" ca="1" si="306"/>
        <v>0.20885666842401771</v>
      </c>
      <c r="U529" s="11">
        <f t="shared" ca="1" si="307"/>
        <v>-7.3097938073993845E-5</v>
      </c>
      <c r="V529" s="11">
        <f t="shared" ca="1" si="308"/>
        <v>0.15122736615572324</v>
      </c>
      <c r="W529" s="11">
        <f t="shared" ca="1" si="309"/>
        <v>1.8173537089677849</v>
      </c>
      <c r="X529" s="11"/>
      <c r="Y529" s="2">
        <f t="shared" ca="1" si="310"/>
        <v>-2.8631709849298429E-5</v>
      </c>
      <c r="Z529" s="11">
        <f t="shared" ca="1" si="311"/>
        <v>-7.3097938073993845E-5</v>
      </c>
      <c r="AA529" s="2">
        <f t="shared" ca="1" si="312"/>
        <v>1.0532710240489015E-2</v>
      </c>
      <c r="AB529" s="2">
        <f t="shared" ca="1" si="313"/>
        <v>6.7448051142784688E-4</v>
      </c>
      <c r="AC529" s="2">
        <f t="shared" ca="1" si="314"/>
        <v>-2.0210086172698012E-4</v>
      </c>
      <c r="AD529" s="2">
        <f t="shared" ca="1" si="315"/>
        <v>0.20885666842401771</v>
      </c>
      <c r="AE529" s="2">
        <f t="shared" ca="1" si="316"/>
        <v>-7.3097938073993845E-5</v>
      </c>
      <c r="AF529" s="2">
        <f t="shared" ca="1" si="317"/>
        <v>0.15122736615572324</v>
      </c>
      <c r="AG529" s="2">
        <f t="shared" ca="1" si="318"/>
        <v>1.8173537089677849</v>
      </c>
      <c r="AI529" s="2">
        <f t="shared" ca="1" si="319"/>
        <v>-2.8631709849298429E-5</v>
      </c>
      <c r="AJ529" s="11">
        <f t="shared" ca="1" si="320"/>
        <v>-7.3097938073993845E-5</v>
      </c>
      <c r="AK529" s="2">
        <f t="shared" ca="1" si="321"/>
        <v>1.0532710240489015E-2</v>
      </c>
      <c r="AL529" s="2">
        <f t="shared" ca="1" si="322"/>
        <v>6.7448051142784688E-4</v>
      </c>
      <c r="AM529" s="2">
        <f t="shared" ca="1" si="323"/>
        <v>-2.0210086172698012E-4</v>
      </c>
      <c r="AN529" s="2">
        <f t="shared" ca="1" si="324"/>
        <v>0.20885666842401771</v>
      </c>
      <c r="AO529" s="2">
        <f t="shared" ca="1" si="325"/>
        <v>-7.3097938073993845E-5</v>
      </c>
      <c r="AP529" s="2">
        <f t="shared" ca="1" si="326"/>
        <v>0.15122736615572324</v>
      </c>
      <c r="AQ529" s="2">
        <f t="shared" ca="1" si="327"/>
        <v>1.8173537089677849</v>
      </c>
      <c r="AS529" s="2">
        <f t="shared" ca="1" si="328"/>
        <v>8.7014397130869696</v>
      </c>
      <c r="AT529" s="2">
        <f t="shared" ca="1" si="329"/>
        <v>0.40087375793412011</v>
      </c>
      <c r="AU529" s="2">
        <f t="shared" ca="1" si="330"/>
        <v>2.703815372694082E-4</v>
      </c>
      <c r="AV529" s="2">
        <f t="shared" ca="1" si="331"/>
        <v>0.15095698461845383</v>
      </c>
      <c r="AW529" s="2">
        <f t="shared" ca="1" si="332"/>
        <v>0.70900206924063858</v>
      </c>
      <c r="AX529" s="2">
        <f t="shared" ca="1" si="333"/>
        <v>5.2441258442286719E-2</v>
      </c>
      <c r="AY529" s="9">
        <f t="shared" ca="1" si="334"/>
        <v>0.70900206924063858</v>
      </c>
      <c r="AZ529" s="9">
        <f t="shared" ca="1" si="335"/>
        <v>0.70900206924063858</v>
      </c>
      <c r="BA529" s="9"/>
      <c r="BB529" s="2">
        <f t="shared" ca="1" si="336"/>
        <v>8.7014397130869696</v>
      </c>
      <c r="BC529" s="2">
        <f t="shared" ca="1" si="337"/>
        <v>0.40087375793412011</v>
      </c>
      <c r="BD529" s="2">
        <f t="shared" ca="1" si="338"/>
        <v>2.703815372694082E-4</v>
      </c>
      <c r="BE529" s="2">
        <f t="shared" ca="1" si="339"/>
        <v>0.15095698461845383</v>
      </c>
      <c r="BF529" s="2">
        <f t="shared" ca="1" si="340"/>
        <v>0.70900206924063858</v>
      </c>
      <c r="BG529" s="2">
        <f t="shared" ca="1" si="341"/>
        <v>5.2441258442286719E-2</v>
      </c>
      <c r="BH529" s="2">
        <f t="shared" ca="1" si="342"/>
        <v>0.70900206924063858</v>
      </c>
      <c r="BI529" s="2">
        <f t="shared" ca="1" si="343"/>
        <v>0.70900206924063858</v>
      </c>
    </row>
    <row r="530" spans="1:61" ht="15" x14ac:dyDescent="0.25">
      <c r="A530" s="66">
        <v>464</v>
      </c>
      <c r="B530" s="66">
        <v>1498730363.9489999</v>
      </c>
      <c r="C530" s="67">
        <v>7.0755779606853303E-7</v>
      </c>
      <c r="D530" s="67">
        <v>-7.08929697843271E-5</v>
      </c>
      <c r="E530" s="67">
        <v>1.0204952589125999E-2</v>
      </c>
      <c r="F530" s="67">
        <v>6.4350823688614904E-4</v>
      </c>
      <c r="G530" s="67">
        <v>-9.7959111583962598E-5</v>
      </c>
      <c r="H530" s="67">
        <v>0.185823429581497</v>
      </c>
      <c r="I530" s="67">
        <v>-7.08929697843271E-5</v>
      </c>
      <c r="J530" s="67">
        <v>0.13462131209919101</v>
      </c>
      <c r="K530" s="67">
        <v>1.6171577526712699</v>
      </c>
      <c r="L530" s="67"/>
      <c r="M530" s="67"/>
      <c r="N530" s="16"/>
      <c r="O530" s="11">
        <f t="shared" ca="1" si="301"/>
        <v>-1.2096372913891496E-5</v>
      </c>
      <c r="P530" s="11">
        <f t="shared" ca="1" si="302"/>
        <v>-7.1658070014631839E-5</v>
      </c>
      <c r="Q530" s="11">
        <f t="shared" ca="1" si="303"/>
        <v>9.3684609768577148E-3</v>
      </c>
      <c r="R530" s="11">
        <f t="shared" ca="1" si="304"/>
        <v>6.3186174923980187E-4</v>
      </c>
      <c r="S530" s="11">
        <f t="shared" ca="1" si="305"/>
        <v>-1.0888676363093273E-4</v>
      </c>
      <c r="T530" s="11">
        <f t="shared" ca="1" si="306"/>
        <v>0.18468487454291471</v>
      </c>
      <c r="U530" s="11">
        <f t="shared" ca="1" si="307"/>
        <v>-7.1658070014631839E-5</v>
      </c>
      <c r="V530" s="11">
        <f t="shared" ca="1" si="308"/>
        <v>0.13397111609349724</v>
      </c>
      <c r="W530" s="11">
        <f t="shared" ca="1" si="309"/>
        <v>1.6100349044077649</v>
      </c>
      <c r="X530" s="11"/>
      <c r="Y530" s="2">
        <f t="shared" ca="1" si="310"/>
        <v>-1.2096372913891496E-5</v>
      </c>
      <c r="Z530" s="11">
        <f t="shared" ca="1" si="311"/>
        <v>-7.1658070014631839E-5</v>
      </c>
      <c r="AA530" s="2">
        <f t="shared" ca="1" si="312"/>
        <v>9.3684609768577148E-3</v>
      </c>
      <c r="AB530" s="2">
        <f t="shared" ca="1" si="313"/>
        <v>6.3186174923980187E-4</v>
      </c>
      <c r="AC530" s="2">
        <f t="shared" ca="1" si="314"/>
        <v>-1.0888676363093273E-4</v>
      </c>
      <c r="AD530" s="2">
        <f t="shared" ca="1" si="315"/>
        <v>0.18468487454291471</v>
      </c>
      <c r="AE530" s="2">
        <f t="shared" ca="1" si="316"/>
        <v>-7.1658070014631839E-5</v>
      </c>
      <c r="AF530" s="2">
        <f t="shared" ca="1" si="317"/>
        <v>0.13397111609349724</v>
      </c>
      <c r="AG530" s="2">
        <f t="shared" ca="1" si="318"/>
        <v>1.6100349044077649</v>
      </c>
      <c r="AI530" s="2">
        <f t="shared" ca="1" si="319"/>
        <v>-1.2096372913891496E-5</v>
      </c>
      <c r="AJ530" s="11">
        <f t="shared" ca="1" si="320"/>
        <v>-7.1658070014631839E-5</v>
      </c>
      <c r="AK530" s="2">
        <f t="shared" ca="1" si="321"/>
        <v>9.3684609768577148E-3</v>
      </c>
      <c r="AL530" s="2">
        <f t="shared" ca="1" si="322"/>
        <v>6.3186174923980187E-4</v>
      </c>
      <c r="AM530" s="2">
        <f t="shared" ca="1" si="323"/>
        <v>-1.0888676363093273E-4</v>
      </c>
      <c r="AN530" s="2">
        <f t="shared" ca="1" si="324"/>
        <v>0.18468487454291471</v>
      </c>
      <c r="AO530" s="2">
        <f t="shared" ca="1" si="325"/>
        <v>-7.1658070014631839E-5</v>
      </c>
      <c r="AP530" s="2">
        <f t="shared" ca="1" si="326"/>
        <v>0.13397111609349724</v>
      </c>
      <c r="AQ530" s="2">
        <f t="shared" ca="1" si="327"/>
        <v>1.6100349044077649</v>
      </c>
      <c r="AS530" s="2">
        <f t="shared" ca="1" si="328"/>
        <v>8.7177410082580717</v>
      </c>
      <c r="AT530" s="2">
        <f t="shared" ca="1" si="329"/>
        <v>0.40163387298353359</v>
      </c>
      <c r="AU530" s="2">
        <f t="shared" ca="1" si="330"/>
        <v>2.5377708153733196E-4</v>
      </c>
      <c r="AV530" s="2">
        <f t="shared" ca="1" si="331"/>
        <v>0.1337173390119599</v>
      </c>
      <c r="AW530" s="2">
        <f t="shared" ca="1" si="332"/>
        <v>0.70956092149948136</v>
      </c>
      <c r="AX530" s="2">
        <f t="shared" ca="1" si="333"/>
        <v>5.2850607512709258E-2</v>
      </c>
      <c r="AY530" s="9" t="str">
        <f t="shared" ca="1" si="334"/>
        <v>rejected</v>
      </c>
      <c r="AZ530" s="9" t="e">
        <f t="shared" ca="1" si="335"/>
        <v>#N/A</v>
      </c>
      <c r="BA530" s="9"/>
      <c r="BB530" s="2">
        <f t="shared" ca="1" si="336"/>
        <v>8.7177410082580717</v>
      </c>
      <c r="BC530" s="2">
        <f t="shared" ca="1" si="337"/>
        <v>0.40163387298353359</v>
      </c>
      <c r="BD530" s="2">
        <f t="shared" ca="1" si="338"/>
        <v>2.5377708153733196E-4</v>
      </c>
      <c r="BE530" s="2">
        <f t="shared" ca="1" si="339"/>
        <v>0.1337173390119599</v>
      </c>
      <c r="BF530" s="2">
        <f t="shared" ca="1" si="340"/>
        <v>0.70956092149948136</v>
      </c>
      <c r="BG530" s="2">
        <f t="shared" ca="1" si="341"/>
        <v>5.2850607512709258E-2</v>
      </c>
      <c r="BH530" s="2" t="str">
        <f t="shared" ca="1" si="342"/>
        <v>rejected</v>
      </c>
      <c r="BI530" s="2" t="e">
        <f t="shared" ca="1" si="343"/>
        <v>#N/A</v>
      </c>
    </row>
    <row r="531" spans="1:61" ht="15" x14ac:dyDescent="0.25">
      <c r="A531" s="66">
        <v>465</v>
      </c>
      <c r="B531" s="66">
        <v>1498730364.4760001</v>
      </c>
      <c r="C531" s="67">
        <v>-7.60613190354069E-5</v>
      </c>
      <c r="D531" s="67">
        <v>-6.78007234389342E-5</v>
      </c>
      <c r="E531" s="67">
        <v>9.4720621753365906E-3</v>
      </c>
      <c r="F531" s="67">
        <v>6.3660369237180303E-4</v>
      </c>
      <c r="G531" s="67">
        <v>-1.10139873257871E-4</v>
      </c>
      <c r="H531" s="67">
        <v>0.17098835270257401</v>
      </c>
      <c r="I531" s="67">
        <v>-6.78007234389342E-5</v>
      </c>
      <c r="J531" s="67">
        <v>0.123585387432025</v>
      </c>
      <c r="K531" s="67">
        <v>1.4856125077828399</v>
      </c>
      <c r="L531" s="67"/>
      <c r="M531" s="67"/>
      <c r="N531" s="16"/>
      <c r="O531" s="11">
        <f t="shared" ca="1" si="301"/>
        <v>-8.8865249745366922E-5</v>
      </c>
      <c r="P531" s="11">
        <f t="shared" ca="1" si="302"/>
        <v>-6.8565823669238939E-5</v>
      </c>
      <c r="Q531" s="11">
        <f t="shared" ca="1" si="303"/>
        <v>8.6355705630683059E-3</v>
      </c>
      <c r="R531" s="11">
        <f t="shared" ca="1" si="304"/>
        <v>6.2495720472545587E-4</v>
      </c>
      <c r="S531" s="11">
        <f t="shared" ca="1" si="305"/>
        <v>-1.2106752530484113E-4</v>
      </c>
      <c r="T531" s="11">
        <f t="shared" ca="1" si="306"/>
        <v>0.16984979766399172</v>
      </c>
      <c r="U531" s="11">
        <f t="shared" ca="1" si="307"/>
        <v>-6.8565823669238939E-5</v>
      </c>
      <c r="V531" s="11">
        <f t="shared" ca="1" si="308"/>
        <v>0.12293519142633123</v>
      </c>
      <c r="W531" s="11">
        <f t="shared" ca="1" si="309"/>
        <v>1.4784896595193349</v>
      </c>
      <c r="X531" s="11"/>
      <c r="Y531" s="2">
        <f t="shared" ca="1" si="310"/>
        <v>-8.8865249745366922E-5</v>
      </c>
      <c r="Z531" s="11">
        <f t="shared" ca="1" si="311"/>
        <v>-6.8565823669238939E-5</v>
      </c>
      <c r="AA531" s="2">
        <f t="shared" ca="1" si="312"/>
        <v>8.6355705630683059E-3</v>
      </c>
      <c r="AB531" s="2">
        <f t="shared" ca="1" si="313"/>
        <v>6.2495720472545587E-4</v>
      </c>
      <c r="AC531" s="2">
        <f t="shared" ca="1" si="314"/>
        <v>-1.2106752530484113E-4</v>
      </c>
      <c r="AD531" s="2">
        <f t="shared" ca="1" si="315"/>
        <v>0.16984979766399172</v>
      </c>
      <c r="AE531" s="2">
        <f t="shared" ca="1" si="316"/>
        <v>-6.8565823669238939E-5</v>
      </c>
      <c r="AF531" s="2">
        <f t="shared" ca="1" si="317"/>
        <v>0.12293519142633123</v>
      </c>
      <c r="AG531" s="2">
        <f t="shared" ca="1" si="318"/>
        <v>1.4784896595193349</v>
      </c>
      <c r="AI531" s="2">
        <f t="shared" ca="1" si="319"/>
        <v>-8.8865249745366922E-5</v>
      </c>
      <c r="AJ531" s="11">
        <f t="shared" ca="1" si="320"/>
        <v>-6.8565823669238939E-5</v>
      </c>
      <c r="AK531" s="2">
        <f t="shared" ca="1" si="321"/>
        <v>8.6355705630683059E-3</v>
      </c>
      <c r="AL531" s="2">
        <f t="shared" ca="1" si="322"/>
        <v>6.2495720472545587E-4</v>
      </c>
      <c r="AM531" s="2">
        <f t="shared" ca="1" si="323"/>
        <v>-1.2106752530484113E-4</v>
      </c>
      <c r="AN531" s="2">
        <f t="shared" ca="1" si="324"/>
        <v>0.16984979766399172</v>
      </c>
      <c r="AO531" s="2">
        <f t="shared" ca="1" si="325"/>
        <v>-6.8565823669238939E-5</v>
      </c>
      <c r="AP531" s="2">
        <f t="shared" ca="1" si="326"/>
        <v>0.12293519142633123</v>
      </c>
      <c r="AQ531" s="2">
        <f t="shared" ca="1" si="327"/>
        <v>1.4784896595193349</v>
      </c>
      <c r="AS531" s="2">
        <f t="shared" ca="1" si="328"/>
        <v>8.7046889655069375</v>
      </c>
      <c r="AT531" s="2">
        <f t="shared" ca="1" si="329"/>
        <v>0.40102526633808983</v>
      </c>
      <c r="AU531" s="2">
        <f t="shared" ca="1" si="330"/>
        <v>2.5062362947493409E-4</v>
      </c>
      <c r="AV531" s="2">
        <f t="shared" ca="1" si="331"/>
        <v>0.1226845677968563</v>
      </c>
      <c r="AW531" s="2">
        <f t="shared" ca="1" si="332"/>
        <v>0.70841196276817042</v>
      </c>
      <c r="AX531" s="2">
        <f t="shared" ca="1" si="333"/>
        <v>5.2889958911821119E-2</v>
      </c>
      <c r="AY531" s="9">
        <f t="shared" ca="1" si="334"/>
        <v>0.70841196276817042</v>
      </c>
      <c r="AZ531" s="9">
        <f t="shared" ca="1" si="335"/>
        <v>0.70841196276817042</v>
      </c>
      <c r="BA531" s="9"/>
      <c r="BB531" s="2">
        <f t="shared" ca="1" si="336"/>
        <v>8.7046889655069375</v>
      </c>
      <c r="BC531" s="2">
        <f t="shared" ca="1" si="337"/>
        <v>0.40102526633808983</v>
      </c>
      <c r="BD531" s="2">
        <f t="shared" ca="1" si="338"/>
        <v>2.5062362947493409E-4</v>
      </c>
      <c r="BE531" s="2">
        <f t="shared" ca="1" si="339"/>
        <v>0.1226845677968563</v>
      </c>
      <c r="BF531" s="2">
        <f t="shared" ca="1" si="340"/>
        <v>0.70841196276817042</v>
      </c>
      <c r="BG531" s="2">
        <f t="shared" ca="1" si="341"/>
        <v>5.2889958911821119E-2</v>
      </c>
      <c r="BH531" s="2">
        <f t="shared" ca="1" si="342"/>
        <v>0.70841196276817042</v>
      </c>
      <c r="BI531" s="2">
        <f t="shared" ca="1" si="343"/>
        <v>0.70841196276817042</v>
      </c>
    </row>
    <row r="532" spans="1:61" ht="15" x14ac:dyDescent="0.25">
      <c r="A532" s="66">
        <v>466</v>
      </c>
      <c r="B532" s="66">
        <v>1498730365.003</v>
      </c>
      <c r="C532" s="67">
        <v>-6.6376957368570897E-5</v>
      </c>
      <c r="D532" s="67">
        <v>-4.1524540730217998E-5</v>
      </c>
      <c r="E532" s="67">
        <v>9.2047918482364606E-3</v>
      </c>
      <c r="F532" s="67">
        <v>5.6827508352392901E-4</v>
      </c>
      <c r="G532" s="67">
        <v>-3.9390257029596799E-5</v>
      </c>
      <c r="H532" s="67">
        <v>0.16458798993488599</v>
      </c>
      <c r="I532" s="67">
        <v>-4.1524540730217998E-5</v>
      </c>
      <c r="J532" s="67">
        <v>0.118984819540494</v>
      </c>
      <c r="K532" s="67">
        <v>1.4294504727614199</v>
      </c>
      <c r="L532" s="67"/>
      <c r="M532" s="67"/>
      <c r="N532" s="16"/>
      <c r="O532" s="11">
        <f t="shared" ca="1" si="301"/>
        <v>-7.9180888078530918E-5</v>
      </c>
      <c r="P532" s="11">
        <f t="shared" ca="1" si="302"/>
        <v>-4.2289640960522737E-5</v>
      </c>
      <c r="Q532" s="11">
        <f t="shared" ca="1" si="303"/>
        <v>8.3683002359681759E-3</v>
      </c>
      <c r="R532" s="11">
        <f t="shared" ca="1" si="304"/>
        <v>5.5662859587758185E-4</v>
      </c>
      <c r="S532" s="11">
        <f t="shared" ca="1" si="305"/>
        <v>-5.0317909076566919E-5</v>
      </c>
      <c r="T532" s="11">
        <f t="shared" ca="1" si="306"/>
        <v>0.1634494348963037</v>
      </c>
      <c r="U532" s="11">
        <f t="shared" ca="1" si="307"/>
        <v>-4.2289640960522737E-5</v>
      </c>
      <c r="V532" s="11">
        <f t="shared" ca="1" si="308"/>
        <v>0.11833462353480023</v>
      </c>
      <c r="W532" s="11">
        <f t="shared" ca="1" si="309"/>
        <v>1.4223276244979148</v>
      </c>
      <c r="X532" s="11"/>
      <c r="Y532" s="2">
        <f t="shared" ca="1" si="310"/>
        <v>-7.9180888078530918E-5</v>
      </c>
      <c r="Z532" s="11">
        <f t="shared" ca="1" si="311"/>
        <v>-4.2289640960522737E-5</v>
      </c>
      <c r="AA532" s="2">
        <f t="shared" ca="1" si="312"/>
        <v>8.3683002359681759E-3</v>
      </c>
      <c r="AB532" s="2">
        <f t="shared" ca="1" si="313"/>
        <v>5.5662859587758185E-4</v>
      </c>
      <c r="AC532" s="2">
        <f t="shared" ca="1" si="314"/>
        <v>-5.0317909076566919E-5</v>
      </c>
      <c r="AD532" s="2">
        <f t="shared" ca="1" si="315"/>
        <v>0.1634494348963037</v>
      </c>
      <c r="AE532" s="2">
        <f t="shared" ca="1" si="316"/>
        <v>-4.2289640960522737E-5</v>
      </c>
      <c r="AF532" s="2">
        <f t="shared" ca="1" si="317"/>
        <v>0.11833462353480023</v>
      </c>
      <c r="AG532" s="2">
        <f t="shared" ca="1" si="318"/>
        <v>1.4223276244979148</v>
      </c>
      <c r="AI532" s="2">
        <f t="shared" ca="1" si="319"/>
        <v>-7.9180888078530918E-5</v>
      </c>
      <c r="AJ532" s="11">
        <f t="shared" ca="1" si="320"/>
        <v>-4.2289640960522737E-5</v>
      </c>
      <c r="AK532" s="2">
        <f t="shared" ca="1" si="321"/>
        <v>8.3683002359681759E-3</v>
      </c>
      <c r="AL532" s="2">
        <f t="shared" ca="1" si="322"/>
        <v>5.5662859587758185E-4</v>
      </c>
      <c r="AM532" s="2">
        <f t="shared" ca="1" si="323"/>
        <v>-5.0317909076566919E-5</v>
      </c>
      <c r="AN532" s="2">
        <f t="shared" ca="1" si="324"/>
        <v>0.1634494348963037</v>
      </c>
      <c r="AO532" s="2">
        <f t="shared" ca="1" si="325"/>
        <v>-4.2289640960522737E-5</v>
      </c>
      <c r="AP532" s="2">
        <f t="shared" ca="1" si="326"/>
        <v>0.11833462353480023</v>
      </c>
      <c r="AQ532" s="2">
        <f t="shared" ca="1" si="327"/>
        <v>1.4223276244979148</v>
      </c>
      <c r="AS532" s="2">
        <f t="shared" ca="1" si="328"/>
        <v>8.7019427470047486</v>
      </c>
      <c r="AT532" s="2">
        <f t="shared" ca="1" si="329"/>
        <v>0.40089721370496401</v>
      </c>
      <c r="AU532" s="2">
        <f t="shared" ca="1" si="330"/>
        <v>2.2315085315582897E-4</v>
      </c>
      <c r="AV532" s="2">
        <f t="shared" ca="1" si="331"/>
        <v>0.1181114726816444</v>
      </c>
      <c r="AW532" s="2">
        <f t="shared" ca="1" si="332"/>
        <v>0.70882439282196574</v>
      </c>
      <c r="AX532" s="2">
        <f t="shared" ca="1" si="333"/>
        <v>5.3242793548692401E-2</v>
      </c>
      <c r="AY532" s="9">
        <f t="shared" ca="1" si="334"/>
        <v>0.70882439282196574</v>
      </c>
      <c r="AZ532" s="9">
        <f t="shared" ca="1" si="335"/>
        <v>0.70882439282196574</v>
      </c>
      <c r="BA532" s="9"/>
      <c r="BB532" s="2">
        <f t="shared" ca="1" si="336"/>
        <v>8.7019427470047486</v>
      </c>
      <c r="BC532" s="2">
        <f t="shared" ca="1" si="337"/>
        <v>0.40089721370496401</v>
      </c>
      <c r="BD532" s="2">
        <f t="shared" ca="1" si="338"/>
        <v>2.2315085315582897E-4</v>
      </c>
      <c r="BE532" s="2">
        <f t="shared" ca="1" si="339"/>
        <v>0.1181114726816444</v>
      </c>
      <c r="BF532" s="2">
        <f t="shared" ca="1" si="340"/>
        <v>0.70882439282196574</v>
      </c>
      <c r="BG532" s="2">
        <f t="shared" ca="1" si="341"/>
        <v>5.3242793548692401E-2</v>
      </c>
      <c r="BH532" s="2">
        <f t="shared" ca="1" si="342"/>
        <v>0.70882439282196574</v>
      </c>
      <c r="BI532" s="2">
        <f t="shared" ca="1" si="343"/>
        <v>0.70882439282196574</v>
      </c>
    </row>
    <row r="533" spans="1:61" ht="15" x14ac:dyDescent="0.25">
      <c r="A533" s="66">
        <v>467</v>
      </c>
      <c r="B533" s="66">
        <v>1498730365.53</v>
      </c>
      <c r="C533" s="67">
        <v>2.8818263045869799E-5</v>
      </c>
      <c r="D533" s="67">
        <v>1.14150514659001E-4</v>
      </c>
      <c r="E533" s="67">
        <v>9.0592783493823707E-3</v>
      </c>
      <c r="F533" s="67">
        <v>5.0423613571765503E-4</v>
      </c>
      <c r="G533" s="67">
        <v>1.31189787819334E-4</v>
      </c>
      <c r="H533" s="67">
        <v>0.16191117831874899</v>
      </c>
      <c r="I533" s="67">
        <v>1.14150514659001E-4</v>
      </c>
      <c r="J533" s="67">
        <v>0.11694169265420799</v>
      </c>
      <c r="K533" s="67">
        <v>1.40499094424161</v>
      </c>
      <c r="L533" s="67"/>
      <c r="M533" s="67"/>
      <c r="N533" s="16"/>
      <c r="O533" s="11">
        <f t="shared" ca="1" si="301"/>
        <v>1.6014332335909771E-5</v>
      </c>
      <c r="P533" s="11">
        <f t="shared" ca="1" si="302"/>
        <v>1.1338541442869626E-4</v>
      </c>
      <c r="Q533" s="11">
        <f t="shared" ca="1" si="303"/>
        <v>8.2227867371140861E-3</v>
      </c>
      <c r="R533" s="11">
        <f t="shared" ca="1" si="304"/>
        <v>4.9258964807130786E-4</v>
      </c>
      <c r="S533" s="11">
        <f t="shared" ca="1" si="305"/>
        <v>1.2026213577236387E-4</v>
      </c>
      <c r="T533" s="11">
        <f t="shared" ca="1" si="306"/>
        <v>0.1607726232801667</v>
      </c>
      <c r="U533" s="11">
        <f t="shared" ca="1" si="307"/>
        <v>1.1338541442869626E-4</v>
      </c>
      <c r="V533" s="11">
        <f t="shared" ca="1" si="308"/>
        <v>0.11629149664851422</v>
      </c>
      <c r="W533" s="11">
        <f t="shared" ca="1" si="309"/>
        <v>1.3978680959781049</v>
      </c>
      <c r="X533" s="11"/>
      <c r="Y533" s="2">
        <f t="shared" ca="1" si="310"/>
        <v>1.6014332335909771E-5</v>
      </c>
      <c r="Z533" s="11">
        <f t="shared" ca="1" si="311"/>
        <v>1.1338541442869626E-4</v>
      </c>
      <c r="AA533" s="2">
        <f t="shared" ca="1" si="312"/>
        <v>8.2219192538465196E-3</v>
      </c>
      <c r="AB533" s="2">
        <f t="shared" ca="1" si="313"/>
        <v>4.7159260989044886E-4</v>
      </c>
      <c r="AC533" s="2">
        <f t="shared" ca="1" si="314"/>
        <v>1.2026213577236387E-4</v>
      </c>
      <c r="AD533" s="2">
        <f t="shared" ca="1" si="315"/>
        <v>0.16061992650954626</v>
      </c>
      <c r="AE533" s="2">
        <f t="shared" ca="1" si="316"/>
        <v>1.1338541442869626E-4</v>
      </c>
      <c r="AF533" s="2">
        <f t="shared" ca="1" si="317"/>
        <v>0.11606600028776909</v>
      </c>
      <c r="AG533" s="2">
        <f t="shared" ca="1" si="318"/>
        <v>1.3977765948006535</v>
      </c>
      <c r="AI533" s="2">
        <f t="shared" ca="1" si="319"/>
        <v>1.6014332335909771E-5</v>
      </c>
      <c r="AJ533" s="11">
        <f t="shared" ca="1" si="320"/>
        <v>1.1338541442869626E-4</v>
      </c>
      <c r="AK533" s="2">
        <f t="shared" ca="1" si="321"/>
        <v>8.0881454441264523E-3</v>
      </c>
      <c r="AL533" s="2">
        <f t="shared" ca="1" si="322"/>
        <v>4.0898087916300079E-4</v>
      </c>
      <c r="AM533" s="2">
        <f t="shared" ca="1" si="323"/>
        <v>1.2026213577236387E-4</v>
      </c>
      <c r="AN533" s="2">
        <f t="shared" ca="1" si="324"/>
        <v>0.16061992650954626</v>
      </c>
      <c r="AO533" s="2">
        <f t="shared" ca="1" si="325"/>
        <v>1.1338541442869626E-4</v>
      </c>
      <c r="AP533" s="2">
        <f t="shared" ca="1" si="326"/>
        <v>0.11606600028776909</v>
      </c>
      <c r="AQ533" s="2">
        <f t="shared" ca="1" si="327"/>
        <v>1.3977765948006535</v>
      </c>
      <c r="AS533" s="2">
        <f t="shared" ca="1" si="328"/>
        <v>8.6946898511579445</v>
      </c>
      <c r="AT533" s="2">
        <f t="shared" ca="1" si="329"/>
        <v>0.40055902286646128</v>
      </c>
      <c r="AU533" s="2">
        <f t="shared" ca="1" si="330"/>
        <v>1.9731122810557713E-4</v>
      </c>
      <c r="AV533" s="2">
        <f t="shared" ca="1" si="331"/>
        <v>0.11609418542040864</v>
      </c>
      <c r="AW533" s="2">
        <f t="shared" ca="1" si="332"/>
        <v>0.70861563186769061</v>
      </c>
      <c r="AX533" s="2">
        <f t="shared" ca="1" si="333"/>
        <v>5.3142671945236919E-2</v>
      </c>
      <c r="AY533" s="9">
        <f t="shared" ca="1" si="334"/>
        <v>0.70861563186769061</v>
      </c>
      <c r="AZ533" s="9">
        <f t="shared" ca="1" si="335"/>
        <v>0.70861563186769061</v>
      </c>
      <c r="BA533" s="9"/>
      <c r="BB533" s="2">
        <f t="shared" ca="1" si="336"/>
        <v>8.7023859690134913</v>
      </c>
      <c r="BC533" s="2">
        <f t="shared" ca="1" si="337"/>
        <v>0.40091788054343808</v>
      </c>
      <c r="BD533" s="2">
        <f t="shared" ca="1" si="338"/>
        <v>1.6396774725682223E-4</v>
      </c>
      <c r="BE533" s="2">
        <f t="shared" ca="1" si="339"/>
        <v>0.11590203254051226</v>
      </c>
      <c r="BF533" s="2">
        <f t="shared" ca="1" si="340"/>
        <v>0.70779987780793896</v>
      </c>
      <c r="BG533" s="2">
        <f t="shared" ca="1" si="341"/>
        <v>5.2369589233964224E-2</v>
      </c>
      <c r="BH533" s="2">
        <f t="shared" ca="1" si="342"/>
        <v>0.70779987780793896</v>
      </c>
      <c r="BI533" s="2">
        <f t="shared" ca="1" si="343"/>
        <v>0.70779987780793896</v>
      </c>
    </row>
    <row r="534" spans="1:61" ht="15" x14ac:dyDescent="0.25">
      <c r="A534" s="66">
        <v>468</v>
      </c>
      <c r="B534" s="66">
        <v>1498730366.0569999</v>
      </c>
      <c r="C534" s="67">
        <v>1.01342835982937E-4</v>
      </c>
      <c r="D534" s="67">
        <v>-1.0376003354526099E-5</v>
      </c>
      <c r="E534" s="67">
        <v>8.8483811368024901E-3</v>
      </c>
      <c r="F534" s="67">
        <v>4.84239684616062E-4</v>
      </c>
      <c r="G534" s="67">
        <v>2.51520395683622E-5</v>
      </c>
      <c r="H534" s="67">
        <v>0.15657813157162001</v>
      </c>
      <c r="I534" s="67">
        <v>-1.0376003354526099E-5</v>
      </c>
      <c r="J534" s="67">
        <v>0.113316220314286</v>
      </c>
      <c r="K534" s="67">
        <v>1.3601575041866101</v>
      </c>
      <c r="L534" s="67"/>
      <c r="M534" s="67"/>
      <c r="N534" s="16"/>
      <c r="O534" s="11">
        <f t="shared" ca="1" si="301"/>
        <v>8.8538905272976981E-5</v>
      </c>
      <c r="P534" s="11">
        <f t="shared" ca="1" si="302"/>
        <v>-1.114110358483084E-5</v>
      </c>
      <c r="Q534" s="11">
        <f t="shared" ca="1" si="303"/>
        <v>8.0118895245342055E-3</v>
      </c>
      <c r="R534" s="11">
        <f t="shared" ca="1" si="304"/>
        <v>4.7259319696971489E-4</v>
      </c>
      <c r="S534" s="11">
        <f t="shared" ca="1" si="305"/>
        <v>1.4224387521392078E-5</v>
      </c>
      <c r="T534" s="11">
        <f t="shared" ca="1" si="306"/>
        <v>0.15543957653303772</v>
      </c>
      <c r="U534" s="11">
        <f t="shared" ca="1" si="307"/>
        <v>-1.114110358483084E-5</v>
      </c>
      <c r="V534" s="11">
        <f t="shared" ca="1" si="308"/>
        <v>0.11266602430859222</v>
      </c>
      <c r="W534" s="11">
        <f t="shared" ca="1" si="309"/>
        <v>1.353034655923105</v>
      </c>
      <c r="X534" s="11"/>
      <c r="Y534" s="2">
        <f t="shared" ca="1" si="310"/>
        <v>8.8538905272976981E-5</v>
      </c>
      <c r="Z534" s="11">
        <f t="shared" ca="1" si="311"/>
        <v>-1.114110358483084E-5</v>
      </c>
      <c r="AA534" s="2">
        <f t="shared" ca="1" si="312"/>
        <v>8.0118895245342055E-3</v>
      </c>
      <c r="AB534" s="2">
        <f t="shared" ca="1" si="313"/>
        <v>4.7259319696971489E-4</v>
      </c>
      <c r="AC534" s="2">
        <f t="shared" ca="1" si="314"/>
        <v>1.4224387521392078E-5</v>
      </c>
      <c r="AD534" s="2">
        <f t="shared" ca="1" si="315"/>
        <v>0.15543957653303772</v>
      </c>
      <c r="AE534" s="2">
        <f t="shared" ca="1" si="316"/>
        <v>-1.114110358483084E-5</v>
      </c>
      <c r="AF534" s="2">
        <f t="shared" ca="1" si="317"/>
        <v>0.11266602430859222</v>
      </c>
      <c r="AG534" s="2">
        <f t="shared" ca="1" si="318"/>
        <v>1.353034655923105</v>
      </c>
      <c r="AI534" s="2">
        <f t="shared" ca="1" si="319"/>
        <v>8.8538905272976981E-5</v>
      </c>
      <c r="AJ534" s="11">
        <f t="shared" ca="1" si="320"/>
        <v>-1.114110358483084E-5</v>
      </c>
      <c r="AK534" s="2">
        <f t="shared" ca="1" si="321"/>
        <v>8.0118895245342055E-3</v>
      </c>
      <c r="AL534" s="2">
        <f t="shared" ca="1" si="322"/>
        <v>4.7259319696971489E-4</v>
      </c>
      <c r="AM534" s="2">
        <f t="shared" ca="1" si="323"/>
        <v>1.4224387521392078E-5</v>
      </c>
      <c r="AN534" s="2">
        <f t="shared" ca="1" si="324"/>
        <v>0.15543957653303772</v>
      </c>
      <c r="AO534" s="2">
        <f t="shared" ca="1" si="325"/>
        <v>-1.114110358483084E-5</v>
      </c>
      <c r="AP534" s="2">
        <f t="shared" ca="1" si="326"/>
        <v>0.11266602430859222</v>
      </c>
      <c r="AQ534" s="2">
        <f t="shared" ca="1" si="327"/>
        <v>1.353034655923105</v>
      </c>
      <c r="AS534" s="2">
        <f t="shared" ca="1" si="328"/>
        <v>8.7045698791872734</v>
      </c>
      <c r="AT534" s="2">
        <f t="shared" ca="1" si="329"/>
        <v>0.40101971348615784</v>
      </c>
      <c r="AU534" s="2">
        <f t="shared" ca="1" si="330"/>
        <v>1.8951918844430243E-4</v>
      </c>
      <c r="AV534" s="2">
        <f t="shared" ca="1" si="331"/>
        <v>0.11247650512014792</v>
      </c>
      <c r="AW534" s="2">
        <f t="shared" ca="1" si="332"/>
        <v>0.70968264370825707</v>
      </c>
      <c r="AX534" s="2">
        <f t="shared" ca="1" si="333"/>
        <v>5.361847952039369E-2</v>
      </c>
      <c r="AY534" s="9" t="str">
        <f t="shared" ca="1" si="334"/>
        <v>rejected</v>
      </c>
      <c r="AZ534" s="9" t="e">
        <f t="shared" ca="1" si="335"/>
        <v>#N/A</v>
      </c>
      <c r="BA534" s="9"/>
      <c r="BB534" s="2">
        <f t="shared" ca="1" si="336"/>
        <v>8.7045698791872734</v>
      </c>
      <c r="BC534" s="2">
        <f t="shared" ca="1" si="337"/>
        <v>0.40101971348615784</v>
      </c>
      <c r="BD534" s="2">
        <f t="shared" ca="1" si="338"/>
        <v>1.8951918844430243E-4</v>
      </c>
      <c r="BE534" s="2">
        <f t="shared" ca="1" si="339"/>
        <v>0.11247650512014792</v>
      </c>
      <c r="BF534" s="2">
        <f t="shared" ca="1" si="340"/>
        <v>0.70968264370825707</v>
      </c>
      <c r="BG534" s="2">
        <f t="shared" ca="1" si="341"/>
        <v>5.361847952039369E-2</v>
      </c>
      <c r="BH534" s="2" t="str">
        <f t="shared" ca="1" si="342"/>
        <v>rejected</v>
      </c>
      <c r="BI534" s="2" t="e">
        <f t="shared" ca="1" si="343"/>
        <v>#N/A</v>
      </c>
    </row>
    <row r="535" spans="1:61" ht="15" x14ac:dyDescent="0.25">
      <c r="A535" s="66">
        <v>469</v>
      </c>
      <c r="B535" s="66">
        <v>1498730366.5840001</v>
      </c>
      <c r="C535" s="67">
        <v>2.5274852968941601E-5</v>
      </c>
      <c r="D535" s="67">
        <v>3.15859357508544E-6</v>
      </c>
      <c r="E535" s="67">
        <v>8.6209404859411004E-3</v>
      </c>
      <c r="F535" s="67">
        <v>5.1399645365815202E-4</v>
      </c>
      <c r="G535" s="67">
        <v>8.9924979251833798E-5</v>
      </c>
      <c r="H535" s="67">
        <v>0.15439504093506901</v>
      </c>
      <c r="I535" s="67">
        <v>3.15859357508544E-6</v>
      </c>
      <c r="J535" s="67">
        <v>0.111564587913207</v>
      </c>
      <c r="K535" s="67">
        <v>1.3404566418013999</v>
      </c>
      <c r="L535" s="67"/>
      <c r="M535" s="67"/>
      <c r="N535" s="16"/>
      <c r="O535" s="11">
        <f t="shared" ca="1" si="301"/>
        <v>1.2470922258981573E-5</v>
      </c>
      <c r="P535" s="11">
        <f t="shared" ca="1" si="302"/>
        <v>2.3934933447806997E-6</v>
      </c>
      <c r="Q535" s="11">
        <f t="shared" ca="1" si="303"/>
        <v>7.7844488736728166E-3</v>
      </c>
      <c r="R535" s="11">
        <f t="shared" ca="1" si="304"/>
        <v>5.0234996601180486E-4</v>
      </c>
      <c r="S535" s="11">
        <f t="shared" ca="1" si="305"/>
        <v>7.899732720486367E-5</v>
      </c>
      <c r="T535" s="11">
        <f t="shared" ca="1" si="306"/>
        <v>0.15325648589648672</v>
      </c>
      <c r="U535" s="11">
        <f t="shared" ca="1" si="307"/>
        <v>2.3934933447806997E-6</v>
      </c>
      <c r="V535" s="11">
        <f t="shared" ca="1" si="308"/>
        <v>0.11091439190751323</v>
      </c>
      <c r="W535" s="11">
        <f t="shared" ca="1" si="309"/>
        <v>1.3333337935378948</v>
      </c>
      <c r="X535" s="11"/>
      <c r="Y535" s="2">
        <f t="shared" ca="1" si="310"/>
        <v>1.2470922258981573E-5</v>
      </c>
      <c r="Z535" s="11">
        <f t="shared" ca="1" si="311"/>
        <v>2.3934933447806997E-6</v>
      </c>
      <c r="AA535" s="2">
        <f t="shared" ca="1" si="312"/>
        <v>7.7844305616576598E-3</v>
      </c>
      <c r="AB535" s="2">
        <f t="shared" ca="1" si="313"/>
        <v>5.0190673200856725E-4</v>
      </c>
      <c r="AC535" s="2">
        <f t="shared" ca="1" si="314"/>
        <v>7.899732720486367E-5</v>
      </c>
      <c r="AD535" s="2">
        <f t="shared" ca="1" si="315"/>
        <v>0.15325326256563687</v>
      </c>
      <c r="AE535" s="2">
        <f t="shared" ca="1" si="316"/>
        <v>2.3934933447806997E-6</v>
      </c>
      <c r="AF535" s="2">
        <f t="shared" ca="1" si="317"/>
        <v>0.11090963182402776</v>
      </c>
      <c r="AG535" s="2">
        <f t="shared" ca="1" si="318"/>
        <v>1.3333318620067507</v>
      </c>
      <c r="AI535" s="2">
        <f t="shared" ca="1" si="319"/>
        <v>1.2470922258981573E-5</v>
      </c>
      <c r="AJ535" s="11">
        <f t="shared" ca="1" si="320"/>
        <v>2.3934933447806997E-6</v>
      </c>
      <c r="AK535" s="2">
        <f t="shared" ca="1" si="321"/>
        <v>7.7816066823705029E-3</v>
      </c>
      <c r="AL535" s="2">
        <f t="shared" ca="1" si="322"/>
        <v>5.0058503854775982E-4</v>
      </c>
      <c r="AM535" s="2">
        <f t="shared" ca="1" si="323"/>
        <v>7.899732720486367E-5</v>
      </c>
      <c r="AN535" s="2">
        <f t="shared" ca="1" si="324"/>
        <v>0.15325326256563687</v>
      </c>
      <c r="AO535" s="2">
        <f t="shared" ca="1" si="325"/>
        <v>2.3934933447806997E-6</v>
      </c>
      <c r="AP535" s="2">
        <f t="shared" ca="1" si="326"/>
        <v>0.11090963182402776</v>
      </c>
      <c r="AQ535" s="2">
        <f t="shared" ca="1" si="327"/>
        <v>1.3333318620067507</v>
      </c>
      <c r="AS535" s="2">
        <f t="shared" ca="1" si="328"/>
        <v>8.7000154397280252</v>
      </c>
      <c r="AT535" s="2">
        <f t="shared" ca="1" si="329"/>
        <v>0.40080734614065938</v>
      </c>
      <c r="AU535" s="2">
        <f t="shared" ca="1" si="330"/>
        <v>2.0134555671104195E-4</v>
      </c>
      <c r="AV535" s="2">
        <f t="shared" ca="1" si="331"/>
        <v>0.11071304635080219</v>
      </c>
      <c r="AW535" s="2">
        <f t="shared" ca="1" si="332"/>
        <v>0.70869337982724867</v>
      </c>
      <c r="AX535" s="2">
        <f t="shared" ca="1" si="333"/>
        <v>5.2810171358665572E-2</v>
      </c>
      <c r="AY535" s="9">
        <f t="shared" ca="1" si="334"/>
        <v>0.70869337982724867</v>
      </c>
      <c r="AZ535" s="9">
        <f t="shared" ca="1" si="335"/>
        <v>0.70869337982724867</v>
      </c>
      <c r="BA535" s="9"/>
      <c r="BB535" s="2">
        <f t="shared" ca="1" si="336"/>
        <v>8.7001858210731253</v>
      </c>
      <c r="BC535" s="2">
        <f t="shared" ca="1" si="337"/>
        <v>0.40081529076781958</v>
      </c>
      <c r="BD535" s="2">
        <f t="shared" ca="1" si="338"/>
        <v>2.0064213777954052E-4</v>
      </c>
      <c r="BE535" s="2">
        <f t="shared" ca="1" si="339"/>
        <v>0.11070898968624822</v>
      </c>
      <c r="BF535" s="2">
        <f t="shared" ca="1" si="340"/>
        <v>0.70867532841348879</v>
      </c>
      <c r="BG535" s="2">
        <f t="shared" ca="1" si="341"/>
        <v>5.2793058014908807E-2</v>
      </c>
      <c r="BH535" s="2">
        <f t="shared" ca="1" si="342"/>
        <v>0.70867532841348879</v>
      </c>
      <c r="BI535" s="2">
        <f t="shared" ca="1" si="343"/>
        <v>0.70867532841348879</v>
      </c>
    </row>
    <row r="536" spans="1:61" ht="15" x14ac:dyDescent="0.25">
      <c r="A536" s="66">
        <v>470</v>
      </c>
      <c r="B536" s="66">
        <v>1498730367.1110001</v>
      </c>
      <c r="C536" s="67">
        <v>5.1957682297995899E-6</v>
      </c>
      <c r="D536" s="67">
        <v>-3.8903623090788197E-5</v>
      </c>
      <c r="E536" s="67">
        <v>8.6735886784612606E-3</v>
      </c>
      <c r="F536" s="67">
        <v>5.0328391468326401E-4</v>
      </c>
      <c r="G536" s="67">
        <v>-7.5951419437885001E-6</v>
      </c>
      <c r="H536" s="67">
        <v>0.15500752529527201</v>
      </c>
      <c r="I536" s="67">
        <v>-3.8903623090788197E-5</v>
      </c>
      <c r="J536" s="67">
        <v>0.11210916688294</v>
      </c>
      <c r="K536" s="67">
        <v>1.34490836312623</v>
      </c>
      <c r="L536" s="67"/>
      <c r="M536" s="67"/>
      <c r="N536" s="16"/>
      <c r="O536" s="11">
        <f t="shared" ca="1" si="301"/>
        <v>-7.6081624801604379E-6</v>
      </c>
      <c r="P536" s="11">
        <f t="shared" ca="1" si="302"/>
        <v>-3.9668723321092936E-5</v>
      </c>
      <c r="Q536" s="11">
        <f t="shared" ca="1" si="303"/>
        <v>7.8370970661929759E-3</v>
      </c>
      <c r="R536" s="11">
        <f t="shared" ca="1" si="304"/>
        <v>4.9163742703691685E-4</v>
      </c>
      <c r="S536" s="11">
        <f t="shared" ca="1" si="305"/>
        <v>-1.8522793990758622E-5</v>
      </c>
      <c r="T536" s="11">
        <f t="shared" ca="1" si="306"/>
        <v>0.15386897025668972</v>
      </c>
      <c r="U536" s="11">
        <f t="shared" ca="1" si="307"/>
        <v>-3.9668723321092936E-5</v>
      </c>
      <c r="V536" s="11">
        <f t="shared" ca="1" si="308"/>
        <v>0.11145897087724622</v>
      </c>
      <c r="W536" s="11">
        <f t="shared" ca="1" si="309"/>
        <v>1.3377855148627249</v>
      </c>
      <c r="X536" s="11"/>
      <c r="Y536" s="2">
        <f t="shared" ca="1" si="310"/>
        <v>-7.6081624801604379E-6</v>
      </c>
      <c r="Z536" s="11">
        <f t="shared" ca="1" si="311"/>
        <v>-3.9668723321092936E-5</v>
      </c>
      <c r="AA536" s="2">
        <f t="shared" ca="1" si="312"/>
        <v>7.8370970661929759E-3</v>
      </c>
      <c r="AB536" s="2">
        <f t="shared" ca="1" si="313"/>
        <v>4.9163742703691685E-4</v>
      </c>
      <c r="AC536" s="2">
        <f t="shared" ca="1" si="314"/>
        <v>-1.8522793990758622E-5</v>
      </c>
      <c r="AD536" s="2">
        <f t="shared" ca="1" si="315"/>
        <v>0.15386897025668972</v>
      </c>
      <c r="AE536" s="2">
        <f t="shared" ca="1" si="316"/>
        <v>-3.9668723321092936E-5</v>
      </c>
      <c r="AF536" s="2">
        <f t="shared" ca="1" si="317"/>
        <v>0.11145897087724622</v>
      </c>
      <c r="AG536" s="2">
        <f t="shared" ca="1" si="318"/>
        <v>1.3377855148627249</v>
      </c>
      <c r="AI536" s="2">
        <f t="shared" ca="1" si="319"/>
        <v>-7.6081624801604379E-6</v>
      </c>
      <c r="AJ536" s="11">
        <f t="shared" ca="1" si="320"/>
        <v>-3.9668723321092936E-5</v>
      </c>
      <c r="AK536" s="2">
        <f t="shared" ca="1" si="321"/>
        <v>7.8370970661929759E-3</v>
      </c>
      <c r="AL536" s="2">
        <f t="shared" ca="1" si="322"/>
        <v>4.9163742703691685E-4</v>
      </c>
      <c r="AM536" s="2">
        <f t="shared" ca="1" si="323"/>
        <v>-1.8522793990758622E-5</v>
      </c>
      <c r="AN536" s="2">
        <f t="shared" ca="1" si="324"/>
        <v>0.15386897025668972</v>
      </c>
      <c r="AO536" s="2">
        <f t="shared" ca="1" si="325"/>
        <v>-3.9668723321092936E-5</v>
      </c>
      <c r="AP536" s="2">
        <f t="shared" ca="1" si="326"/>
        <v>0.11145897087724622</v>
      </c>
      <c r="AQ536" s="2">
        <f t="shared" ca="1" si="327"/>
        <v>1.3377855148627249</v>
      </c>
      <c r="AS536" s="2">
        <f t="shared" ca="1" si="328"/>
        <v>8.6943164215044995</v>
      </c>
      <c r="AT536" s="2">
        <f t="shared" ca="1" si="329"/>
        <v>0.40054161053644888</v>
      </c>
      <c r="AU536" s="2">
        <f t="shared" ca="1" si="330"/>
        <v>1.9692124682536255E-4</v>
      </c>
      <c r="AV536" s="2">
        <f t="shared" ca="1" si="331"/>
        <v>0.11126204963042086</v>
      </c>
      <c r="AW536" s="2">
        <f t="shared" ca="1" si="332"/>
        <v>0.7096067863446357</v>
      </c>
      <c r="AX536" s="2">
        <f t="shared" ca="1" si="333"/>
        <v>5.2920208850818364E-2</v>
      </c>
      <c r="AY536" s="9" t="str">
        <f t="shared" ca="1" si="334"/>
        <v>rejected</v>
      </c>
      <c r="AZ536" s="9" t="e">
        <f t="shared" ca="1" si="335"/>
        <v>#N/A</v>
      </c>
      <c r="BA536" s="9"/>
      <c r="BB536" s="2">
        <f t="shared" ca="1" si="336"/>
        <v>8.6943164215044995</v>
      </c>
      <c r="BC536" s="2">
        <f t="shared" ca="1" si="337"/>
        <v>0.40054161053644888</v>
      </c>
      <c r="BD536" s="2">
        <f t="shared" ca="1" si="338"/>
        <v>1.9692124682536255E-4</v>
      </c>
      <c r="BE536" s="2">
        <f t="shared" ca="1" si="339"/>
        <v>0.11126204963042086</v>
      </c>
      <c r="BF536" s="2">
        <f t="shared" ca="1" si="340"/>
        <v>0.7096067863446357</v>
      </c>
      <c r="BG536" s="2">
        <f t="shared" ca="1" si="341"/>
        <v>5.2920208850818364E-2</v>
      </c>
      <c r="BH536" s="2" t="str">
        <f t="shared" ca="1" si="342"/>
        <v>rejected</v>
      </c>
      <c r="BI536" s="2" t="e">
        <f t="shared" ca="1" si="343"/>
        <v>#N/A</v>
      </c>
    </row>
    <row r="537" spans="1:61" ht="15" x14ac:dyDescent="0.25">
      <c r="A537" s="66">
        <v>471</v>
      </c>
      <c r="B537" s="66">
        <v>1498730367.638</v>
      </c>
      <c r="C537" s="67">
        <v>7.7718614437095703E-5</v>
      </c>
      <c r="D537" s="67">
        <v>-2.22084045789382E-5</v>
      </c>
      <c r="E537" s="67">
        <v>9.6672069755917509E-3</v>
      </c>
      <c r="F537" s="67">
        <v>5.7827410020209102E-4</v>
      </c>
      <c r="G537" s="67">
        <v>-2.91773969684325E-5</v>
      </c>
      <c r="H537" s="67">
        <v>0.17255121107701499</v>
      </c>
      <c r="I537" s="67">
        <v>-2.22084045789382E-5</v>
      </c>
      <c r="J537" s="67">
        <v>0.12458994541148601</v>
      </c>
      <c r="K537" s="67">
        <v>1.4948055091402399</v>
      </c>
      <c r="L537" s="67"/>
      <c r="M537" s="67"/>
      <c r="N537" s="16"/>
      <c r="O537" s="11">
        <f t="shared" ca="1" si="301"/>
        <v>6.4914683727135681E-5</v>
      </c>
      <c r="P537" s="11">
        <f t="shared" ca="1" si="302"/>
        <v>-2.2973504809242942E-5</v>
      </c>
      <c r="Q537" s="11">
        <f t="shared" ca="1" si="303"/>
        <v>8.8307153633234662E-3</v>
      </c>
      <c r="R537" s="11">
        <f t="shared" ca="1" si="304"/>
        <v>5.6662761255574386E-4</v>
      </c>
      <c r="S537" s="11">
        <f t="shared" ca="1" si="305"/>
        <v>-4.010504901540262E-5</v>
      </c>
      <c r="T537" s="11">
        <f t="shared" ca="1" si="306"/>
        <v>0.1714126560384327</v>
      </c>
      <c r="U537" s="11">
        <f t="shared" ca="1" si="307"/>
        <v>-2.2973504809242942E-5</v>
      </c>
      <c r="V537" s="11">
        <f t="shared" ca="1" si="308"/>
        <v>0.12393974940579223</v>
      </c>
      <c r="W537" s="11">
        <f t="shared" ca="1" si="309"/>
        <v>1.4876826608767348</v>
      </c>
      <c r="X537" s="11"/>
      <c r="Y537" s="2">
        <f t="shared" ca="1" si="310"/>
        <v>6.4914683727135681E-5</v>
      </c>
      <c r="Z537" s="11">
        <f t="shared" ca="1" si="311"/>
        <v>-2.2973504809242942E-5</v>
      </c>
      <c r="AA537" s="2">
        <f t="shared" ca="1" si="312"/>
        <v>8.8307153633234662E-3</v>
      </c>
      <c r="AB537" s="2">
        <f t="shared" ca="1" si="313"/>
        <v>5.6662761255574386E-4</v>
      </c>
      <c r="AC537" s="2">
        <f t="shared" ca="1" si="314"/>
        <v>-4.010504901540262E-5</v>
      </c>
      <c r="AD537" s="2">
        <f t="shared" ca="1" si="315"/>
        <v>0.1714126560384327</v>
      </c>
      <c r="AE537" s="2">
        <f t="shared" ca="1" si="316"/>
        <v>-2.2973504809242942E-5</v>
      </c>
      <c r="AF537" s="2">
        <f t="shared" ca="1" si="317"/>
        <v>0.12393974940579223</v>
      </c>
      <c r="AG537" s="2">
        <f t="shared" ca="1" si="318"/>
        <v>1.4876826608767348</v>
      </c>
      <c r="AI537" s="2">
        <f t="shared" ca="1" si="319"/>
        <v>6.4914683727135681E-5</v>
      </c>
      <c r="AJ537" s="11">
        <f t="shared" ca="1" si="320"/>
        <v>-2.2973504809242942E-5</v>
      </c>
      <c r="AK537" s="2">
        <f t="shared" ca="1" si="321"/>
        <v>8.8307153633234662E-3</v>
      </c>
      <c r="AL537" s="2">
        <f t="shared" ca="1" si="322"/>
        <v>5.6662761255574386E-4</v>
      </c>
      <c r="AM537" s="2">
        <f t="shared" ca="1" si="323"/>
        <v>-4.010504901540262E-5</v>
      </c>
      <c r="AN537" s="2">
        <f t="shared" ca="1" si="324"/>
        <v>0.1714126560384327</v>
      </c>
      <c r="AO537" s="2">
        <f t="shared" ca="1" si="325"/>
        <v>-2.2973504809242942E-5</v>
      </c>
      <c r="AP537" s="2">
        <f t="shared" ca="1" si="326"/>
        <v>0.12393974940579223</v>
      </c>
      <c r="AQ537" s="2">
        <f t="shared" ca="1" si="327"/>
        <v>1.4876826608767348</v>
      </c>
      <c r="AS537" s="2">
        <f t="shared" ca="1" si="328"/>
        <v>8.6789546073142887</v>
      </c>
      <c r="AT537" s="2">
        <f t="shared" ca="1" si="329"/>
        <v>0.39982532558599843</v>
      </c>
      <c r="AU537" s="2">
        <f t="shared" ca="1" si="330"/>
        <v>2.2655206967611726E-4</v>
      </c>
      <c r="AV537" s="2">
        <f t="shared" ca="1" si="331"/>
        <v>0.12371319733611612</v>
      </c>
      <c r="AW537" s="2">
        <f t="shared" ca="1" si="332"/>
        <v>0.70889460405634841</v>
      </c>
      <c r="AX537" s="2">
        <f t="shared" ca="1" si="333"/>
        <v>5.3429915996955568E-2</v>
      </c>
      <c r="AY537" s="9">
        <f t="shared" ca="1" si="334"/>
        <v>0.70889460405634841</v>
      </c>
      <c r="AZ537" s="9">
        <f t="shared" ca="1" si="335"/>
        <v>0.70889460405634841</v>
      </c>
      <c r="BA537" s="9"/>
      <c r="BB537" s="2">
        <f t="shared" ca="1" si="336"/>
        <v>8.6789546073142887</v>
      </c>
      <c r="BC537" s="2">
        <f t="shared" ca="1" si="337"/>
        <v>0.39982532558599843</v>
      </c>
      <c r="BD537" s="2">
        <f t="shared" ca="1" si="338"/>
        <v>2.2655206967611726E-4</v>
      </c>
      <c r="BE537" s="2">
        <f t="shared" ca="1" si="339"/>
        <v>0.12371319733611612</v>
      </c>
      <c r="BF537" s="2">
        <f t="shared" ca="1" si="340"/>
        <v>0.70889460405634841</v>
      </c>
      <c r="BG537" s="2">
        <f t="shared" ca="1" si="341"/>
        <v>5.3429915996955568E-2</v>
      </c>
      <c r="BH537" s="2">
        <f t="shared" ca="1" si="342"/>
        <v>0.70889460405634841</v>
      </c>
      <c r="BI537" s="2">
        <f t="shared" ca="1" si="343"/>
        <v>0.70889460405634841</v>
      </c>
    </row>
    <row r="538" spans="1:61" ht="15" x14ac:dyDescent="0.25">
      <c r="A538" s="66">
        <v>472</v>
      </c>
      <c r="B538" s="66">
        <v>1498730368.165</v>
      </c>
      <c r="C538" s="67">
        <v>-1.2991409361979699E-4</v>
      </c>
      <c r="D538" s="67">
        <v>-6.9571105286132096E-5</v>
      </c>
      <c r="E538" s="67">
        <v>1.04570742731436E-2</v>
      </c>
      <c r="F538" s="67">
        <v>7.2350919791369704E-4</v>
      </c>
      <c r="G538" s="67">
        <v>-1.2606448462422999E-4</v>
      </c>
      <c r="H538" s="67">
        <v>0.19003114540670901</v>
      </c>
      <c r="I538" s="67">
        <v>-6.9571105286132096E-5</v>
      </c>
      <c r="J538" s="67">
        <v>0.13738204574674201</v>
      </c>
      <c r="K538" s="67">
        <v>1.6483654438853701</v>
      </c>
      <c r="L538" s="67"/>
      <c r="M538" s="67"/>
      <c r="N538" s="16"/>
      <c r="O538" s="11">
        <f t="shared" ca="1" si="301"/>
        <v>-1.4271802432975702E-4</v>
      </c>
      <c r="P538" s="11">
        <f t="shared" ca="1" si="302"/>
        <v>-7.0336205516436835E-5</v>
      </c>
      <c r="Q538" s="11">
        <f t="shared" ca="1" si="303"/>
        <v>9.6205826608753153E-3</v>
      </c>
      <c r="R538" s="11">
        <f t="shared" ca="1" si="304"/>
        <v>7.1186271026734988E-4</v>
      </c>
      <c r="S538" s="11">
        <f t="shared" ca="1" si="305"/>
        <v>-1.3699213667120011E-4</v>
      </c>
      <c r="T538" s="11">
        <f t="shared" ca="1" si="306"/>
        <v>0.18889259036812672</v>
      </c>
      <c r="U538" s="11">
        <f t="shared" ca="1" si="307"/>
        <v>-7.0336205516436835E-5</v>
      </c>
      <c r="V538" s="11">
        <f t="shared" ca="1" si="308"/>
        <v>0.13673184974104824</v>
      </c>
      <c r="W538" s="11">
        <f t="shared" ca="1" si="309"/>
        <v>1.641242595621865</v>
      </c>
      <c r="X538" s="11"/>
      <c r="Y538" s="2">
        <f t="shared" ca="1" si="310"/>
        <v>-1.4271802432975702E-4</v>
      </c>
      <c r="Z538" s="11">
        <f t="shared" ca="1" si="311"/>
        <v>-7.0336205516436835E-5</v>
      </c>
      <c r="AA538" s="2">
        <f t="shared" ca="1" si="312"/>
        <v>9.6205826608753153E-3</v>
      </c>
      <c r="AB538" s="2">
        <f t="shared" ca="1" si="313"/>
        <v>7.1186271026734988E-4</v>
      </c>
      <c r="AC538" s="2">
        <f t="shared" ca="1" si="314"/>
        <v>-1.3699213667120011E-4</v>
      </c>
      <c r="AD538" s="2">
        <f t="shared" ca="1" si="315"/>
        <v>0.18889259036812672</v>
      </c>
      <c r="AE538" s="2">
        <f t="shared" ca="1" si="316"/>
        <v>-7.0336205516436835E-5</v>
      </c>
      <c r="AF538" s="2">
        <f t="shared" ca="1" si="317"/>
        <v>0.13673184974104824</v>
      </c>
      <c r="AG538" s="2">
        <f t="shared" ca="1" si="318"/>
        <v>1.641242595621865</v>
      </c>
      <c r="AI538" s="2">
        <f t="shared" ca="1" si="319"/>
        <v>-1.4271802432975702E-4</v>
      </c>
      <c r="AJ538" s="11">
        <f t="shared" ca="1" si="320"/>
        <v>-7.0336205516436835E-5</v>
      </c>
      <c r="AK538" s="2">
        <f t="shared" ca="1" si="321"/>
        <v>9.6205826608753153E-3</v>
      </c>
      <c r="AL538" s="2">
        <f t="shared" ca="1" si="322"/>
        <v>7.1186271026734988E-4</v>
      </c>
      <c r="AM538" s="2">
        <f t="shared" ca="1" si="323"/>
        <v>-1.3699213667120011E-4</v>
      </c>
      <c r="AN538" s="2">
        <f t="shared" ca="1" si="324"/>
        <v>0.18889259036812672</v>
      </c>
      <c r="AO538" s="2">
        <f t="shared" ca="1" si="325"/>
        <v>-7.0336205516436835E-5</v>
      </c>
      <c r="AP538" s="2">
        <f t="shared" ca="1" si="326"/>
        <v>0.13673184974104824</v>
      </c>
      <c r="AQ538" s="2">
        <f t="shared" ca="1" si="327"/>
        <v>1.641242595621865</v>
      </c>
      <c r="AS538" s="2">
        <f t="shared" ca="1" si="328"/>
        <v>8.6887611230451114</v>
      </c>
      <c r="AT538" s="2">
        <f t="shared" ca="1" si="329"/>
        <v>0.40028257837575776</v>
      </c>
      <c r="AU538" s="2">
        <f t="shared" ca="1" si="330"/>
        <v>2.8494624111536981E-4</v>
      </c>
      <c r="AV538" s="2">
        <f t="shared" ca="1" si="331"/>
        <v>0.13644690349993288</v>
      </c>
      <c r="AW538" s="2">
        <f t="shared" ca="1" si="332"/>
        <v>0.70910460073264359</v>
      </c>
      <c r="AX538" s="2">
        <f t="shared" ca="1" si="333"/>
        <v>5.2883450732354439E-2</v>
      </c>
      <c r="AY538" s="9">
        <f t="shared" ca="1" si="334"/>
        <v>0.70910460073264359</v>
      </c>
      <c r="AZ538" s="9">
        <f t="shared" ca="1" si="335"/>
        <v>0.70910460073264359</v>
      </c>
      <c r="BA538" s="9"/>
      <c r="BB538" s="2">
        <f t="shared" ca="1" si="336"/>
        <v>8.6887611230451114</v>
      </c>
      <c r="BC538" s="2">
        <f t="shared" ca="1" si="337"/>
        <v>0.40028257837575776</v>
      </c>
      <c r="BD538" s="2">
        <f t="shared" ca="1" si="338"/>
        <v>2.8494624111536981E-4</v>
      </c>
      <c r="BE538" s="2">
        <f t="shared" ca="1" si="339"/>
        <v>0.13644690349993288</v>
      </c>
      <c r="BF538" s="2">
        <f t="shared" ca="1" si="340"/>
        <v>0.70910460073264359</v>
      </c>
      <c r="BG538" s="2">
        <f t="shared" ca="1" si="341"/>
        <v>5.2883450732354439E-2</v>
      </c>
      <c r="BH538" s="2">
        <f t="shared" ca="1" si="342"/>
        <v>0.70910460073264359</v>
      </c>
      <c r="BI538" s="2">
        <f t="shared" ca="1" si="343"/>
        <v>0.70910460073264359</v>
      </c>
    </row>
    <row r="539" spans="1:61" ht="15" x14ac:dyDescent="0.25">
      <c r="A539" s="66">
        <v>473</v>
      </c>
      <c r="B539" s="66">
        <v>1498730368.6919999</v>
      </c>
      <c r="C539" s="67">
        <v>4.9595461219584902E-6</v>
      </c>
      <c r="D539" s="67">
        <v>2.1940020557732799E-5</v>
      </c>
      <c r="E539" s="67">
        <v>1.10035650607315E-2</v>
      </c>
      <c r="F539" s="67">
        <v>7.3755764699667001E-4</v>
      </c>
      <c r="G539" s="67">
        <v>6.0218376267573697E-5</v>
      </c>
      <c r="H539" s="67">
        <v>0.20088899070993799</v>
      </c>
      <c r="I539" s="67">
        <v>2.1940020557732799E-5</v>
      </c>
      <c r="J539" s="67">
        <v>0.14508016879049701</v>
      </c>
      <c r="K539" s="67">
        <v>1.7428092870095799</v>
      </c>
      <c r="L539" s="67"/>
      <c r="M539" s="67"/>
      <c r="N539" s="16"/>
      <c r="O539" s="11">
        <f t="shared" ca="1" si="301"/>
        <v>-7.8443845880015376E-6</v>
      </c>
      <c r="P539" s="11">
        <f t="shared" ca="1" si="302"/>
        <v>2.1174920327428057E-5</v>
      </c>
      <c r="Q539" s="11">
        <f t="shared" ca="1" si="303"/>
        <v>1.0167073448463215E-2</v>
      </c>
      <c r="R539" s="11">
        <f t="shared" ca="1" si="304"/>
        <v>7.2591115935032285E-4</v>
      </c>
      <c r="S539" s="11">
        <f t="shared" ca="1" si="305"/>
        <v>4.9290724220603576E-5</v>
      </c>
      <c r="T539" s="11">
        <f t="shared" ca="1" si="306"/>
        <v>0.1997504356713557</v>
      </c>
      <c r="U539" s="11">
        <f t="shared" ca="1" si="307"/>
        <v>2.1174920327428057E-5</v>
      </c>
      <c r="V539" s="11">
        <f t="shared" ca="1" si="308"/>
        <v>0.14442997278480324</v>
      </c>
      <c r="W539" s="11">
        <f t="shared" ca="1" si="309"/>
        <v>1.7356864387460749</v>
      </c>
      <c r="X539" s="11"/>
      <c r="Y539" s="2">
        <f t="shared" ca="1" si="310"/>
        <v>-7.8443845880015376E-6</v>
      </c>
      <c r="Z539" s="11">
        <f t="shared" ca="1" si="311"/>
        <v>2.1174920327428057E-5</v>
      </c>
      <c r="AA539" s="2">
        <f t="shared" ca="1" si="312"/>
        <v>1.0166911444477353E-2</v>
      </c>
      <c r="AB539" s="2">
        <f t="shared" ca="1" si="313"/>
        <v>7.2198992651070347E-4</v>
      </c>
      <c r="AC539" s="2">
        <f t="shared" ca="1" si="314"/>
        <v>4.9290724220603576E-5</v>
      </c>
      <c r="AD539" s="2">
        <f t="shared" ca="1" si="315"/>
        <v>0.19972191928793517</v>
      </c>
      <c r="AE539" s="2">
        <f t="shared" ca="1" si="316"/>
        <v>2.1174920327428057E-5</v>
      </c>
      <c r="AF539" s="2">
        <f t="shared" ca="1" si="317"/>
        <v>0.14438786095325098</v>
      </c>
      <c r="AG539" s="2">
        <f t="shared" ca="1" si="318"/>
        <v>1.7356693507444816</v>
      </c>
      <c r="AI539" s="2">
        <f t="shared" ca="1" si="319"/>
        <v>-7.8443845880015376E-6</v>
      </c>
      <c r="AJ539" s="11">
        <f t="shared" ca="1" si="320"/>
        <v>2.1174920327428057E-5</v>
      </c>
      <c r="AK539" s="2">
        <f t="shared" ca="1" si="321"/>
        <v>1.0141928956412274E-2</v>
      </c>
      <c r="AL539" s="2">
        <f t="shared" ca="1" si="322"/>
        <v>7.1029707856905017E-4</v>
      </c>
      <c r="AM539" s="2">
        <f t="shared" ca="1" si="323"/>
        <v>4.9290724220603576E-5</v>
      </c>
      <c r="AN539" s="2">
        <f t="shared" ca="1" si="324"/>
        <v>0.19972191928793517</v>
      </c>
      <c r="AO539" s="2">
        <f t="shared" ca="1" si="325"/>
        <v>2.1174920327428057E-5</v>
      </c>
      <c r="AP539" s="2">
        <f t="shared" ca="1" si="326"/>
        <v>0.14438786095325098</v>
      </c>
      <c r="AQ539" s="2">
        <f t="shared" ca="1" si="327"/>
        <v>1.7356693507444816</v>
      </c>
      <c r="AS539" s="2">
        <f t="shared" ca="1" si="328"/>
        <v>8.6892748589632891</v>
      </c>
      <c r="AT539" s="2">
        <f t="shared" ca="1" si="329"/>
        <v>0.40030653274251798</v>
      </c>
      <c r="AU539" s="2">
        <f t="shared" ca="1" si="330"/>
        <v>2.9058697927862923E-4</v>
      </c>
      <c r="AV539" s="2">
        <f t="shared" ca="1" si="331"/>
        <v>0.1441393858055246</v>
      </c>
      <c r="AW539" s="2">
        <f t="shared" ca="1" si="332"/>
        <v>0.70834289487083191</v>
      </c>
      <c r="AX539" s="2">
        <f t="shared" ca="1" si="333"/>
        <v>5.2852779678896143E-2</v>
      </c>
      <c r="AY539" s="9">
        <f t="shared" ca="1" si="334"/>
        <v>0.70834289487083191</v>
      </c>
      <c r="AZ539" s="9">
        <f t="shared" ca="1" si="335"/>
        <v>0.70834289487083191</v>
      </c>
      <c r="BA539" s="9"/>
      <c r="BB539" s="2">
        <f t="shared" ca="1" si="336"/>
        <v>8.6904299584774218</v>
      </c>
      <c r="BC539" s="2">
        <f t="shared" ca="1" si="337"/>
        <v>0.40036039253439415</v>
      </c>
      <c r="BD539" s="2">
        <f t="shared" ca="1" si="338"/>
        <v>2.843748171919383E-4</v>
      </c>
      <c r="BE539" s="2">
        <f t="shared" ca="1" si="339"/>
        <v>0.14410348613605906</v>
      </c>
      <c r="BF539" s="2">
        <f t="shared" ca="1" si="340"/>
        <v>0.708220175786754</v>
      </c>
      <c r="BG539" s="2">
        <f t="shared" ca="1" si="341"/>
        <v>5.2736768115093639E-2</v>
      </c>
      <c r="BH539" s="2">
        <f t="shared" ca="1" si="342"/>
        <v>0.708220175786754</v>
      </c>
      <c r="BI539" s="2">
        <f t="shared" ca="1" si="343"/>
        <v>0.708220175786754</v>
      </c>
    </row>
    <row r="540" spans="1:61" ht="15" x14ac:dyDescent="0.25">
      <c r="A540" s="66">
        <v>474</v>
      </c>
      <c r="B540" s="66">
        <v>1498730369.2190001</v>
      </c>
      <c r="C540" s="67">
        <v>5.3150020701023602E-5</v>
      </c>
      <c r="D540" s="67">
        <v>-3.2410060240444601E-5</v>
      </c>
      <c r="E540" s="67">
        <v>1.1633889950962199E-2</v>
      </c>
      <c r="F540" s="67">
        <v>8.1637549071364196E-4</v>
      </c>
      <c r="G540" s="67">
        <v>-5.0260852062164697E-5</v>
      </c>
      <c r="H540" s="67">
        <v>0.21361176079383301</v>
      </c>
      <c r="I540" s="67">
        <v>-3.2410060240444601E-5</v>
      </c>
      <c r="J540" s="67">
        <v>0.154229795424079</v>
      </c>
      <c r="K540" s="67">
        <v>1.8525384027859999</v>
      </c>
      <c r="L540" s="67"/>
      <c r="M540" s="67"/>
      <c r="N540" s="16"/>
      <c r="O540" s="11">
        <f t="shared" ca="1" si="301"/>
        <v>4.0346089991063575E-5</v>
      </c>
      <c r="P540" s="11">
        <f t="shared" ca="1" si="302"/>
        <v>-3.3175160470749339E-5</v>
      </c>
      <c r="Q540" s="11">
        <f t="shared" ca="1" si="303"/>
        <v>1.0797398338693915E-2</v>
      </c>
      <c r="R540" s="11">
        <f t="shared" ca="1" si="304"/>
        <v>8.047290030672948E-4</v>
      </c>
      <c r="S540" s="11">
        <f t="shared" ca="1" si="305"/>
        <v>-6.1188504109134818E-5</v>
      </c>
      <c r="T540" s="11">
        <f t="shared" ca="1" si="306"/>
        <v>0.21247320575525072</v>
      </c>
      <c r="U540" s="11">
        <f t="shared" ca="1" si="307"/>
        <v>-3.3175160470749339E-5</v>
      </c>
      <c r="V540" s="11">
        <f t="shared" ca="1" si="308"/>
        <v>0.15357959941838523</v>
      </c>
      <c r="W540" s="11">
        <f t="shared" ca="1" si="309"/>
        <v>1.8454155545224948</v>
      </c>
      <c r="X540" s="11"/>
      <c r="Y540" s="2">
        <f t="shared" ca="1" si="310"/>
        <v>4.0346089991063575E-5</v>
      </c>
      <c r="Z540" s="11">
        <f t="shared" ca="1" si="311"/>
        <v>-3.3175160470749339E-5</v>
      </c>
      <c r="AA540" s="2">
        <f t="shared" ca="1" si="312"/>
        <v>1.0797398338693915E-2</v>
      </c>
      <c r="AB540" s="2">
        <f t="shared" ca="1" si="313"/>
        <v>8.047290030672948E-4</v>
      </c>
      <c r="AC540" s="2">
        <f t="shared" ca="1" si="314"/>
        <v>-6.1188504109134818E-5</v>
      </c>
      <c r="AD540" s="2">
        <f t="shared" ca="1" si="315"/>
        <v>0.21247320575525072</v>
      </c>
      <c r="AE540" s="2">
        <f t="shared" ca="1" si="316"/>
        <v>-3.3175160470749339E-5</v>
      </c>
      <c r="AF540" s="2">
        <f t="shared" ca="1" si="317"/>
        <v>0.15357959941838523</v>
      </c>
      <c r="AG540" s="2">
        <f t="shared" ca="1" si="318"/>
        <v>1.8454155545224948</v>
      </c>
      <c r="AI540" s="2">
        <f t="shared" ca="1" si="319"/>
        <v>4.0346089991063575E-5</v>
      </c>
      <c r="AJ540" s="11">
        <f t="shared" ca="1" si="320"/>
        <v>-3.3175160470749339E-5</v>
      </c>
      <c r="AK540" s="2">
        <f t="shared" ca="1" si="321"/>
        <v>1.0797398338693915E-2</v>
      </c>
      <c r="AL540" s="2">
        <f t="shared" ca="1" si="322"/>
        <v>8.047290030672948E-4</v>
      </c>
      <c r="AM540" s="2">
        <f t="shared" ca="1" si="323"/>
        <v>-6.1188504109134818E-5</v>
      </c>
      <c r="AN540" s="2">
        <f t="shared" ca="1" si="324"/>
        <v>0.21247320575525072</v>
      </c>
      <c r="AO540" s="2">
        <f t="shared" ca="1" si="325"/>
        <v>-3.3175160470749339E-5</v>
      </c>
      <c r="AP540" s="2">
        <f t="shared" ca="1" si="326"/>
        <v>0.15357959941838523</v>
      </c>
      <c r="AQ540" s="2">
        <f t="shared" ca="1" si="327"/>
        <v>1.8454155545224948</v>
      </c>
      <c r="AS540" s="2">
        <f t="shared" ca="1" si="328"/>
        <v>8.6854036393098948</v>
      </c>
      <c r="AT540" s="2">
        <f t="shared" ca="1" si="329"/>
        <v>0.40012602677676024</v>
      </c>
      <c r="AU540" s="2">
        <f t="shared" ca="1" si="330"/>
        <v>3.2199301862933995E-4</v>
      </c>
      <c r="AV540" s="2">
        <f t="shared" ca="1" si="331"/>
        <v>0.15325760639975589</v>
      </c>
      <c r="AW540" s="2">
        <f t="shared" ca="1" si="332"/>
        <v>0.7082130706089097</v>
      </c>
      <c r="AX540" s="2">
        <f t="shared" ca="1" si="333"/>
        <v>5.2744421354727997E-2</v>
      </c>
      <c r="AY540" s="9">
        <f t="shared" ca="1" si="334"/>
        <v>0.7082130706089097</v>
      </c>
      <c r="AZ540" s="9">
        <f t="shared" ca="1" si="335"/>
        <v>0.7082130706089097</v>
      </c>
      <c r="BA540" s="9"/>
      <c r="BB540" s="2">
        <f t="shared" ca="1" si="336"/>
        <v>8.6854036393098948</v>
      </c>
      <c r="BC540" s="2">
        <f t="shared" ca="1" si="337"/>
        <v>0.40012602677676024</v>
      </c>
      <c r="BD540" s="2">
        <f t="shared" ca="1" si="338"/>
        <v>3.2199301862933995E-4</v>
      </c>
      <c r="BE540" s="2">
        <f t="shared" ca="1" si="339"/>
        <v>0.15325760639975589</v>
      </c>
      <c r="BF540" s="2">
        <f t="shared" ca="1" si="340"/>
        <v>0.7082130706089097</v>
      </c>
      <c r="BG540" s="2">
        <f t="shared" ca="1" si="341"/>
        <v>5.2744421354727997E-2</v>
      </c>
      <c r="BH540" s="2">
        <f t="shared" ca="1" si="342"/>
        <v>0.7082130706089097</v>
      </c>
      <c r="BI540" s="2">
        <f t="shared" ca="1" si="343"/>
        <v>0.7082130706089097</v>
      </c>
    </row>
    <row r="541" spans="1:61" ht="15" x14ac:dyDescent="0.25">
      <c r="A541" s="66">
        <v>475</v>
      </c>
      <c r="B541" s="66">
        <v>1498730369.7460001</v>
      </c>
      <c r="C541" s="67">
        <v>-1.22845158521407E-5</v>
      </c>
      <c r="D541" s="67">
        <v>1.3576530820598301E-5</v>
      </c>
      <c r="E541" s="67">
        <v>1.23934482125006E-2</v>
      </c>
      <c r="F541" s="67">
        <v>8.1327980853623295E-4</v>
      </c>
      <c r="G541" s="67">
        <v>-9.9443501361331198E-5</v>
      </c>
      <c r="H541" s="67">
        <v>0.228493431839805</v>
      </c>
      <c r="I541" s="67">
        <v>1.3576530820598301E-5</v>
      </c>
      <c r="J541" s="67">
        <v>0.165281519805624</v>
      </c>
      <c r="K541" s="67">
        <v>1.98302156562344</v>
      </c>
      <c r="L541" s="67"/>
      <c r="M541" s="67"/>
      <c r="N541" s="16"/>
      <c r="O541" s="11">
        <f t="shared" ca="1" si="301"/>
        <v>-2.5088446562100728E-5</v>
      </c>
      <c r="P541" s="11">
        <f t="shared" ca="1" si="302"/>
        <v>1.2811430590293561E-5</v>
      </c>
      <c r="Q541" s="11">
        <f t="shared" ca="1" si="303"/>
        <v>1.1556956600232315E-2</v>
      </c>
      <c r="R541" s="11">
        <f t="shared" ca="1" si="304"/>
        <v>8.0163332088988579E-4</v>
      </c>
      <c r="S541" s="11">
        <f t="shared" ca="1" si="305"/>
        <v>-1.1037115340830133E-4</v>
      </c>
      <c r="T541" s="11">
        <f t="shared" ca="1" si="306"/>
        <v>0.22735487680122271</v>
      </c>
      <c r="U541" s="11">
        <f t="shared" ca="1" si="307"/>
        <v>1.2811430590293561E-5</v>
      </c>
      <c r="V541" s="11">
        <f t="shared" ca="1" si="308"/>
        <v>0.16463132379993023</v>
      </c>
      <c r="W541" s="11">
        <f t="shared" ca="1" si="309"/>
        <v>1.9758987173599349</v>
      </c>
      <c r="X541" s="11"/>
      <c r="Y541" s="2">
        <f t="shared" ca="1" si="310"/>
        <v>-2.5088446562100728E-5</v>
      </c>
      <c r="Z541" s="11">
        <f t="shared" ca="1" si="311"/>
        <v>1.2811430590293561E-5</v>
      </c>
      <c r="AA541" s="2">
        <f t="shared" ca="1" si="312"/>
        <v>1.1556858583201407E-2</v>
      </c>
      <c r="AB541" s="2">
        <f t="shared" ca="1" si="313"/>
        <v>7.9926086320993451E-4</v>
      </c>
      <c r="AC541" s="2">
        <f t="shared" ca="1" si="314"/>
        <v>-1.1037115340830133E-4</v>
      </c>
      <c r="AD541" s="2">
        <f t="shared" ca="1" si="315"/>
        <v>0.22733762357612297</v>
      </c>
      <c r="AE541" s="2">
        <f t="shared" ca="1" si="316"/>
        <v>1.2811430590293561E-5</v>
      </c>
      <c r="AF541" s="2">
        <f t="shared" ca="1" si="317"/>
        <v>0.16460584494104344</v>
      </c>
      <c r="AG541" s="2">
        <f t="shared" ca="1" si="318"/>
        <v>1.9758883786317154</v>
      </c>
      <c r="AI541" s="2">
        <f t="shared" ca="1" si="319"/>
        <v>-2.5088446562100728E-5</v>
      </c>
      <c r="AJ541" s="11">
        <f t="shared" ca="1" si="320"/>
        <v>1.2811430590293561E-5</v>
      </c>
      <c r="AK541" s="2">
        <f t="shared" ca="1" si="321"/>
        <v>1.1541743465558956E-2</v>
      </c>
      <c r="AL541" s="2">
        <f t="shared" ca="1" si="322"/>
        <v>7.9218635678955814E-4</v>
      </c>
      <c r="AM541" s="2">
        <f t="shared" ca="1" si="323"/>
        <v>-1.1037115340830133E-4</v>
      </c>
      <c r="AN541" s="2">
        <f t="shared" ca="1" si="324"/>
        <v>0.22733762357612297</v>
      </c>
      <c r="AO541" s="2">
        <f t="shared" ca="1" si="325"/>
        <v>1.2811430590293561E-5</v>
      </c>
      <c r="AP541" s="2">
        <f t="shared" ca="1" si="326"/>
        <v>0.16460584494104344</v>
      </c>
      <c r="AQ541" s="2">
        <f t="shared" ca="1" si="327"/>
        <v>1.9758883786317154</v>
      </c>
      <c r="AS541" s="2">
        <f t="shared" ca="1" si="328"/>
        <v>8.6908129931493452</v>
      </c>
      <c r="AT541" s="2">
        <f t="shared" ca="1" si="329"/>
        <v>0.4003782526318167</v>
      </c>
      <c r="AU541" s="2">
        <f t="shared" ca="1" si="330"/>
        <v>3.2095654826933288E-4</v>
      </c>
      <c r="AV541" s="2">
        <f t="shared" ca="1" si="331"/>
        <v>0.1643103672516609</v>
      </c>
      <c r="AW541" s="2">
        <f t="shared" ca="1" si="332"/>
        <v>0.70936636270595632</v>
      </c>
      <c r="AX541" s="2">
        <f t="shared" ca="1" si="333"/>
        <v>5.2793137451866493E-2</v>
      </c>
      <c r="AY541" s="9">
        <f t="shared" ca="1" si="334"/>
        <v>0.70936636270595632</v>
      </c>
      <c r="AZ541" s="9">
        <f t="shared" ca="1" si="335"/>
        <v>0.70936636270595632</v>
      </c>
      <c r="BA541" s="9"/>
      <c r="BB541" s="2">
        <f t="shared" ca="1" si="336"/>
        <v>8.6914270834281773</v>
      </c>
      <c r="BC541" s="2">
        <f t="shared" ca="1" si="337"/>
        <v>0.40040688638390554</v>
      </c>
      <c r="BD541" s="2">
        <f t="shared" ca="1" si="338"/>
        <v>3.1719687255791666E-4</v>
      </c>
      <c r="BE541" s="2">
        <f t="shared" ca="1" si="339"/>
        <v>0.16428864806848553</v>
      </c>
      <c r="BF541" s="2">
        <f t="shared" ca="1" si="340"/>
        <v>0.70930118523089603</v>
      </c>
      <c r="BG541" s="2">
        <f t="shared" ca="1" si="341"/>
        <v>5.2731456267056158E-2</v>
      </c>
      <c r="BH541" s="2">
        <f t="shared" ca="1" si="342"/>
        <v>0.70930118523089603</v>
      </c>
      <c r="BI541" s="2">
        <f t="shared" ca="1" si="343"/>
        <v>0.70930118523089603</v>
      </c>
    </row>
    <row r="542" spans="1:61" ht="15" x14ac:dyDescent="0.25">
      <c r="A542" s="66">
        <v>476</v>
      </c>
      <c r="B542" s="66">
        <v>1498730370.2720001</v>
      </c>
      <c r="C542" s="67">
        <v>3.80311884701011E-5</v>
      </c>
      <c r="D542" s="67">
        <v>2.4680752526060001E-5</v>
      </c>
      <c r="E542" s="67">
        <v>1.25121882771455E-2</v>
      </c>
      <c r="F542" s="67">
        <v>1.0107082796275901E-3</v>
      </c>
      <c r="G542" s="67">
        <v>-4.2731562830286298E-5</v>
      </c>
      <c r="H542" s="67">
        <v>0.22769272504235499</v>
      </c>
      <c r="I542" s="67">
        <v>2.4680752526060001E-5</v>
      </c>
      <c r="J542" s="67">
        <v>0.164760496215589</v>
      </c>
      <c r="K542" s="67">
        <v>1.9776068496989301</v>
      </c>
      <c r="L542" s="67"/>
      <c r="M542" s="67"/>
      <c r="N542" s="16"/>
      <c r="O542" s="11">
        <f t="shared" ca="1" si="301"/>
        <v>2.5227257760141072E-5</v>
      </c>
      <c r="P542" s="11">
        <f t="shared" ca="1" si="302"/>
        <v>2.3915652295755259E-5</v>
      </c>
      <c r="Q542" s="11">
        <f t="shared" ca="1" si="303"/>
        <v>1.1675696664877215E-2</v>
      </c>
      <c r="R542" s="11">
        <f t="shared" ca="1" si="304"/>
        <v>9.9906179198124305E-4</v>
      </c>
      <c r="S542" s="11">
        <f t="shared" ca="1" si="305"/>
        <v>-5.3659214877256419E-5</v>
      </c>
      <c r="T542" s="11">
        <f t="shared" ca="1" si="306"/>
        <v>0.2265541700037727</v>
      </c>
      <c r="U542" s="11">
        <f t="shared" ca="1" si="307"/>
        <v>2.3915652295755259E-5</v>
      </c>
      <c r="V542" s="11">
        <f t="shared" ca="1" si="308"/>
        <v>0.16411030020989523</v>
      </c>
      <c r="W542" s="11">
        <f t="shared" ca="1" si="309"/>
        <v>1.970484001435425</v>
      </c>
      <c r="X542" s="11"/>
      <c r="Y542" s="2">
        <f t="shared" ca="1" si="310"/>
        <v>2.5227257760141072E-5</v>
      </c>
      <c r="Z542" s="11">
        <f t="shared" ca="1" si="311"/>
        <v>2.3915652295755259E-5</v>
      </c>
      <c r="AA542" s="2">
        <f t="shared" ca="1" si="312"/>
        <v>1.1675513692240885E-2</v>
      </c>
      <c r="AB542" s="2">
        <f t="shared" ca="1" si="313"/>
        <v>9.9463302248823282E-4</v>
      </c>
      <c r="AC542" s="2">
        <f t="shared" ca="1" si="314"/>
        <v>-5.3659214877256419E-5</v>
      </c>
      <c r="AD542" s="2">
        <f t="shared" ca="1" si="315"/>
        <v>0.22652196266130945</v>
      </c>
      <c r="AE542" s="2">
        <f t="shared" ca="1" si="316"/>
        <v>2.3915652295755259E-5</v>
      </c>
      <c r="AF542" s="2">
        <f t="shared" ca="1" si="317"/>
        <v>0.16406273772062172</v>
      </c>
      <c r="AG542" s="2">
        <f t="shared" ca="1" si="318"/>
        <v>1.9704647016837276</v>
      </c>
      <c r="AI542" s="2">
        <f t="shared" ca="1" si="319"/>
        <v>2.5227257760141072E-5</v>
      </c>
      <c r="AJ542" s="11">
        <f t="shared" ca="1" si="320"/>
        <v>2.3915652295755259E-5</v>
      </c>
      <c r="AK542" s="2">
        <f t="shared" ca="1" si="321"/>
        <v>1.1647297647561209E-2</v>
      </c>
      <c r="AL542" s="2">
        <f t="shared" ca="1" si="322"/>
        <v>9.8142673498416628E-4</v>
      </c>
      <c r="AM542" s="2">
        <f t="shared" ca="1" si="323"/>
        <v>-5.3659214877256419E-5</v>
      </c>
      <c r="AN542" s="2">
        <f t="shared" ca="1" si="324"/>
        <v>0.22652196266130945</v>
      </c>
      <c r="AO542" s="2">
        <f t="shared" ca="1" si="325"/>
        <v>2.3915652295755259E-5</v>
      </c>
      <c r="AP542" s="2">
        <f t="shared" ca="1" si="326"/>
        <v>0.16406273772062172</v>
      </c>
      <c r="AQ542" s="2">
        <f t="shared" ca="1" si="327"/>
        <v>1.9704647016837276</v>
      </c>
      <c r="AS542" s="2">
        <f t="shared" ca="1" si="328"/>
        <v>8.6976284806526021</v>
      </c>
      <c r="AT542" s="2">
        <f t="shared" ca="1" si="329"/>
        <v>0.40069604600928405</v>
      </c>
      <c r="AU542" s="2">
        <f t="shared" ca="1" si="330"/>
        <v>4.0032010976583392E-4</v>
      </c>
      <c r="AV542" s="2">
        <f t="shared" ca="1" si="331"/>
        <v>0.16370998010012938</v>
      </c>
      <c r="AW542" s="2">
        <f t="shared" ca="1" si="332"/>
        <v>0.70899234650323872</v>
      </c>
      <c r="AX542" s="2">
        <f t="shared" ca="1" si="333"/>
        <v>5.3567005737749918E-2</v>
      </c>
      <c r="AY542" s="9">
        <f t="shared" ca="1" si="334"/>
        <v>0.70899234650323872</v>
      </c>
      <c r="AZ542" s="9">
        <f t="shared" ca="1" si="335"/>
        <v>0.70899234650323872</v>
      </c>
      <c r="BA542" s="9"/>
      <c r="BB542" s="2">
        <f t="shared" ca="1" si="336"/>
        <v>8.6987799263858676</v>
      </c>
      <c r="BC542" s="2">
        <f t="shared" ca="1" si="337"/>
        <v>0.40074973605881914</v>
      </c>
      <c r="BD542" s="2">
        <f t="shared" ca="1" si="338"/>
        <v>3.933065050059733E-4</v>
      </c>
      <c r="BE542" s="2">
        <f t="shared" ca="1" si="339"/>
        <v>0.16366943121561575</v>
      </c>
      <c r="BF542" s="2">
        <f t="shared" ca="1" si="340"/>
        <v>0.70887026109946794</v>
      </c>
      <c r="BG542" s="2">
        <f t="shared" ca="1" si="341"/>
        <v>5.3451551239618901E-2</v>
      </c>
      <c r="BH542" s="2">
        <f t="shared" ca="1" si="342"/>
        <v>0.70887026109946794</v>
      </c>
      <c r="BI542" s="2">
        <f t="shared" ca="1" si="343"/>
        <v>0.70887026109946794</v>
      </c>
    </row>
    <row r="543" spans="1:61" ht="15" x14ac:dyDescent="0.25">
      <c r="A543" s="66">
        <v>477</v>
      </c>
      <c r="B543" s="66">
        <v>1498730370.8</v>
      </c>
      <c r="C543" s="67">
        <v>7.6537418124890196E-5</v>
      </c>
      <c r="D543" s="67">
        <v>-6.2347748711193105E-5</v>
      </c>
      <c r="E543" s="67">
        <v>1.26246790481523E-2</v>
      </c>
      <c r="F543" s="67">
        <v>7.9256279779104299E-4</v>
      </c>
      <c r="G543" s="67">
        <v>-9.1486567928647708E-6</v>
      </c>
      <c r="H543" s="67">
        <v>0.23149476502139499</v>
      </c>
      <c r="I543" s="67">
        <v>-6.2347748711193105E-5</v>
      </c>
      <c r="J543" s="67">
        <v>0.167316843975017</v>
      </c>
      <c r="K543" s="67">
        <v>2.0085196865878601</v>
      </c>
      <c r="L543" s="67"/>
      <c r="M543" s="67"/>
      <c r="N543" s="16"/>
      <c r="O543" s="11">
        <f t="shared" ca="1" si="301"/>
        <v>6.3733487414930175E-5</v>
      </c>
      <c r="P543" s="11">
        <f t="shared" ca="1" si="302"/>
        <v>-6.3112848941497844E-5</v>
      </c>
      <c r="Q543" s="11">
        <f t="shared" ca="1" si="303"/>
        <v>1.1788187435884015E-2</v>
      </c>
      <c r="R543" s="11">
        <f t="shared" ca="1" si="304"/>
        <v>7.8091631014469583E-4</v>
      </c>
      <c r="S543" s="11">
        <f t="shared" ca="1" si="305"/>
        <v>-2.0076308839834893E-5</v>
      </c>
      <c r="T543" s="11">
        <f t="shared" ca="1" si="306"/>
        <v>0.2303562099828127</v>
      </c>
      <c r="U543" s="11">
        <f t="shared" ca="1" si="307"/>
        <v>-6.3112848941497844E-5</v>
      </c>
      <c r="V543" s="11">
        <f t="shared" ca="1" si="308"/>
        <v>0.16666664796932323</v>
      </c>
      <c r="W543" s="11">
        <f t="shared" ca="1" si="309"/>
        <v>2.001396838324355</v>
      </c>
      <c r="X543" s="11"/>
      <c r="Y543" s="2">
        <f t="shared" ca="1" si="310"/>
        <v>6.3733487414930175E-5</v>
      </c>
      <c r="Z543" s="11">
        <f t="shared" ca="1" si="311"/>
        <v>-6.3112848941497844E-5</v>
      </c>
      <c r="AA543" s="2">
        <f t="shared" ca="1" si="312"/>
        <v>1.1788187435884015E-2</v>
      </c>
      <c r="AB543" s="2">
        <f t="shared" ca="1" si="313"/>
        <v>7.8091631014469583E-4</v>
      </c>
      <c r="AC543" s="2">
        <f t="shared" ca="1" si="314"/>
        <v>-2.0076308839834893E-5</v>
      </c>
      <c r="AD543" s="2">
        <f t="shared" ca="1" si="315"/>
        <v>0.2303562099828127</v>
      </c>
      <c r="AE543" s="2">
        <f t="shared" ca="1" si="316"/>
        <v>-6.3112848941497844E-5</v>
      </c>
      <c r="AF543" s="2">
        <f t="shared" ca="1" si="317"/>
        <v>0.16666664796932323</v>
      </c>
      <c r="AG543" s="2">
        <f t="shared" ca="1" si="318"/>
        <v>2.001396838324355</v>
      </c>
      <c r="AI543" s="2">
        <f t="shared" ca="1" si="319"/>
        <v>6.3733487414930175E-5</v>
      </c>
      <c r="AJ543" s="11">
        <f t="shared" ca="1" si="320"/>
        <v>-6.3112848941497844E-5</v>
      </c>
      <c r="AK543" s="2">
        <f t="shared" ca="1" si="321"/>
        <v>1.1788187435884015E-2</v>
      </c>
      <c r="AL543" s="2">
        <f t="shared" ca="1" si="322"/>
        <v>7.8091631014469583E-4</v>
      </c>
      <c r="AM543" s="2">
        <f t="shared" ca="1" si="323"/>
        <v>-2.0076308839834893E-5</v>
      </c>
      <c r="AN543" s="2">
        <f t="shared" ca="1" si="324"/>
        <v>0.2303562099828127</v>
      </c>
      <c r="AO543" s="2">
        <f t="shared" ca="1" si="325"/>
        <v>-6.3112848941497844E-5</v>
      </c>
      <c r="AP543" s="2">
        <f t="shared" ca="1" si="326"/>
        <v>0.16666664796932323</v>
      </c>
      <c r="AQ543" s="2">
        <f t="shared" ca="1" si="327"/>
        <v>2.001396838324355</v>
      </c>
      <c r="AS543" s="2">
        <f t="shared" ca="1" si="328"/>
        <v>8.688269521684191</v>
      </c>
      <c r="AT543" s="2">
        <f t="shared" ca="1" si="329"/>
        <v>0.40025965611040781</v>
      </c>
      <c r="AU543" s="2">
        <f t="shared" ca="1" si="330"/>
        <v>3.1256929374952455E-4</v>
      </c>
      <c r="AV543" s="2">
        <f t="shared" ca="1" si="331"/>
        <v>0.1663540786755737</v>
      </c>
      <c r="AW543" s="2">
        <f t="shared" ca="1" si="332"/>
        <v>0.70893667591090226</v>
      </c>
      <c r="AX543" s="2">
        <f t="shared" ca="1" si="333"/>
        <v>5.3131893917209551E-2</v>
      </c>
      <c r="AY543" s="9">
        <f t="shared" ca="1" si="334"/>
        <v>0.70893667591090226</v>
      </c>
      <c r="AZ543" s="9">
        <f t="shared" ca="1" si="335"/>
        <v>0.70893667591090226</v>
      </c>
      <c r="BA543" s="9"/>
      <c r="BB543" s="2">
        <f t="shared" ca="1" si="336"/>
        <v>8.688269521684191</v>
      </c>
      <c r="BC543" s="2">
        <f t="shared" ca="1" si="337"/>
        <v>0.40025965611040781</v>
      </c>
      <c r="BD543" s="2">
        <f t="shared" ca="1" si="338"/>
        <v>3.1256929374952455E-4</v>
      </c>
      <c r="BE543" s="2">
        <f t="shared" ca="1" si="339"/>
        <v>0.1663540786755737</v>
      </c>
      <c r="BF543" s="2">
        <f t="shared" ca="1" si="340"/>
        <v>0.70893667591090226</v>
      </c>
      <c r="BG543" s="2">
        <f t="shared" ca="1" si="341"/>
        <v>5.3131893917209551E-2</v>
      </c>
      <c r="BH543" s="2">
        <f t="shared" ca="1" si="342"/>
        <v>0.70893667591090226</v>
      </c>
      <c r="BI543" s="2">
        <f t="shared" ca="1" si="343"/>
        <v>0.70893667591090226</v>
      </c>
    </row>
    <row r="544" spans="1:61" ht="15" x14ac:dyDescent="0.25">
      <c r="A544" s="66">
        <v>478</v>
      </c>
      <c r="B544" s="66">
        <v>1498730371.326</v>
      </c>
      <c r="C544" s="67">
        <v>-4.7716579308285297E-5</v>
      </c>
      <c r="D544" s="67">
        <v>-1.71780352573633E-5</v>
      </c>
      <c r="E544" s="67">
        <v>1.2320717776800201E-2</v>
      </c>
      <c r="F544" s="67">
        <v>8.2137622834053102E-4</v>
      </c>
      <c r="G544" s="67">
        <v>-8.9971298105991697E-5</v>
      </c>
      <c r="H544" s="67">
        <v>0.22809711744500799</v>
      </c>
      <c r="I544" s="67">
        <v>-1.71780352573633E-5</v>
      </c>
      <c r="J544" s="67">
        <v>0.16510095898548199</v>
      </c>
      <c r="K544" s="67">
        <v>1.98189534718732</v>
      </c>
      <c r="L544" s="67"/>
      <c r="M544" s="67"/>
      <c r="N544" s="16"/>
      <c r="O544" s="11">
        <f t="shared" ca="1" si="301"/>
        <v>-6.0520510018245325E-5</v>
      </c>
      <c r="P544" s="11">
        <f t="shared" ca="1" si="302"/>
        <v>-1.7943135487668042E-5</v>
      </c>
      <c r="Q544" s="11">
        <f t="shared" ca="1" si="303"/>
        <v>1.1484226164531916E-2</v>
      </c>
      <c r="R544" s="11">
        <f t="shared" ca="1" si="304"/>
        <v>8.0972974069418386E-4</v>
      </c>
      <c r="S544" s="11">
        <f t="shared" ca="1" si="305"/>
        <v>-1.0089895015296182E-4</v>
      </c>
      <c r="T544" s="11">
        <f t="shared" ca="1" si="306"/>
        <v>0.2269585624064257</v>
      </c>
      <c r="U544" s="11">
        <f t="shared" ca="1" si="307"/>
        <v>-1.7943135487668042E-5</v>
      </c>
      <c r="V544" s="11">
        <f t="shared" ca="1" si="308"/>
        <v>0.16445076297978822</v>
      </c>
      <c r="W544" s="11">
        <f t="shared" ca="1" si="309"/>
        <v>1.9747724989238149</v>
      </c>
      <c r="X544" s="11"/>
      <c r="Y544" s="2">
        <f t="shared" ca="1" si="310"/>
        <v>-6.0520510018245325E-5</v>
      </c>
      <c r="Z544" s="11">
        <f t="shared" ca="1" si="311"/>
        <v>-1.7943135487668042E-5</v>
      </c>
      <c r="AA544" s="2">
        <f t="shared" ca="1" si="312"/>
        <v>1.1484226164531916E-2</v>
      </c>
      <c r="AB544" s="2">
        <f t="shared" ca="1" si="313"/>
        <v>8.0972974069418386E-4</v>
      </c>
      <c r="AC544" s="2">
        <f t="shared" ca="1" si="314"/>
        <v>-1.0089895015296182E-4</v>
      </c>
      <c r="AD544" s="2">
        <f t="shared" ca="1" si="315"/>
        <v>0.2269585624064257</v>
      </c>
      <c r="AE544" s="2">
        <f t="shared" ca="1" si="316"/>
        <v>-1.7943135487668042E-5</v>
      </c>
      <c r="AF544" s="2">
        <f t="shared" ca="1" si="317"/>
        <v>0.16445076297978822</v>
      </c>
      <c r="AG544" s="2">
        <f t="shared" ca="1" si="318"/>
        <v>1.9747724989238149</v>
      </c>
      <c r="AI544" s="2">
        <f t="shared" ca="1" si="319"/>
        <v>-6.0520510018245325E-5</v>
      </c>
      <c r="AJ544" s="11">
        <f t="shared" ca="1" si="320"/>
        <v>-1.7943135487668042E-5</v>
      </c>
      <c r="AK544" s="2">
        <f t="shared" ca="1" si="321"/>
        <v>1.1484226164531916E-2</v>
      </c>
      <c r="AL544" s="2">
        <f t="shared" ca="1" si="322"/>
        <v>8.0972974069418386E-4</v>
      </c>
      <c r="AM544" s="2">
        <f t="shared" ca="1" si="323"/>
        <v>-1.0089895015296182E-4</v>
      </c>
      <c r="AN544" s="2">
        <f t="shared" ca="1" si="324"/>
        <v>0.2269585624064257</v>
      </c>
      <c r="AO544" s="2">
        <f t="shared" ca="1" si="325"/>
        <v>-1.7943135487668042E-5</v>
      </c>
      <c r="AP544" s="2">
        <f t="shared" ca="1" si="326"/>
        <v>0.16445076297978822</v>
      </c>
      <c r="AQ544" s="2">
        <f t="shared" ca="1" si="327"/>
        <v>1.9747724989238149</v>
      </c>
      <c r="AS544" s="2">
        <f t="shared" ca="1" si="328"/>
        <v>8.7010266455049798</v>
      </c>
      <c r="AT544" s="2">
        <f t="shared" ca="1" si="329"/>
        <v>0.40085449718048566</v>
      </c>
      <c r="AU544" s="2">
        <f t="shared" ca="1" si="330"/>
        <v>3.2458380805805209E-4</v>
      </c>
      <c r="AV544" s="2">
        <f t="shared" ca="1" si="331"/>
        <v>0.16412617917173017</v>
      </c>
      <c r="AW544" s="2">
        <f t="shared" ca="1" si="332"/>
        <v>0.7093887659060728</v>
      </c>
      <c r="AX544" s="2">
        <f t="shared" ca="1" si="333"/>
        <v>5.2615703656640964E-2</v>
      </c>
      <c r="AY544" s="9">
        <f t="shared" ca="1" si="334"/>
        <v>0.7093887659060728</v>
      </c>
      <c r="AZ544" s="9">
        <f t="shared" ca="1" si="335"/>
        <v>0.7093887659060728</v>
      </c>
      <c r="BA544" s="9"/>
      <c r="BB544" s="2">
        <f t="shared" ca="1" si="336"/>
        <v>8.7010266455049798</v>
      </c>
      <c r="BC544" s="2">
        <f t="shared" ca="1" si="337"/>
        <v>0.40085449718048566</v>
      </c>
      <c r="BD544" s="2">
        <f t="shared" ca="1" si="338"/>
        <v>3.2458380805805209E-4</v>
      </c>
      <c r="BE544" s="2">
        <f t="shared" ca="1" si="339"/>
        <v>0.16412617917173017</v>
      </c>
      <c r="BF544" s="2">
        <f t="shared" ca="1" si="340"/>
        <v>0.7093887659060728</v>
      </c>
      <c r="BG544" s="2">
        <f t="shared" ca="1" si="341"/>
        <v>5.2615703656640964E-2</v>
      </c>
      <c r="BH544" s="2">
        <f t="shared" ca="1" si="342"/>
        <v>0.7093887659060728</v>
      </c>
      <c r="BI544" s="2">
        <f t="shared" ca="1" si="343"/>
        <v>0.7093887659060728</v>
      </c>
    </row>
    <row r="545" spans="1:61" ht="15" x14ac:dyDescent="0.25">
      <c r="A545" s="66">
        <v>479</v>
      </c>
      <c r="B545" s="66">
        <v>1498730371.8540001</v>
      </c>
      <c r="C545" s="67">
        <v>-1.4148733461700301E-4</v>
      </c>
      <c r="D545" s="67">
        <v>-5.1865864099712301E-5</v>
      </c>
      <c r="E545" s="67">
        <v>1.22347484784304E-2</v>
      </c>
      <c r="F545" s="67">
        <v>7.7637049080704699E-4</v>
      </c>
      <c r="G545" s="67">
        <v>-4.9696175261315402E-5</v>
      </c>
      <c r="H545" s="67">
        <v>0.226045075992586</v>
      </c>
      <c r="I545" s="67">
        <v>-5.1865864099712301E-5</v>
      </c>
      <c r="J545" s="67">
        <v>0.16328484374695501</v>
      </c>
      <c r="K545" s="67">
        <v>1.96258324254179</v>
      </c>
      <c r="L545" s="67"/>
      <c r="M545" s="67"/>
      <c r="N545" s="16"/>
      <c r="O545" s="11">
        <f t="shared" ca="1" si="301"/>
        <v>-1.5429126532696304E-4</v>
      </c>
      <c r="P545" s="11">
        <f t="shared" ca="1" si="302"/>
        <v>-5.2630964330017039E-5</v>
      </c>
      <c r="Q545" s="11">
        <f t="shared" ca="1" si="303"/>
        <v>1.1398256866162115E-2</v>
      </c>
      <c r="R545" s="11">
        <f t="shared" ca="1" si="304"/>
        <v>7.6472400316069983E-4</v>
      </c>
      <c r="S545" s="11">
        <f t="shared" ca="1" si="305"/>
        <v>-6.0623827308285523E-5</v>
      </c>
      <c r="T545" s="11">
        <f t="shared" ca="1" si="306"/>
        <v>0.22490652095400371</v>
      </c>
      <c r="U545" s="11">
        <f t="shared" ca="1" si="307"/>
        <v>-5.2630964330017039E-5</v>
      </c>
      <c r="V545" s="11">
        <f t="shared" ca="1" si="308"/>
        <v>0.16263464774126124</v>
      </c>
      <c r="W545" s="11">
        <f t="shared" ca="1" si="309"/>
        <v>1.9554603942782849</v>
      </c>
      <c r="X545" s="11"/>
      <c r="Y545" s="2">
        <f t="shared" ca="1" si="310"/>
        <v>-1.5429126532696304E-4</v>
      </c>
      <c r="Z545" s="11">
        <f t="shared" ca="1" si="311"/>
        <v>-5.2630964330017039E-5</v>
      </c>
      <c r="AA545" s="2">
        <f t="shared" ca="1" si="312"/>
        <v>1.1398256866162115E-2</v>
      </c>
      <c r="AB545" s="2">
        <f t="shared" ca="1" si="313"/>
        <v>7.6472400316069983E-4</v>
      </c>
      <c r="AC545" s="2">
        <f t="shared" ca="1" si="314"/>
        <v>-6.0623827308285523E-5</v>
      </c>
      <c r="AD545" s="2">
        <f t="shared" ca="1" si="315"/>
        <v>0.22490652095400371</v>
      </c>
      <c r="AE545" s="2">
        <f t="shared" ca="1" si="316"/>
        <v>-5.2630964330017039E-5</v>
      </c>
      <c r="AF545" s="2">
        <f t="shared" ca="1" si="317"/>
        <v>0.16263464774126124</v>
      </c>
      <c r="AG545" s="2">
        <f t="shared" ca="1" si="318"/>
        <v>1.9554603942782849</v>
      </c>
      <c r="AI545" s="2">
        <f t="shared" ca="1" si="319"/>
        <v>-1.5429126532696304E-4</v>
      </c>
      <c r="AJ545" s="11">
        <f t="shared" ca="1" si="320"/>
        <v>-5.2630964330017039E-5</v>
      </c>
      <c r="AK545" s="2">
        <f t="shared" ca="1" si="321"/>
        <v>1.1398256866162115E-2</v>
      </c>
      <c r="AL545" s="2">
        <f t="shared" ca="1" si="322"/>
        <v>7.6472400316069983E-4</v>
      </c>
      <c r="AM545" s="2">
        <f t="shared" ca="1" si="323"/>
        <v>-6.0623827308285523E-5</v>
      </c>
      <c r="AN545" s="2">
        <f t="shared" ca="1" si="324"/>
        <v>0.22490652095400371</v>
      </c>
      <c r="AO545" s="2">
        <f t="shared" ca="1" si="325"/>
        <v>-5.2630964330017039E-5</v>
      </c>
      <c r="AP545" s="2">
        <f t="shared" ca="1" si="326"/>
        <v>0.16263464774126124</v>
      </c>
      <c r="AQ545" s="2">
        <f t="shared" ca="1" si="327"/>
        <v>1.9554603942782849</v>
      </c>
      <c r="AS545" s="2">
        <f t="shared" ca="1" si="328"/>
        <v>8.6945473434191882</v>
      </c>
      <c r="AT545" s="2">
        <f t="shared" ca="1" si="329"/>
        <v>0.40055237799465393</v>
      </c>
      <c r="AU545" s="2">
        <f t="shared" ca="1" si="330"/>
        <v>3.0631201797560954E-4</v>
      </c>
      <c r="AV545" s="2">
        <f t="shared" ca="1" si="331"/>
        <v>0.16232833572328564</v>
      </c>
      <c r="AW545" s="2">
        <f t="shared" ca="1" si="332"/>
        <v>0.70828530447048388</v>
      </c>
      <c r="AX545" s="2">
        <f t="shared" ca="1" si="333"/>
        <v>5.2658146237030475E-2</v>
      </c>
      <c r="AY545" s="9">
        <f t="shared" ca="1" si="334"/>
        <v>0.70828530447048388</v>
      </c>
      <c r="AZ545" s="9">
        <f t="shared" ca="1" si="335"/>
        <v>0.70828530447048388</v>
      </c>
      <c r="BA545" s="9"/>
      <c r="BB545" s="2">
        <f t="shared" ca="1" si="336"/>
        <v>8.6945473434191882</v>
      </c>
      <c r="BC545" s="2">
        <f t="shared" ca="1" si="337"/>
        <v>0.40055237799465393</v>
      </c>
      <c r="BD545" s="2">
        <f t="shared" ca="1" si="338"/>
        <v>3.0631201797560954E-4</v>
      </c>
      <c r="BE545" s="2">
        <f t="shared" ca="1" si="339"/>
        <v>0.16232833572328564</v>
      </c>
      <c r="BF545" s="2">
        <f t="shared" ca="1" si="340"/>
        <v>0.70828530447048388</v>
      </c>
      <c r="BG545" s="2">
        <f t="shared" ca="1" si="341"/>
        <v>5.2658146237030475E-2</v>
      </c>
      <c r="BH545" s="2">
        <f t="shared" ca="1" si="342"/>
        <v>0.70828530447048388</v>
      </c>
      <c r="BI545" s="2">
        <f t="shared" ca="1" si="343"/>
        <v>0.70828530447048388</v>
      </c>
    </row>
    <row r="546" spans="1:61" ht="15" x14ac:dyDescent="0.25">
      <c r="A546" s="66">
        <v>480</v>
      </c>
      <c r="B546" s="66">
        <v>1498730372.381</v>
      </c>
      <c r="C546" s="67">
        <v>1.9369197628704099E-5</v>
      </c>
      <c r="D546" s="67">
        <v>7.3459544699292794E-5</v>
      </c>
      <c r="E546" s="67">
        <v>1.22850769566134E-2</v>
      </c>
      <c r="F546" s="67">
        <v>7.5946409740465601E-4</v>
      </c>
      <c r="G546" s="67">
        <v>6.6531166310001297E-5</v>
      </c>
      <c r="H546" s="67">
        <v>0.22619597886255199</v>
      </c>
      <c r="I546" s="67">
        <v>7.3459544699292794E-5</v>
      </c>
      <c r="J546" s="67">
        <v>0.16342734648150101</v>
      </c>
      <c r="K546" s="67">
        <v>1.96318080201437</v>
      </c>
      <c r="L546" s="67"/>
      <c r="M546" s="67"/>
      <c r="N546" s="16"/>
      <c r="O546" s="11">
        <f t="shared" ca="1" si="301"/>
        <v>6.5652669187440711E-6</v>
      </c>
      <c r="P546" s="11">
        <f t="shared" ca="1" si="302"/>
        <v>7.2694444468988055E-5</v>
      </c>
      <c r="Q546" s="11">
        <f t="shared" ca="1" si="303"/>
        <v>1.1448585344345116E-2</v>
      </c>
      <c r="R546" s="11">
        <f t="shared" ca="1" si="304"/>
        <v>7.4781760975830885E-4</v>
      </c>
      <c r="S546" s="11">
        <f t="shared" ca="1" si="305"/>
        <v>5.5603514263031176E-5</v>
      </c>
      <c r="T546" s="11">
        <f t="shared" ca="1" si="306"/>
        <v>0.2250574238239697</v>
      </c>
      <c r="U546" s="11">
        <f t="shared" ca="1" si="307"/>
        <v>7.2694444468988055E-5</v>
      </c>
      <c r="V546" s="11">
        <f t="shared" ca="1" si="308"/>
        <v>0.16277715047580724</v>
      </c>
      <c r="W546" s="11">
        <f t="shared" ca="1" si="309"/>
        <v>1.9560579537508649</v>
      </c>
      <c r="X546" s="11"/>
      <c r="Y546" s="2">
        <f t="shared" ca="1" si="310"/>
        <v>6.5652669187440711E-6</v>
      </c>
      <c r="Z546" s="11">
        <f t="shared" ca="1" si="311"/>
        <v>7.2694444468988055E-5</v>
      </c>
      <c r="AA546" s="2">
        <f t="shared" ca="1" si="312"/>
        <v>1.1448029177447111E-2</v>
      </c>
      <c r="AB546" s="2">
        <f t="shared" ca="1" si="313"/>
        <v>7.3435584279522609E-4</v>
      </c>
      <c r="AC546" s="2">
        <f t="shared" ca="1" si="314"/>
        <v>5.5603514263031176E-5</v>
      </c>
      <c r="AD546" s="2">
        <f t="shared" ca="1" si="315"/>
        <v>0.224959525809764</v>
      </c>
      <c r="AE546" s="2">
        <f t="shared" ca="1" si="316"/>
        <v>7.2694444468988055E-5</v>
      </c>
      <c r="AF546" s="2">
        <f t="shared" ca="1" si="317"/>
        <v>0.1626325786827178</v>
      </c>
      <c r="AG546" s="2">
        <f t="shared" ca="1" si="318"/>
        <v>1.9559992898804137</v>
      </c>
      <c r="AI546" s="2">
        <f t="shared" ca="1" si="319"/>
        <v>6.5652669187440711E-6</v>
      </c>
      <c r="AJ546" s="11">
        <f t="shared" ca="1" si="320"/>
        <v>7.2694444468988055E-5</v>
      </c>
      <c r="AK546" s="2">
        <f t="shared" ca="1" si="321"/>
        <v>1.1362263183371957E-2</v>
      </c>
      <c r="AL546" s="2">
        <f t="shared" ca="1" si="322"/>
        <v>6.942137750927176E-4</v>
      </c>
      <c r="AM546" s="2">
        <f t="shared" ca="1" si="323"/>
        <v>5.5603514263031176E-5</v>
      </c>
      <c r="AN546" s="2">
        <f t="shared" ca="1" si="324"/>
        <v>0.224959525809764</v>
      </c>
      <c r="AO546" s="2">
        <f t="shared" ca="1" si="325"/>
        <v>7.2694444468988055E-5</v>
      </c>
      <c r="AP546" s="2">
        <f t="shared" ca="1" si="326"/>
        <v>0.1626325786827178</v>
      </c>
      <c r="AQ546" s="2">
        <f t="shared" ca="1" si="327"/>
        <v>1.9559992898804137</v>
      </c>
      <c r="AS546" s="2">
        <f t="shared" ca="1" si="328"/>
        <v>8.6913727195278376</v>
      </c>
      <c r="AT546" s="2">
        <f t="shared" ca="1" si="329"/>
        <v>0.40040435150734671</v>
      </c>
      <c r="AU546" s="2">
        <f t="shared" ca="1" si="330"/>
        <v>2.9942942508104971E-4</v>
      </c>
      <c r="AV546" s="2">
        <f t="shared" ca="1" si="331"/>
        <v>0.16247772105072619</v>
      </c>
      <c r="AW546" s="2">
        <f t="shared" ca="1" si="332"/>
        <v>0.70859207242623679</v>
      </c>
      <c r="AX546" s="2">
        <f t="shared" ca="1" si="333"/>
        <v>5.2835444689673383E-2</v>
      </c>
      <c r="AY546" s="9">
        <f t="shared" ca="1" si="334"/>
        <v>0.70859207242623679</v>
      </c>
      <c r="AZ546" s="9">
        <f t="shared" ca="1" si="335"/>
        <v>0.70859207242623679</v>
      </c>
      <c r="BA546" s="9"/>
      <c r="BB546" s="2">
        <f t="shared" ca="1" si="336"/>
        <v>8.6948942608213695</v>
      </c>
      <c r="BC546" s="2">
        <f t="shared" ca="1" si="337"/>
        <v>0.4005685541126251</v>
      </c>
      <c r="BD546" s="2">
        <f t="shared" ca="1" si="338"/>
        <v>2.78080208133957E-4</v>
      </c>
      <c r="BE546" s="2">
        <f t="shared" ca="1" si="339"/>
        <v>0.16235449847458383</v>
      </c>
      <c r="BF546" s="2">
        <f t="shared" ca="1" si="340"/>
        <v>0.70821831679467784</v>
      </c>
      <c r="BG546" s="2">
        <f t="shared" ca="1" si="341"/>
        <v>5.2481635649283646E-2</v>
      </c>
      <c r="BH546" s="2">
        <f t="shared" ca="1" si="342"/>
        <v>0.70821831679467784</v>
      </c>
      <c r="BI546" s="2">
        <f t="shared" ca="1" si="343"/>
        <v>0.70821831679467784</v>
      </c>
    </row>
    <row r="547" spans="1:61" ht="15" x14ac:dyDescent="0.25">
      <c r="A547" s="66">
        <v>481</v>
      </c>
      <c r="B547" s="66">
        <v>1498730372.9070001</v>
      </c>
      <c r="C547" s="67">
        <v>-5.4566632278717202E-5</v>
      </c>
      <c r="D547" s="67">
        <v>6.7829360863375305E-7</v>
      </c>
      <c r="E547" s="67">
        <v>1.23387794828567E-2</v>
      </c>
      <c r="F547" s="67">
        <v>8.2613885887598002E-4</v>
      </c>
      <c r="G547" s="67">
        <v>-8.8581022721881395E-5</v>
      </c>
      <c r="H547" s="67">
        <v>0.227360040098712</v>
      </c>
      <c r="I547" s="67">
        <v>6.7829360863375305E-7</v>
      </c>
      <c r="J547" s="67">
        <v>0.164248461348137</v>
      </c>
      <c r="K547" s="67">
        <v>1.9738171635964601</v>
      </c>
      <c r="L547" s="67"/>
      <c r="M547" s="67"/>
      <c r="N547" s="16"/>
      <c r="O547" s="11">
        <f t="shared" ca="1" si="301"/>
        <v>-6.737056298867723E-5</v>
      </c>
      <c r="P547" s="11">
        <f t="shared" ca="1" si="302"/>
        <v>-8.6806621670987359E-8</v>
      </c>
      <c r="Q547" s="11">
        <f t="shared" ca="1" si="303"/>
        <v>1.1502287870588416E-2</v>
      </c>
      <c r="R547" s="11">
        <f t="shared" ca="1" si="304"/>
        <v>8.1449237122963286E-4</v>
      </c>
      <c r="S547" s="11">
        <f t="shared" ca="1" si="305"/>
        <v>-9.9508674768851522E-5</v>
      </c>
      <c r="T547" s="11">
        <f t="shared" ca="1" si="306"/>
        <v>0.22622148506012971</v>
      </c>
      <c r="U547" s="11">
        <f t="shared" ca="1" si="307"/>
        <v>-8.6806621670987359E-8</v>
      </c>
      <c r="V547" s="11">
        <f t="shared" ca="1" si="308"/>
        <v>0.16359826534244323</v>
      </c>
      <c r="W547" s="11">
        <f t="shared" ca="1" si="309"/>
        <v>1.966694315332955</v>
      </c>
      <c r="X547" s="11"/>
      <c r="Y547" s="2">
        <f t="shared" ca="1" si="310"/>
        <v>-6.737056298867723E-5</v>
      </c>
      <c r="Z547" s="11">
        <f t="shared" ca="1" si="311"/>
        <v>-8.6806621670987359E-8</v>
      </c>
      <c r="AA547" s="2">
        <f t="shared" ca="1" si="312"/>
        <v>1.1502287870588416E-2</v>
      </c>
      <c r="AB547" s="2">
        <f t="shared" ca="1" si="313"/>
        <v>8.1449237122963286E-4</v>
      </c>
      <c r="AC547" s="2">
        <f t="shared" ca="1" si="314"/>
        <v>-9.9508674768851522E-5</v>
      </c>
      <c r="AD547" s="2">
        <f t="shared" ca="1" si="315"/>
        <v>0.22622148506012971</v>
      </c>
      <c r="AE547" s="2">
        <f t="shared" ca="1" si="316"/>
        <v>-8.6806621670987359E-8</v>
      </c>
      <c r="AF547" s="2">
        <f t="shared" ca="1" si="317"/>
        <v>0.16359826534244323</v>
      </c>
      <c r="AG547" s="2">
        <f t="shared" ca="1" si="318"/>
        <v>1.966694315332955</v>
      </c>
      <c r="AI547" s="2">
        <f t="shared" ca="1" si="319"/>
        <v>-6.737056298867723E-5</v>
      </c>
      <c r="AJ547" s="11">
        <f t="shared" ca="1" si="320"/>
        <v>-8.6806621670987359E-8</v>
      </c>
      <c r="AK547" s="2">
        <f t="shared" ca="1" si="321"/>
        <v>1.1502287870588416E-2</v>
      </c>
      <c r="AL547" s="2">
        <f t="shared" ca="1" si="322"/>
        <v>8.1449237122963286E-4</v>
      </c>
      <c r="AM547" s="2">
        <f t="shared" ca="1" si="323"/>
        <v>-9.9508674768851522E-5</v>
      </c>
      <c r="AN547" s="2">
        <f t="shared" ca="1" si="324"/>
        <v>0.22622148506012971</v>
      </c>
      <c r="AO547" s="2">
        <f t="shared" ca="1" si="325"/>
        <v>-8.6806621670987359E-8</v>
      </c>
      <c r="AP547" s="2">
        <f t="shared" ca="1" si="326"/>
        <v>0.16359826534244323</v>
      </c>
      <c r="AQ547" s="2">
        <f t="shared" ca="1" si="327"/>
        <v>1.966694315332955</v>
      </c>
      <c r="AS547" s="2">
        <f t="shared" ca="1" si="328"/>
        <v>8.6936672474332291</v>
      </c>
      <c r="AT547" s="2">
        <f t="shared" ca="1" si="329"/>
        <v>0.40051134077881845</v>
      </c>
      <c r="AU547" s="2">
        <f t="shared" ca="1" si="330"/>
        <v>3.262134316552994E-4</v>
      </c>
      <c r="AV547" s="2">
        <f t="shared" ca="1" si="331"/>
        <v>0.16327205191078795</v>
      </c>
      <c r="AW547" s="2">
        <f t="shared" ca="1" si="332"/>
        <v>0.70829811163270751</v>
      </c>
      <c r="AX547" s="2">
        <f t="shared" ca="1" si="333"/>
        <v>5.282439991819645E-2</v>
      </c>
      <c r="AY547" s="9">
        <f t="shared" ca="1" si="334"/>
        <v>0.70829811163270751</v>
      </c>
      <c r="AZ547" s="9">
        <f t="shared" ca="1" si="335"/>
        <v>0.70829811163270751</v>
      </c>
      <c r="BA547" s="9"/>
      <c r="BB547" s="2">
        <f t="shared" ca="1" si="336"/>
        <v>8.6936672474332291</v>
      </c>
      <c r="BC547" s="2">
        <f t="shared" ca="1" si="337"/>
        <v>0.40051134077881845</v>
      </c>
      <c r="BD547" s="2">
        <f t="shared" ca="1" si="338"/>
        <v>3.262134316552994E-4</v>
      </c>
      <c r="BE547" s="2">
        <f t="shared" ca="1" si="339"/>
        <v>0.16327205191078795</v>
      </c>
      <c r="BF547" s="2">
        <f t="shared" ca="1" si="340"/>
        <v>0.70829811163270751</v>
      </c>
      <c r="BG547" s="2">
        <f t="shared" ca="1" si="341"/>
        <v>5.282439991819645E-2</v>
      </c>
      <c r="BH547" s="2">
        <f t="shared" ca="1" si="342"/>
        <v>0.70829811163270751</v>
      </c>
      <c r="BI547" s="2">
        <f t="shared" ca="1" si="343"/>
        <v>0.70829811163270751</v>
      </c>
    </row>
    <row r="548" spans="1:61" ht="15" x14ac:dyDescent="0.25">
      <c r="A548" s="66">
        <v>482</v>
      </c>
      <c r="B548" s="66">
        <v>1498730373.434</v>
      </c>
      <c r="C548" s="67">
        <v>3.3306600643183E-5</v>
      </c>
      <c r="D548" s="67">
        <v>6.3886233149941402E-5</v>
      </c>
      <c r="E548" s="67">
        <v>1.1805974389435101E-2</v>
      </c>
      <c r="F548" s="67">
        <v>8.0780285587485595E-4</v>
      </c>
      <c r="G548" s="67">
        <v>1.11462543620876E-4</v>
      </c>
      <c r="H548" s="67">
        <v>0.215539760734345</v>
      </c>
      <c r="I548" s="67">
        <v>6.3886233149941402E-5</v>
      </c>
      <c r="J548" s="67">
        <v>0.15587019640557401</v>
      </c>
      <c r="K548" s="67">
        <v>1.8724742237711001</v>
      </c>
      <c r="L548" s="67"/>
      <c r="M548" s="67"/>
      <c r="N548" s="16"/>
      <c r="O548" s="11">
        <f t="shared" ca="1" si="301"/>
        <v>2.0502669933222972E-5</v>
      </c>
      <c r="P548" s="11">
        <f t="shared" ca="1" si="302"/>
        <v>6.3121132919636663E-5</v>
      </c>
      <c r="Q548" s="11">
        <f t="shared" ca="1" si="303"/>
        <v>1.0969482777166816E-2</v>
      </c>
      <c r="R548" s="11">
        <f t="shared" ca="1" si="304"/>
        <v>7.9615636822850879E-4</v>
      </c>
      <c r="S548" s="11">
        <f t="shared" ca="1" si="305"/>
        <v>1.0053489157390587E-4</v>
      </c>
      <c r="T548" s="11">
        <f t="shared" ca="1" si="306"/>
        <v>0.21440120569576271</v>
      </c>
      <c r="U548" s="11">
        <f t="shared" ca="1" si="307"/>
        <v>6.3121132919636663E-5</v>
      </c>
      <c r="V548" s="11">
        <f t="shared" ca="1" si="308"/>
        <v>0.15522000039988024</v>
      </c>
      <c r="W548" s="11">
        <f t="shared" ca="1" si="309"/>
        <v>1.865351375507595</v>
      </c>
      <c r="X548" s="11"/>
      <c r="Y548" s="2">
        <f t="shared" ca="1" si="310"/>
        <v>2.0502669933222972E-5</v>
      </c>
      <c r="Z548" s="11">
        <f t="shared" ca="1" si="311"/>
        <v>6.3121132919636663E-5</v>
      </c>
      <c r="AA548" s="2">
        <f t="shared" ca="1" si="312"/>
        <v>1.0968999853265948E-2</v>
      </c>
      <c r="AB548" s="2">
        <f t="shared" ca="1" si="313"/>
        <v>7.8446741471883009E-4</v>
      </c>
      <c r="AC548" s="2">
        <f t="shared" ca="1" si="314"/>
        <v>1.0053489157390587E-4</v>
      </c>
      <c r="AD548" s="2">
        <f t="shared" ca="1" si="315"/>
        <v>0.21431620011366651</v>
      </c>
      <c r="AE548" s="2">
        <f t="shared" ca="1" si="316"/>
        <v>6.3121132919636663E-5</v>
      </c>
      <c r="AF548" s="2">
        <f t="shared" ca="1" si="317"/>
        <v>0.15509446762451221</v>
      </c>
      <c r="AG548" s="2">
        <f t="shared" ca="1" si="318"/>
        <v>1.8653004372276292</v>
      </c>
      <c r="AI548" s="2">
        <f t="shared" ca="1" si="319"/>
        <v>2.0502669933222972E-5</v>
      </c>
      <c r="AJ548" s="11">
        <f t="shared" ca="1" si="320"/>
        <v>6.3121132919636663E-5</v>
      </c>
      <c r="AK548" s="2">
        <f t="shared" ca="1" si="321"/>
        <v>1.0894528595502748E-2</v>
      </c>
      <c r="AL548" s="2">
        <f t="shared" ca="1" si="322"/>
        <v>7.4961175539537198E-4</v>
      </c>
      <c r="AM548" s="2">
        <f t="shared" ca="1" si="323"/>
        <v>1.0053489157390587E-4</v>
      </c>
      <c r="AN548" s="2">
        <f t="shared" ca="1" si="324"/>
        <v>0.21431620011366651</v>
      </c>
      <c r="AO548" s="2">
        <f t="shared" ca="1" si="325"/>
        <v>6.3121132919636663E-5</v>
      </c>
      <c r="AP548" s="2">
        <f t="shared" ca="1" si="326"/>
        <v>0.15509446762451221</v>
      </c>
      <c r="AQ548" s="2">
        <f t="shared" ca="1" si="327"/>
        <v>1.8653004372276292</v>
      </c>
      <c r="AS548" s="2">
        <f t="shared" ca="1" si="328"/>
        <v>8.7002839813995543</v>
      </c>
      <c r="AT548" s="2">
        <f t="shared" ca="1" si="329"/>
        <v>0.40081986783780876</v>
      </c>
      <c r="AU548" s="2">
        <f t="shared" ca="1" si="330"/>
        <v>3.1911529029158067E-4</v>
      </c>
      <c r="AV548" s="2">
        <f t="shared" ca="1" si="331"/>
        <v>0.15490088510958866</v>
      </c>
      <c r="AW548" s="2">
        <f t="shared" ca="1" si="332"/>
        <v>0.70875863570520015</v>
      </c>
      <c r="AX548" s="2">
        <f t="shared" ca="1" si="333"/>
        <v>5.3196273872837568E-2</v>
      </c>
      <c r="AY548" s="9">
        <f t="shared" ca="1" si="334"/>
        <v>0.70875863570520015</v>
      </c>
      <c r="AZ548" s="9">
        <f t="shared" ca="1" si="335"/>
        <v>0.70875863570520015</v>
      </c>
      <c r="BA548" s="9"/>
      <c r="BB548" s="2">
        <f t="shared" ca="1" si="336"/>
        <v>8.7034971515841217</v>
      </c>
      <c r="BC548" s="2">
        <f t="shared" ca="1" si="337"/>
        <v>0.4009696935290849</v>
      </c>
      <c r="BD548" s="2">
        <f t="shared" ca="1" si="338"/>
        <v>3.0057159582668163E-4</v>
      </c>
      <c r="BE548" s="2">
        <f t="shared" ca="1" si="339"/>
        <v>0.15479389602868551</v>
      </c>
      <c r="BF548" s="2">
        <f t="shared" ca="1" si="340"/>
        <v>0.70841828193482681</v>
      </c>
      <c r="BG548" s="2">
        <f t="shared" ca="1" si="341"/>
        <v>5.2873714320562669E-2</v>
      </c>
      <c r="BH548" s="2">
        <f t="shared" ca="1" si="342"/>
        <v>0.70841828193482681</v>
      </c>
      <c r="BI548" s="2">
        <f t="shared" ca="1" si="343"/>
        <v>0.70841828193482681</v>
      </c>
    </row>
    <row r="549" spans="1:61" ht="15" x14ac:dyDescent="0.25">
      <c r="A549" s="66">
        <v>483</v>
      </c>
      <c r="B549" s="66">
        <v>1498730373.96</v>
      </c>
      <c r="C549" s="67">
        <v>-7.1809659700429405E-5</v>
      </c>
      <c r="D549" s="67">
        <v>-2.8088653676260601E-5</v>
      </c>
      <c r="E549" s="67">
        <v>1.1304484128059801E-2</v>
      </c>
      <c r="F549" s="67">
        <v>6.5612701051405702E-4</v>
      </c>
      <c r="G549" s="67">
        <v>-1.07454108989394E-4</v>
      </c>
      <c r="H549" s="67">
        <v>0.207995259246088</v>
      </c>
      <c r="I549" s="67">
        <v>-2.8088653676260601E-5</v>
      </c>
      <c r="J549" s="67">
        <v>0.15035224546701001</v>
      </c>
      <c r="K549" s="67">
        <v>1.80666085028184</v>
      </c>
      <c r="L549" s="67"/>
      <c r="M549" s="67"/>
      <c r="N549" s="16"/>
      <c r="O549" s="11">
        <f t="shared" ca="1" si="301"/>
        <v>-8.4613590410389426E-5</v>
      </c>
      <c r="P549" s="11">
        <f t="shared" ca="1" si="302"/>
        <v>-2.8853753906565343E-5</v>
      </c>
      <c r="Q549" s="11">
        <f t="shared" ca="1" si="303"/>
        <v>1.0467992515791516E-2</v>
      </c>
      <c r="R549" s="11">
        <f t="shared" ca="1" si="304"/>
        <v>6.4448052286770986E-4</v>
      </c>
      <c r="S549" s="11">
        <f t="shared" ca="1" si="305"/>
        <v>-1.1838176103636413E-4</v>
      </c>
      <c r="T549" s="11">
        <f t="shared" ca="1" si="306"/>
        <v>0.20685670420750571</v>
      </c>
      <c r="U549" s="11">
        <f t="shared" ca="1" si="307"/>
        <v>-2.8853753906565343E-5</v>
      </c>
      <c r="V549" s="11">
        <f t="shared" ca="1" si="308"/>
        <v>0.14970204946131624</v>
      </c>
      <c r="W549" s="11">
        <f t="shared" ca="1" si="309"/>
        <v>1.7995380020183349</v>
      </c>
      <c r="X549" s="11"/>
      <c r="Y549" s="2">
        <f t="shared" ca="1" si="310"/>
        <v>-8.4613590410389426E-5</v>
      </c>
      <c r="Z549" s="11">
        <f t="shared" ca="1" si="311"/>
        <v>-2.8853753906565343E-5</v>
      </c>
      <c r="AA549" s="2">
        <f t="shared" ca="1" si="312"/>
        <v>1.0467992515791516E-2</v>
      </c>
      <c r="AB549" s="2">
        <f t="shared" ca="1" si="313"/>
        <v>6.4448052286770986E-4</v>
      </c>
      <c r="AC549" s="2">
        <f t="shared" ca="1" si="314"/>
        <v>-1.1838176103636413E-4</v>
      </c>
      <c r="AD549" s="2">
        <f t="shared" ca="1" si="315"/>
        <v>0.20685670420750571</v>
      </c>
      <c r="AE549" s="2">
        <f t="shared" ca="1" si="316"/>
        <v>-2.8853753906565343E-5</v>
      </c>
      <c r="AF549" s="2">
        <f t="shared" ca="1" si="317"/>
        <v>0.14970204946131624</v>
      </c>
      <c r="AG549" s="2">
        <f t="shared" ca="1" si="318"/>
        <v>1.7995380020183349</v>
      </c>
      <c r="AI549" s="2">
        <f t="shared" ca="1" si="319"/>
        <v>-8.4613590410389426E-5</v>
      </c>
      <c r="AJ549" s="11">
        <f t="shared" ca="1" si="320"/>
        <v>-2.8853753906565343E-5</v>
      </c>
      <c r="AK549" s="2">
        <f t="shared" ca="1" si="321"/>
        <v>1.0467992515791516E-2</v>
      </c>
      <c r="AL549" s="2">
        <f t="shared" ca="1" si="322"/>
        <v>6.4448052286770986E-4</v>
      </c>
      <c r="AM549" s="2">
        <f t="shared" ca="1" si="323"/>
        <v>-1.1838176103636413E-4</v>
      </c>
      <c r="AN549" s="2">
        <f t="shared" ca="1" si="324"/>
        <v>0.20685670420750571</v>
      </c>
      <c r="AO549" s="2">
        <f t="shared" ca="1" si="325"/>
        <v>-2.8853753906565343E-5</v>
      </c>
      <c r="AP549" s="2">
        <f t="shared" ca="1" si="326"/>
        <v>0.14970204946131624</v>
      </c>
      <c r="AQ549" s="2">
        <f t="shared" ca="1" si="327"/>
        <v>1.7995380020183349</v>
      </c>
      <c r="AS549" s="2">
        <f t="shared" ca="1" si="328"/>
        <v>8.6994424904553771</v>
      </c>
      <c r="AT549" s="2">
        <f t="shared" ca="1" si="329"/>
        <v>0.40078063038729056</v>
      </c>
      <c r="AU549" s="2">
        <f t="shared" ca="1" si="330"/>
        <v>2.5829531022725141E-4</v>
      </c>
      <c r="AV549" s="2">
        <f t="shared" ca="1" si="331"/>
        <v>0.14944375415108899</v>
      </c>
      <c r="AW549" s="2">
        <f t="shared" ca="1" si="332"/>
        <v>0.70876295449270665</v>
      </c>
      <c r="AX549" s="2">
        <f t="shared" ca="1" si="333"/>
        <v>5.2610581840970498E-2</v>
      </c>
      <c r="AY549" s="9">
        <f t="shared" ca="1" si="334"/>
        <v>0.70876295449270665</v>
      </c>
      <c r="AZ549" s="9">
        <f t="shared" ca="1" si="335"/>
        <v>0.70876295449270665</v>
      </c>
      <c r="BA549" s="9"/>
      <c r="BB549" s="2">
        <f t="shared" ca="1" si="336"/>
        <v>8.6994424904553771</v>
      </c>
      <c r="BC549" s="2">
        <f t="shared" ca="1" si="337"/>
        <v>0.40078063038729056</v>
      </c>
      <c r="BD549" s="2">
        <f t="shared" ca="1" si="338"/>
        <v>2.5829531022725141E-4</v>
      </c>
      <c r="BE549" s="2">
        <f t="shared" ca="1" si="339"/>
        <v>0.14944375415108899</v>
      </c>
      <c r="BF549" s="2">
        <f t="shared" ca="1" si="340"/>
        <v>0.70876295449270665</v>
      </c>
      <c r="BG549" s="2">
        <f t="shared" ca="1" si="341"/>
        <v>5.2610581840970498E-2</v>
      </c>
      <c r="BH549" s="2">
        <f t="shared" ca="1" si="342"/>
        <v>0.70876295449270665</v>
      </c>
      <c r="BI549" s="2">
        <f t="shared" ca="1" si="343"/>
        <v>0.70876295449270665</v>
      </c>
    </row>
    <row r="550" spans="1:61" ht="15" x14ac:dyDescent="0.25">
      <c r="A550" s="66">
        <v>484</v>
      </c>
      <c r="B550" s="66">
        <v>1498730374.487</v>
      </c>
      <c r="C550" s="67">
        <v>2.2912586614706799E-5</v>
      </c>
      <c r="D550" s="67">
        <v>-5.5265515661051199E-5</v>
      </c>
      <c r="E550" s="67">
        <v>1.16569932919469E-2</v>
      </c>
      <c r="F550" s="67">
        <v>8.7733857109017696E-4</v>
      </c>
      <c r="G550" s="67">
        <v>1.39840847501947E-4</v>
      </c>
      <c r="H550" s="67">
        <v>0.21274541340845801</v>
      </c>
      <c r="I550" s="67">
        <v>-5.5265515661051199E-5</v>
      </c>
      <c r="J550" s="67">
        <v>0.15379782653658899</v>
      </c>
      <c r="K550" s="67">
        <v>1.8435161855670601</v>
      </c>
      <c r="L550" s="67"/>
      <c r="M550" s="67"/>
      <c r="N550" s="16"/>
      <c r="O550" s="11">
        <f t="shared" ca="1" si="301"/>
        <v>1.0108655904746771E-5</v>
      </c>
      <c r="P550" s="11">
        <f t="shared" ca="1" si="302"/>
        <v>-5.6030615891355938E-5</v>
      </c>
      <c r="Q550" s="11">
        <f t="shared" ca="1" si="303"/>
        <v>1.0820501679678615E-2</v>
      </c>
      <c r="R550" s="11">
        <f t="shared" ca="1" si="304"/>
        <v>8.656920834438298E-4</v>
      </c>
      <c r="S550" s="11">
        <f t="shared" ca="1" si="305"/>
        <v>1.2891319545497689E-4</v>
      </c>
      <c r="T550" s="11">
        <f t="shared" ca="1" si="306"/>
        <v>0.21160685836987572</v>
      </c>
      <c r="U550" s="11">
        <f t="shared" ca="1" si="307"/>
        <v>-5.6030615891355938E-5</v>
      </c>
      <c r="V550" s="11">
        <f t="shared" ca="1" si="308"/>
        <v>0.15314763053089522</v>
      </c>
      <c r="W550" s="11">
        <f t="shared" ca="1" si="309"/>
        <v>1.836393337303555</v>
      </c>
      <c r="X550" s="11"/>
      <c r="Y550" s="2">
        <f t="shared" ca="1" si="310"/>
        <v>1.0108655904746771E-5</v>
      </c>
      <c r="Z550" s="11">
        <f t="shared" ca="1" si="311"/>
        <v>-5.6030615891355938E-5</v>
      </c>
      <c r="AA550" s="2">
        <f t="shared" ca="1" si="312"/>
        <v>1.0820501679678615E-2</v>
      </c>
      <c r="AB550" s="2">
        <f t="shared" ca="1" si="313"/>
        <v>8.656920834438298E-4</v>
      </c>
      <c r="AC550" s="2">
        <f t="shared" ca="1" si="314"/>
        <v>1.2891319545497689E-4</v>
      </c>
      <c r="AD550" s="2">
        <f t="shared" ca="1" si="315"/>
        <v>0.21160685836987572</v>
      </c>
      <c r="AE550" s="2">
        <f t="shared" ca="1" si="316"/>
        <v>-5.6030615891355938E-5</v>
      </c>
      <c r="AF550" s="2">
        <f t="shared" ca="1" si="317"/>
        <v>0.15314763053089522</v>
      </c>
      <c r="AG550" s="2">
        <f t="shared" ca="1" si="318"/>
        <v>1.836393337303555</v>
      </c>
      <c r="AI550" s="2">
        <f t="shared" ca="1" si="319"/>
        <v>1.0108655904746771E-5</v>
      </c>
      <c r="AJ550" s="11">
        <f t="shared" ca="1" si="320"/>
        <v>-5.6030615891355938E-5</v>
      </c>
      <c r="AK550" s="2">
        <f t="shared" ca="1" si="321"/>
        <v>1.0820501679678615E-2</v>
      </c>
      <c r="AL550" s="2">
        <f t="shared" ca="1" si="322"/>
        <v>8.656920834438298E-4</v>
      </c>
      <c r="AM550" s="2">
        <f t="shared" ca="1" si="323"/>
        <v>1.2891319545497689E-4</v>
      </c>
      <c r="AN550" s="2">
        <f t="shared" ca="1" si="324"/>
        <v>0.21160685836987572</v>
      </c>
      <c r="AO550" s="2">
        <f t="shared" ca="1" si="325"/>
        <v>-5.6030615891355938E-5</v>
      </c>
      <c r="AP550" s="2">
        <f t="shared" ca="1" si="326"/>
        <v>0.15314763053089522</v>
      </c>
      <c r="AQ550" s="2">
        <f t="shared" ca="1" si="327"/>
        <v>1.836393337303555</v>
      </c>
      <c r="AS550" s="2">
        <f t="shared" ca="1" si="328"/>
        <v>8.6783261726500989</v>
      </c>
      <c r="AT550" s="2">
        <f t="shared" ca="1" si="329"/>
        <v>0.39979602349575494</v>
      </c>
      <c r="AU550" s="2">
        <f t="shared" ca="1" si="330"/>
        <v>3.4610025253259841E-4</v>
      </c>
      <c r="AV550" s="2">
        <f t="shared" ca="1" si="331"/>
        <v>0.15280153027836263</v>
      </c>
      <c r="AW550" s="2">
        <f t="shared" ca="1" si="332"/>
        <v>0.70928753046695125</v>
      </c>
      <c r="AX550" s="2">
        <f t="shared" ca="1" si="333"/>
        <v>5.3029431014888204E-2</v>
      </c>
      <c r="AY550" s="9">
        <f t="shared" ca="1" si="334"/>
        <v>0.70928753046695125</v>
      </c>
      <c r="AZ550" s="9">
        <f t="shared" ca="1" si="335"/>
        <v>0.70928753046695125</v>
      </c>
      <c r="BA550" s="9"/>
      <c r="BB550" s="2">
        <f t="shared" ca="1" si="336"/>
        <v>8.6783261726500989</v>
      </c>
      <c r="BC550" s="2">
        <f t="shared" ca="1" si="337"/>
        <v>0.39979602349575494</v>
      </c>
      <c r="BD550" s="2">
        <f t="shared" ca="1" si="338"/>
        <v>3.4610025253259841E-4</v>
      </c>
      <c r="BE550" s="2">
        <f t="shared" ca="1" si="339"/>
        <v>0.15280153027836263</v>
      </c>
      <c r="BF550" s="2">
        <f t="shared" ca="1" si="340"/>
        <v>0.70928753046695125</v>
      </c>
      <c r="BG550" s="2">
        <f t="shared" ca="1" si="341"/>
        <v>5.3029431014888204E-2</v>
      </c>
      <c r="BH550" s="2">
        <f t="shared" ca="1" si="342"/>
        <v>0.70928753046695125</v>
      </c>
      <c r="BI550" s="2">
        <f t="shared" ca="1" si="343"/>
        <v>0.70928753046695125</v>
      </c>
    </row>
    <row r="551" spans="1:61" ht="15" x14ac:dyDescent="0.25">
      <c r="A551" s="66">
        <v>485</v>
      </c>
      <c r="B551" s="66">
        <v>1498730375.0139999</v>
      </c>
      <c r="C551" s="67">
        <v>-2.9292064228077701E-5</v>
      </c>
      <c r="D551" s="67">
        <v>1.30331646417874E-5</v>
      </c>
      <c r="E551" s="67">
        <v>1.30506675560419E-2</v>
      </c>
      <c r="F551" s="67">
        <v>9.2377778856612698E-4</v>
      </c>
      <c r="G551" s="67">
        <v>3.3982215685550597E-5</v>
      </c>
      <c r="H551" s="67">
        <v>0.240418849899148</v>
      </c>
      <c r="I551" s="67">
        <v>1.30331646417874E-5</v>
      </c>
      <c r="J551" s="67">
        <v>0.173716354194485</v>
      </c>
      <c r="K551" s="67">
        <v>2.0839090628858199</v>
      </c>
      <c r="L551" s="67"/>
      <c r="M551" s="67"/>
      <c r="N551" s="16"/>
      <c r="O551" s="11">
        <f t="shared" ca="1" si="301"/>
        <v>-4.2095994938037728E-5</v>
      </c>
      <c r="P551" s="11">
        <f t="shared" ca="1" si="302"/>
        <v>1.226806441148266E-5</v>
      </c>
      <c r="Q551" s="11">
        <f t="shared" ca="1" si="303"/>
        <v>1.2214175943773616E-2</v>
      </c>
      <c r="R551" s="11">
        <f t="shared" ca="1" si="304"/>
        <v>9.1213130091977982E-4</v>
      </c>
      <c r="S551" s="11">
        <f t="shared" ca="1" si="305"/>
        <v>2.3054563638580477E-5</v>
      </c>
      <c r="T551" s="11">
        <f t="shared" ca="1" si="306"/>
        <v>0.23928029486056571</v>
      </c>
      <c r="U551" s="11">
        <f t="shared" ca="1" si="307"/>
        <v>1.226806441148266E-5</v>
      </c>
      <c r="V551" s="11">
        <f t="shared" ca="1" si="308"/>
        <v>0.17306615818879123</v>
      </c>
      <c r="W551" s="11">
        <f t="shared" ca="1" si="309"/>
        <v>2.0767862146223148</v>
      </c>
      <c r="X551" s="11"/>
      <c r="Y551" s="2">
        <f t="shared" ca="1" si="310"/>
        <v>-4.2095994938037728E-5</v>
      </c>
      <c r="Z551" s="11">
        <f t="shared" ca="1" si="311"/>
        <v>1.226806441148266E-5</v>
      </c>
      <c r="AA551" s="2">
        <f t="shared" ca="1" si="312"/>
        <v>1.221408208390058E-2</v>
      </c>
      <c r="AB551" s="2">
        <f t="shared" ca="1" si="313"/>
        <v>9.0985946535652822E-4</v>
      </c>
      <c r="AC551" s="2">
        <f t="shared" ca="1" si="314"/>
        <v>2.3054563638580477E-5</v>
      </c>
      <c r="AD551" s="2">
        <f t="shared" ca="1" si="315"/>
        <v>0.23926377338973248</v>
      </c>
      <c r="AE551" s="2">
        <f t="shared" ca="1" si="316"/>
        <v>1.226806441148266E-5</v>
      </c>
      <c r="AF551" s="2">
        <f t="shared" ca="1" si="317"/>
        <v>0.17304175995474927</v>
      </c>
      <c r="AG551" s="2">
        <f t="shared" ca="1" si="318"/>
        <v>2.0767763143865188</v>
      </c>
      <c r="AI551" s="2">
        <f t="shared" ca="1" si="319"/>
        <v>-4.2095994938037728E-5</v>
      </c>
      <c r="AJ551" s="11">
        <f t="shared" ca="1" si="320"/>
        <v>1.226806441148266E-5</v>
      </c>
      <c r="AK551" s="2">
        <f t="shared" ca="1" si="321"/>
        <v>1.2199608037811987E-2</v>
      </c>
      <c r="AL551" s="2">
        <f t="shared" ca="1" si="322"/>
        <v>9.0308500720113832E-4</v>
      </c>
      <c r="AM551" s="2">
        <f t="shared" ca="1" si="323"/>
        <v>2.3054563638580477E-5</v>
      </c>
      <c r="AN551" s="2">
        <f t="shared" ca="1" si="324"/>
        <v>0.23926377338973248</v>
      </c>
      <c r="AO551" s="2">
        <f t="shared" ca="1" si="325"/>
        <v>1.226806441148266E-5</v>
      </c>
      <c r="AP551" s="2">
        <f t="shared" ca="1" si="326"/>
        <v>0.17304175995474927</v>
      </c>
      <c r="AQ551" s="2">
        <f t="shared" ca="1" si="327"/>
        <v>2.0767763143865188</v>
      </c>
      <c r="AS551" s="2">
        <f t="shared" ca="1" si="328"/>
        <v>8.6793031404132428</v>
      </c>
      <c r="AT551" s="2">
        <f t="shared" ca="1" si="329"/>
        <v>0.39984157668714265</v>
      </c>
      <c r="AU551" s="2">
        <f t="shared" ca="1" si="330"/>
        <v>3.6470801750545931E-4</v>
      </c>
      <c r="AV551" s="2">
        <f t="shared" ca="1" si="331"/>
        <v>0.17270145017128577</v>
      </c>
      <c r="AW551" s="2">
        <f t="shared" ca="1" si="332"/>
        <v>0.70890622516319945</v>
      </c>
      <c r="AX551" s="2">
        <f t="shared" ca="1" si="333"/>
        <v>5.2942759179990334E-2</v>
      </c>
      <c r="AY551" s="9">
        <f t="shared" ca="1" si="334"/>
        <v>0.70890622516319945</v>
      </c>
      <c r="AZ551" s="9">
        <f t="shared" ca="1" si="335"/>
        <v>0.70890622516319945</v>
      </c>
      <c r="BA551" s="9"/>
      <c r="BB551" s="2">
        <f t="shared" ca="1" si="336"/>
        <v>8.6798610795278854</v>
      </c>
      <c r="BC551" s="2">
        <f t="shared" ca="1" si="337"/>
        <v>0.39986759180810055</v>
      </c>
      <c r="BD551" s="2">
        <f t="shared" ca="1" si="338"/>
        <v>3.6111442702752033E-4</v>
      </c>
      <c r="BE551" s="2">
        <f t="shared" ca="1" si="339"/>
        <v>0.17268064552772175</v>
      </c>
      <c r="BF551" s="2">
        <f t="shared" ca="1" si="340"/>
        <v>0.70884682401633725</v>
      </c>
      <c r="BG551" s="2">
        <f t="shared" ca="1" si="341"/>
        <v>5.28867440876035E-2</v>
      </c>
      <c r="BH551" s="2">
        <f t="shared" ca="1" si="342"/>
        <v>0.70884682401633725</v>
      </c>
      <c r="BI551" s="2">
        <f t="shared" ca="1" si="343"/>
        <v>0.70884682401633725</v>
      </c>
    </row>
    <row r="552" spans="1:61" ht="15" x14ac:dyDescent="0.25">
      <c r="A552" s="66">
        <v>486</v>
      </c>
      <c r="B552" s="66">
        <v>1498730375.5409999</v>
      </c>
      <c r="C552" s="67">
        <v>3.7558728675200001E-5</v>
      </c>
      <c r="D552" s="67">
        <v>-1.2218266395642999E-5</v>
      </c>
      <c r="E552" s="67">
        <v>1.35817177350834E-2</v>
      </c>
      <c r="F552" s="67">
        <v>1.03905163637853E-3</v>
      </c>
      <c r="G552" s="67">
        <v>-1.43504000279008E-5</v>
      </c>
      <c r="H552" s="67">
        <v>0.25213156536335302</v>
      </c>
      <c r="I552" s="67">
        <v>-1.2218266395642999E-5</v>
      </c>
      <c r="J552" s="67">
        <v>0.18226193917185801</v>
      </c>
      <c r="K552" s="67">
        <v>2.1881864927679802</v>
      </c>
      <c r="L552" s="67"/>
      <c r="M552" s="67"/>
      <c r="N552" s="16"/>
      <c r="O552" s="11">
        <f t="shared" ca="1" si="301"/>
        <v>2.4754797965239974E-5</v>
      </c>
      <c r="P552" s="11">
        <f t="shared" ca="1" si="302"/>
        <v>-1.298336662594774E-5</v>
      </c>
      <c r="Q552" s="11">
        <f t="shared" ca="1" si="303"/>
        <v>1.2745226122815116E-2</v>
      </c>
      <c r="R552" s="11">
        <f t="shared" ca="1" si="304"/>
        <v>1.0274051487321829E-3</v>
      </c>
      <c r="S552" s="11">
        <f t="shared" ca="1" si="305"/>
        <v>-2.5278052074870923E-5</v>
      </c>
      <c r="T552" s="11">
        <f t="shared" ca="1" si="306"/>
        <v>0.25099301032477073</v>
      </c>
      <c r="U552" s="11">
        <f t="shared" ca="1" si="307"/>
        <v>-1.298336662594774E-5</v>
      </c>
      <c r="V552" s="11">
        <f t="shared" ca="1" si="308"/>
        <v>0.18161174316616424</v>
      </c>
      <c r="W552" s="11">
        <f t="shared" ca="1" si="309"/>
        <v>2.1810636445044751</v>
      </c>
      <c r="X552" s="11"/>
      <c r="Y552" s="2">
        <f t="shared" ca="1" si="310"/>
        <v>2.4754797965239974E-5</v>
      </c>
      <c r="Z552" s="11">
        <f t="shared" ca="1" si="311"/>
        <v>-1.298336662594774E-5</v>
      </c>
      <c r="AA552" s="2">
        <f t="shared" ca="1" si="312"/>
        <v>1.2745226122815116E-2</v>
      </c>
      <c r="AB552" s="2">
        <f t="shared" ca="1" si="313"/>
        <v>1.0274051487321829E-3</v>
      </c>
      <c r="AC552" s="2">
        <f t="shared" ca="1" si="314"/>
        <v>-2.5278052074870923E-5</v>
      </c>
      <c r="AD552" s="2">
        <f t="shared" ca="1" si="315"/>
        <v>0.25099301032477073</v>
      </c>
      <c r="AE552" s="2">
        <f t="shared" ca="1" si="316"/>
        <v>-1.298336662594774E-5</v>
      </c>
      <c r="AF552" s="2">
        <f t="shared" ca="1" si="317"/>
        <v>0.18161174316616424</v>
      </c>
      <c r="AG552" s="2">
        <f t="shared" ca="1" si="318"/>
        <v>2.1810636445044751</v>
      </c>
      <c r="AI552" s="2">
        <f t="shared" ca="1" si="319"/>
        <v>2.4754797965239974E-5</v>
      </c>
      <c r="AJ552" s="11">
        <f t="shared" ca="1" si="320"/>
        <v>-1.298336662594774E-5</v>
      </c>
      <c r="AK552" s="2">
        <f t="shared" ca="1" si="321"/>
        <v>1.2745226122815116E-2</v>
      </c>
      <c r="AL552" s="2">
        <f t="shared" ca="1" si="322"/>
        <v>1.0274051487321829E-3</v>
      </c>
      <c r="AM552" s="2">
        <f t="shared" ca="1" si="323"/>
        <v>-2.5278052074870923E-5</v>
      </c>
      <c r="AN552" s="2">
        <f t="shared" ca="1" si="324"/>
        <v>0.25099301032477073</v>
      </c>
      <c r="AO552" s="2">
        <f t="shared" ca="1" si="325"/>
        <v>-1.298336662594774E-5</v>
      </c>
      <c r="AP552" s="2">
        <f t="shared" ca="1" si="326"/>
        <v>0.18161174316616424</v>
      </c>
      <c r="AQ552" s="2">
        <f t="shared" ca="1" si="327"/>
        <v>2.1810636445044751</v>
      </c>
      <c r="AS552" s="2">
        <f t="shared" ca="1" si="328"/>
        <v>8.6897385775097984</v>
      </c>
      <c r="AT552" s="2">
        <f t="shared" ca="1" si="329"/>
        <v>0.40032815492489082</v>
      </c>
      <c r="AU552" s="2">
        <f t="shared" ca="1" si="330"/>
        <v>4.1129920755228781E-4</v>
      </c>
      <c r="AV552" s="2">
        <f t="shared" ca="1" si="331"/>
        <v>0.18120044395861196</v>
      </c>
      <c r="AW552" s="2">
        <f t="shared" ca="1" si="332"/>
        <v>0.7086545316960543</v>
      </c>
      <c r="AX552" s="2">
        <f t="shared" ca="1" si="333"/>
        <v>5.2731392497023216E-2</v>
      </c>
      <c r="AY552" s="9">
        <f t="shared" ca="1" si="334"/>
        <v>0.7086545316960543</v>
      </c>
      <c r="AZ552" s="9">
        <f t="shared" ca="1" si="335"/>
        <v>0.7086545316960543</v>
      </c>
      <c r="BA552" s="9"/>
      <c r="BB552" s="2">
        <f t="shared" ca="1" si="336"/>
        <v>8.6897385775097984</v>
      </c>
      <c r="BC552" s="2">
        <f t="shared" ca="1" si="337"/>
        <v>0.40032815492489082</v>
      </c>
      <c r="BD552" s="2">
        <f t="shared" ca="1" si="338"/>
        <v>4.1129920755228781E-4</v>
      </c>
      <c r="BE552" s="2">
        <f t="shared" ca="1" si="339"/>
        <v>0.18120044395861196</v>
      </c>
      <c r="BF552" s="2">
        <f t="shared" ca="1" si="340"/>
        <v>0.7086545316960543</v>
      </c>
      <c r="BG552" s="2">
        <f t="shared" ca="1" si="341"/>
        <v>5.2731392497023216E-2</v>
      </c>
      <c r="BH552" s="2">
        <f t="shared" ca="1" si="342"/>
        <v>0.7086545316960543</v>
      </c>
      <c r="BI552" s="2">
        <f t="shared" ca="1" si="343"/>
        <v>0.7086545316960543</v>
      </c>
    </row>
    <row r="553" spans="1:61" ht="15" x14ac:dyDescent="0.25">
      <c r="A553" s="66">
        <v>487</v>
      </c>
      <c r="B553" s="66">
        <v>1498730376.0680001</v>
      </c>
      <c r="C553" s="67">
        <v>-2.0079678380857099E-5</v>
      </c>
      <c r="D553" s="67">
        <v>4.2851830597471898E-5</v>
      </c>
      <c r="E553" s="67">
        <v>1.4209791709274701E-2</v>
      </c>
      <c r="F553" s="67">
        <v>9.5973989635752296E-4</v>
      </c>
      <c r="G553" s="67">
        <v>1.5686966340053199E-5</v>
      </c>
      <c r="H553" s="67">
        <v>0.26331191119867597</v>
      </c>
      <c r="I553" s="67">
        <v>4.2851830597471898E-5</v>
      </c>
      <c r="J553" s="67">
        <v>0.19038342257261301</v>
      </c>
      <c r="K553" s="67">
        <v>2.2851233319359001</v>
      </c>
      <c r="L553" s="67"/>
      <c r="M553" s="67"/>
      <c r="N553" s="16"/>
      <c r="O553" s="11">
        <f t="shared" ca="1" si="301"/>
        <v>-3.2883609090817127E-5</v>
      </c>
      <c r="P553" s="11">
        <f t="shared" ca="1" si="302"/>
        <v>4.208673036716716E-5</v>
      </c>
      <c r="Q553" s="11">
        <f t="shared" ca="1" si="303"/>
        <v>1.3373300097006416E-2</v>
      </c>
      <c r="R553" s="11">
        <f t="shared" ca="1" si="304"/>
        <v>9.480934087111758E-4</v>
      </c>
      <c r="S553" s="11">
        <f t="shared" ca="1" si="305"/>
        <v>4.7593142930830765E-6</v>
      </c>
      <c r="T553" s="11">
        <f t="shared" ca="1" si="306"/>
        <v>0.26217335616009368</v>
      </c>
      <c r="U553" s="11">
        <f t="shared" ca="1" si="307"/>
        <v>4.208673036716716E-5</v>
      </c>
      <c r="V553" s="11">
        <f t="shared" ca="1" si="308"/>
        <v>0.18973322656691924</v>
      </c>
      <c r="W553" s="11">
        <f t="shared" ca="1" si="309"/>
        <v>2.278000483672395</v>
      </c>
      <c r="X553" s="11"/>
      <c r="Y553" s="2">
        <f t="shared" ca="1" si="310"/>
        <v>-3.2883609090817127E-5</v>
      </c>
      <c r="Z553" s="11">
        <f t="shared" ca="1" si="311"/>
        <v>4.208673036716716E-5</v>
      </c>
      <c r="AA553" s="2">
        <f t="shared" ca="1" si="312"/>
        <v>1.3372978102025279E-2</v>
      </c>
      <c r="AB553" s="2">
        <f t="shared" ca="1" si="313"/>
        <v>9.4029966655413103E-4</v>
      </c>
      <c r="AC553" s="2">
        <f t="shared" ca="1" si="314"/>
        <v>4.7593142930830765E-6</v>
      </c>
      <c r="AD553" s="2">
        <f t="shared" ca="1" si="315"/>
        <v>0.26211667772534597</v>
      </c>
      <c r="AE553" s="2">
        <f t="shared" ca="1" si="316"/>
        <v>4.208673036716716E-5</v>
      </c>
      <c r="AF553" s="2">
        <f t="shared" ca="1" si="317"/>
        <v>0.18964952616699324</v>
      </c>
      <c r="AG553" s="2">
        <f t="shared" ca="1" si="318"/>
        <v>2.2779665199972339</v>
      </c>
      <c r="AI553" s="2">
        <f t="shared" ca="1" si="319"/>
        <v>-3.2883609090817127E-5</v>
      </c>
      <c r="AJ553" s="11">
        <f t="shared" ca="1" si="320"/>
        <v>4.208673036716716E-5</v>
      </c>
      <c r="AK553" s="2">
        <f t="shared" ca="1" si="321"/>
        <v>1.3323323547352221E-2</v>
      </c>
      <c r="AL553" s="2">
        <f t="shared" ca="1" si="322"/>
        <v>9.1705926087915857E-4</v>
      </c>
      <c r="AM553" s="2">
        <f t="shared" ca="1" si="323"/>
        <v>4.7593142930830765E-6</v>
      </c>
      <c r="AN553" s="2">
        <f t="shared" ca="1" si="324"/>
        <v>0.26211667772534597</v>
      </c>
      <c r="AO553" s="2">
        <f t="shared" ca="1" si="325"/>
        <v>4.208673036716716E-5</v>
      </c>
      <c r="AP553" s="2">
        <f t="shared" ca="1" si="326"/>
        <v>0.18964952616699324</v>
      </c>
      <c r="AQ553" s="2">
        <f t="shared" ca="1" si="327"/>
        <v>2.2779665199972339</v>
      </c>
      <c r="AS553" s="2">
        <f t="shared" ca="1" si="328"/>
        <v>8.6889091898467186</v>
      </c>
      <c r="AT553" s="2">
        <f t="shared" ca="1" si="329"/>
        <v>0.40028948240064677</v>
      </c>
      <c r="AU553" s="2">
        <f t="shared" ca="1" si="330"/>
        <v>3.7951181984046143E-4</v>
      </c>
      <c r="AV553" s="2">
        <f t="shared" ca="1" si="331"/>
        <v>0.18935371474707877</v>
      </c>
      <c r="AW553" s="2">
        <f t="shared" ca="1" si="332"/>
        <v>0.70899486543583146</v>
      </c>
      <c r="AX553" s="2">
        <f t="shared" ca="1" si="333"/>
        <v>5.2965239723857756E-2</v>
      </c>
      <c r="AY553" s="9">
        <f t="shared" ca="1" si="334"/>
        <v>0.70899486543583146</v>
      </c>
      <c r="AZ553" s="9">
        <f t="shared" ca="1" si="335"/>
        <v>0.70899486543583146</v>
      </c>
      <c r="BA553" s="9"/>
      <c r="BB553" s="2">
        <f t="shared" ca="1" si="336"/>
        <v>8.6906584493801589</v>
      </c>
      <c r="BC553" s="2">
        <f t="shared" ca="1" si="337"/>
        <v>0.40037104658125222</v>
      </c>
      <c r="BD553" s="2">
        <f t="shared" ca="1" si="338"/>
        <v>3.6716397605521831E-4</v>
      </c>
      <c r="BE553" s="2">
        <f t="shared" ca="1" si="339"/>
        <v>0.18928236219093802</v>
      </c>
      <c r="BF553" s="2">
        <f t="shared" ca="1" si="340"/>
        <v>0.70880909342549103</v>
      </c>
      <c r="BG553" s="2">
        <f t="shared" ca="1" si="341"/>
        <v>5.2789589134356323E-2</v>
      </c>
      <c r="BH553" s="2">
        <f t="shared" ca="1" si="342"/>
        <v>0.70880909342549103</v>
      </c>
      <c r="BI553" s="2">
        <f t="shared" ca="1" si="343"/>
        <v>0.70880909342549103</v>
      </c>
    </row>
    <row r="554" spans="1:61" ht="15" x14ac:dyDescent="0.25">
      <c r="A554" s="66">
        <v>488</v>
      </c>
      <c r="B554" s="66">
        <v>1498730376.595</v>
      </c>
      <c r="C554" s="67">
        <v>6.5670478030368504E-5</v>
      </c>
      <c r="D554" s="67">
        <v>-6.0300164893562797E-6</v>
      </c>
      <c r="E554" s="67">
        <v>1.4494289846513801E-2</v>
      </c>
      <c r="F554" s="67">
        <v>9.9284523254320693E-4</v>
      </c>
      <c r="G554" s="67">
        <v>-1.83280190327716E-5</v>
      </c>
      <c r="H554" s="67">
        <v>0.26920214347371302</v>
      </c>
      <c r="I554" s="67">
        <v>-6.0300164893562797E-6</v>
      </c>
      <c r="J554" s="67">
        <v>0.19449072723630001</v>
      </c>
      <c r="K554" s="67">
        <v>2.3345999164313298</v>
      </c>
      <c r="L554" s="67"/>
      <c r="M554" s="67"/>
      <c r="N554" s="16"/>
      <c r="O554" s="11">
        <f t="shared" ca="1" si="301"/>
        <v>5.2866547320408476E-5</v>
      </c>
      <c r="P554" s="11">
        <f t="shared" ca="1" si="302"/>
        <v>-6.79511671966102E-6</v>
      </c>
      <c r="Q554" s="11">
        <f t="shared" ca="1" si="303"/>
        <v>1.3657798234245516E-2</v>
      </c>
      <c r="R554" s="11">
        <f t="shared" ca="1" si="304"/>
        <v>9.8119874489685987E-4</v>
      </c>
      <c r="S554" s="11">
        <f t="shared" ca="1" si="305"/>
        <v>-2.925567107974172E-5</v>
      </c>
      <c r="T554" s="11">
        <f t="shared" ca="1" si="306"/>
        <v>0.26806358843513073</v>
      </c>
      <c r="U554" s="11">
        <f t="shared" ca="1" si="307"/>
        <v>-6.79511671966102E-6</v>
      </c>
      <c r="V554" s="11">
        <f t="shared" ca="1" si="308"/>
        <v>0.19384053123060624</v>
      </c>
      <c r="W554" s="11">
        <f t="shared" ca="1" si="309"/>
        <v>2.3274770681678247</v>
      </c>
      <c r="X554" s="11"/>
      <c r="Y554" s="2">
        <f t="shared" ca="1" si="310"/>
        <v>5.2866547320408476E-5</v>
      </c>
      <c r="Z554" s="11">
        <f t="shared" ca="1" si="311"/>
        <v>-6.79511671966102E-6</v>
      </c>
      <c r="AA554" s="2">
        <f t="shared" ca="1" si="312"/>
        <v>1.3657798234245516E-2</v>
      </c>
      <c r="AB554" s="2">
        <f t="shared" ca="1" si="313"/>
        <v>9.8119874489685987E-4</v>
      </c>
      <c r="AC554" s="2">
        <f t="shared" ca="1" si="314"/>
        <v>-2.925567107974172E-5</v>
      </c>
      <c r="AD554" s="2">
        <f t="shared" ca="1" si="315"/>
        <v>0.26806358843513073</v>
      </c>
      <c r="AE554" s="2">
        <f t="shared" ca="1" si="316"/>
        <v>-6.79511671966102E-6</v>
      </c>
      <c r="AF554" s="2">
        <f t="shared" ca="1" si="317"/>
        <v>0.19384053123060624</v>
      </c>
      <c r="AG554" s="2">
        <f t="shared" ca="1" si="318"/>
        <v>2.3274770681678247</v>
      </c>
      <c r="AI554" s="2">
        <f t="shared" ca="1" si="319"/>
        <v>5.2866547320408476E-5</v>
      </c>
      <c r="AJ554" s="11">
        <f t="shared" ca="1" si="320"/>
        <v>-6.79511671966102E-6</v>
      </c>
      <c r="AK554" s="2">
        <f t="shared" ca="1" si="321"/>
        <v>1.3657798234245516E-2</v>
      </c>
      <c r="AL554" s="2">
        <f t="shared" ca="1" si="322"/>
        <v>9.8119874489685987E-4</v>
      </c>
      <c r="AM554" s="2">
        <f t="shared" ca="1" si="323"/>
        <v>-2.925567107974172E-5</v>
      </c>
      <c r="AN554" s="2">
        <f t="shared" ca="1" si="324"/>
        <v>0.26806358843513073</v>
      </c>
      <c r="AO554" s="2">
        <f t="shared" ca="1" si="325"/>
        <v>-6.79511671966102E-6</v>
      </c>
      <c r="AP554" s="2">
        <f t="shared" ca="1" si="326"/>
        <v>0.19384053123060624</v>
      </c>
      <c r="AQ554" s="2">
        <f t="shared" ca="1" si="327"/>
        <v>2.3274770681678247</v>
      </c>
      <c r="AS554" s="2">
        <f t="shared" ca="1" si="328"/>
        <v>8.6825558135474115</v>
      </c>
      <c r="AT554" s="2">
        <f t="shared" ca="1" si="329"/>
        <v>0.39999323991007069</v>
      </c>
      <c r="AU554" s="2">
        <f t="shared" ca="1" si="330"/>
        <v>3.924728649669899E-4</v>
      </c>
      <c r="AV554" s="2">
        <f t="shared" ca="1" si="331"/>
        <v>0.19344805836563925</v>
      </c>
      <c r="AW554" s="2">
        <f t="shared" ca="1" si="332"/>
        <v>0.70867047770781066</v>
      </c>
      <c r="AX554" s="2">
        <f t="shared" ca="1" si="333"/>
        <v>5.2863840456514925E-2</v>
      </c>
      <c r="AY554" s="9">
        <f t="shared" ca="1" si="334"/>
        <v>0.70867047770781066</v>
      </c>
      <c r="AZ554" s="9">
        <f t="shared" ca="1" si="335"/>
        <v>0.70867047770781066</v>
      </c>
      <c r="BA554" s="9"/>
      <c r="BB554" s="2">
        <f t="shared" ca="1" si="336"/>
        <v>8.6825558135474115</v>
      </c>
      <c r="BC554" s="2">
        <f t="shared" ca="1" si="337"/>
        <v>0.39999323991007069</v>
      </c>
      <c r="BD554" s="2">
        <f t="shared" ca="1" si="338"/>
        <v>3.924728649669899E-4</v>
      </c>
      <c r="BE554" s="2">
        <f t="shared" ca="1" si="339"/>
        <v>0.19344805836563925</v>
      </c>
      <c r="BF554" s="2">
        <f t="shared" ca="1" si="340"/>
        <v>0.70867047770781066</v>
      </c>
      <c r="BG554" s="2">
        <f t="shared" ca="1" si="341"/>
        <v>5.2863840456514925E-2</v>
      </c>
      <c r="BH554" s="2">
        <f t="shared" ca="1" si="342"/>
        <v>0.70867047770781066</v>
      </c>
      <c r="BI554" s="2">
        <f t="shared" ca="1" si="343"/>
        <v>0.70867047770781066</v>
      </c>
    </row>
    <row r="555" spans="1:61" ht="15" x14ac:dyDescent="0.25">
      <c r="A555" s="66">
        <v>489</v>
      </c>
      <c r="B555" s="66">
        <v>1498730377.122</v>
      </c>
      <c r="C555" s="67">
        <v>-6.3542492168666007E-5</v>
      </c>
      <c r="D555" s="67">
        <v>5.4263506834152403E-6</v>
      </c>
      <c r="E555" s="67">
        <v>1.4680039279726101E-2</v>
      </c>
      <c r="F555" s="67">
        <v>1.10455406628073E-3</v>
      </c>
      <c r="G555" s="67">
        <v>-2.4611860236111801E-5</v>
      </c>
      <c r="H555" s="67">
        <v>0.26998789184071598</v>
      </c>
      <c r="I555" s="67">
        <v>5.4263506834152403E-6</v>
      </c>
      <c r="J555" s="67">
        <v>0.19528886576118801</v>
      </c>
      <c r="K555" s="67">
        <v>2.3454689214367801</v>
      </c>
      <c r="L555" s="67"/>
      <c r="M555" s="67"/>
      <c r="N555" s="16"/>
      <c r="O555" s="11">
        <f t="shared" ca="1" si="301"/>
        <v>-7.6346422878626028E-5</v>
      </c>
      <c r="P555" s="11">
        <f t="shared" ca="1" si="302"/>
        <v>4.6612504531105E-6</v>
      </c>
      <c r="Q555" s="11">
        <f t="shared" ca="1" si="303"/>
        <v>1.3843547667457816E-2</v>
      </c>
      <c r="R555" s="11">
        <f t="shared" ca="1" si="304"/>
        <v>1.092907578634383E-3</v>
      </c>
      <c r="S555" s="11">
        <f t="shared" ca="1" si="305"/>
        <v>-3.5539512283081921E-5</v>
      </c>
      <c r="T555" s="11">
        <f t="shared" ca="1" si="306"/>
        <v>0.26884933680213369</v>
      </c>
      <c r="U555" s="11">
        <f t="shared" ca="1" si="307"/>
        <v>4.6612504531105E-6</v>
      </c>
      <c r="V555" s="11">
        <f t="shared" ca="1" si="308"/>
        <v>0.19463866975549424</v>
      </c>
      <c r="W555" s="11">
        <f t="shared" ca="1" si="309"/>
        <v>2.338346073173275</v>
      </c>
      <c r="X555" s="11"/>
      <c r="Y555" s="2">
        <f t="shared" ca="1" si="310"/>
        <v>-7.6346422878626028E-5</v>
      </c>
      <c r="Z555" s="11">
        <f t="shared" ca="1" si="311"/>
        <v>4.6612504531105E-6</v>
      </c>
      <c r="AA555" s="2">
        <f t="shared" ca="1" si="312"/>
        <v>1.3843512005403799E-2</v>
      </c>
      <c r="AB555" s="2">
        <f t="shared" ca="1" si="313"/>
        <v>1.0920443948269449E-3</v>
      </c>
      <c r="AC555" s="2">
        <f t="shared" ca="1" si="314"/>
        <v>-3.5539512283081921E-5</v>
      </c>
      <c r="AD555" s="2">
        <f t="shared" ca="1" si="315"/>
        <v>0.2688430594701256</v>
      </c>
      <c r="AE555" s="2">
        <f t="shared" ca="1" si="316"/>
        <v>4.6612504531105E-6</v>
      </c>
      <c r="AF555" s="2">
        <f t="shared" ca="1" si="317"/>
        <v>0.19462939964770309</v>
      </c>
      <c r="AG555" s="2">
        <f t="shared" ca="1" si="318"/>
        <v>2.3383423115791846</v>
      </c>
      <c r="AI555" s="2">
        <f t="shared" ca="1" si="319"/>
        <v>-7.6346422878626028E-5</v>
      </c>
      <c r="AJ555" s="11">
        <f t="shared" ca="1" si="320"/>
        <v>4.6612504531105E-6</v>
      </c>
      <c r="AK555" s="2">
        <f t="shared" ca="1" si="321"/>
        <v>1.3838012592323963E-2</v>
      </c>
      <c r="AL555" s="2">
        <f t="shared" ca="1" si="322"/>
        <v>1.0894704397931881E-3</v>
      </c>
      <c r="AM555" s="2">
        <f t="shared" ca="1" si="323"/>
        <v>-3.5539512283081921E-5</v>
      </c>
      <c r="AN555" s="2">
        <f t="shared" ca="1" si="324"/>
        <v>0.2688430594701256</v>
      </c>
      <c r="AO555" s="2">
        <f t="shared" ca="1" si="325"/>
        <v>4.6612504531105E-6</v>
      </c>
      <c r="AP555" s="2">
        <f t="shared" ca="1" si="326"/>
        <v>0.19462939964770309</v>
      </c>
      <c r="AQ555" s="2">
        <f t="shared" ca="1" si="327"/>
        <v>2.3383423115791846</v>
      </c>
      <c r="AS555" s="2">
        <f t="shared" ca="1" si="328"/>
        <v>8.6976077418938864</v>
      </c>
      <c r="AT555" s="2">
        <f t="shared" ca="1" si="329"/>
        <v>0.40069507899534618</v>
      </c>
      <c r="AU555" s="2">
        <f t="shared" ca="1" si="330"/>
        <v>4.3792268855551663E-4</v>
      </c>
      <c r="AV555" s="2">
        <f t="shared" ca="1" si="331"/>
        <v>0.19420074706693871</v>
      </c>
      <c r="AW555" s="2">
        <f t="shared" ca="1" si="332"/>
        <v>0.70873013607235691</v>
      </c>
      <c r="AX555" s="2">
        <f t="shared" ca="1" si="333"/>
        <v>5.3520972880116299E-2</v>
      </c>
      <c r="AY555" s="9">
        <f t="shared" ca="1" si="334"/>
        <v>0.70873013607235691</v>
      </c>
      <c r="AZ555" s="9">
        <f t="shared" ca="1" si="335"/>
        <v>0.70873013607235691</v>
      </c>
      <c r="BA555" s="9"/>
      <c r="BB555" s="2">
        <f t="shared" ca="1" si="336"/>
        <v>8.6977968342866081</v>
      </c>
      <c r="BC555" s="2">
        <f t="shared" ca="1" si="337"/>
        <v>0.40070389606117318</v>
      </c>
      <c r="BD555" s="2">
        <f t="shared" ca="1" si="338"/>
        <v>4.3655504986861031E-4</v>
      </c>
      <c r="BE555" s="2">
        <f t="shared" ca="1" si="339"/>
        <v>0.19419284459783448</v>
      </c>
      <c r="BF555" s="2">
        <f t="shared" ca="1" si="340"/>
        <v>0.70871008474304065</v>
      </c>
      <c r="BG555" s="2">
        <f t="shared" ca="1" si="341"/>
        <v>5.3502012928702943E-2</v>
      </c>
      <c r="BH555" s="2">
        <f t="shared" ca="1" si="342"/>
        <v>0.70871008474304065</v>
      </c>
      <c r="BI555" s="2">
        <f t="shared" ca="1" si="343"/>
        <v>0.70871008474304065</v>
      </c>
    </row>
    <row r="556" spans="1:61" ht="15" x14ac:dyDescent="0.25">
      <c r="A556" s="66">
        <v>490</v>
      </c>
      <c r="B556" s="66">
        <v>1498730377.6489999</v>
      </c>
      <c r="C556" s="67">
        <v>6.9686507243986597E-5</v>
      </c>
      <c r="D556" s="67">
        <v>6.3003959126305401E-6</v>
      </c>
      <c r="E556" s="67">
        <v>1.32577029911647E-2</v>
      </c>
      <c r="F556" s="67">
        <v>9.7998403639086096E-4</v>
      </c>
      <c r="G556" s="67">
        <v>3.2734169618627902E-5</v>
      </c>
      <c r="H556" s="67">
        <v>0.24428500846278001</v>
      </c>
      <c r="I556" s="67">
        <v>6.3003959126305401E-6</v>
      </c>
      <c r="J556" s="67">
        <v>0.17671247860785999</v>
      </c>
      <c r="K556" s="67">
        <v>2.1239097123233601</v>
      </c>
      <c r="L556" s="67"/>
      <c r="M556" s="67"/>
      <c r="N556" s="16"/>
      <c r="O556" s="11">
        <f t="shared" ca="1" si="301"/>
        <v>5.6882576534026569E-5</v>
      </c>
      <c r="P556" s="11">
        <f t="shared" ca="1" si="302"/>
        <v>5.5352956823257998E-6</v>
      </c>
      <c r="Q556" s="11">
        <f t="shared" ca="1" si="303"/>
        <v>1.2421211378896416E-2</v>
      </c>
      <c r="R556" s="11">
        <f t="shared" ca="1" si="304"/>
        <v>9.683375487445138E-4</v>
      </c>
      <c r="S556" s="11">
        <f t="shared" ca="1" si="305"/>
        <v>2.1806517571657781E-5</v>
      </c>
      <c r="T556" s="11">
        <f t="shared" ca="1" si="306"/>
        <v>0.24314645342419772</v>
      </c>
      <c r="U556" s="11">
        <f t="shared" ca="1" si="307"/>
        <v>5.5352956823257998E-6</v>
      </c>
      <c r="V556" s="11">
        <f t="shared" ca="1" si="308"/>
        <v>0.17606228260216622</v>
      </c>
      <c r="W556" s="11">
        <f t="shared" ca="1" si="309"/>
        <v>2.1167868640598551</v>
      </c>
      <c r="X556" s="11"/>
      <c r="Y556" s="2">
        <f t="shared" ca="1" si="310"/>
        <v>5.6882576534026569E-5</v>
      </c>
      <c r="Z556" s="11">
        <f t="shared" ca="1" si="311"/>
        <v>5.5352956823257998E-6</v>
      </c>
      <c r="AA556" s="2">
        <f t="shared" ca="1" si="312"/>
        <v>1.2421169029742342E-2</v>
      </c>
      <c r="AB556" s="2">
        <f t="shared" ca="1" si="313"/>
        <v>9.6731250671975471E-4</v>
      </c>
      <c r="AC556" s="2">
        <f t="shared" ca="1" si="314"/>
        <v>2.1806517571657781E-5</v>
      </c>
      <c r="AD556" s="2">
        <f t="shared" ca="1" si="315"/>
        <v>0.24313899901059982</v>
      </c>
      <c r="AE556" s="2">
        <f t="shared" ca="1" si="316"/>
        <v>5.5352956823257998E-6</v>
      </c>
      <c r="AF556" s="2">
        <f t="shared" ca="1" si="317"/>
        <v>0.17605127422830877</v>
      </c>
      <c r="AG556" s="2">
        <f t="shared" ca="1" si="318"/>
        <v>2.1167823971178326</v>
      </c>
      <c r="AI556" s="2">
        <f t="shared" ca="1" si="319"/>
        <v>5.6882576534026569E-5</v>
      </c>
      <c r="AJ556" s="11">
        <f t="shared" ca="1" si="320"/>
        <v>5.5352956823257998E-6</v>
      </c>
      <c r="AK556" s="2">
        <f t="shared" ca="1" si="321"/>
        <v>1.2414638405013554E-2</v>
      </c>
      <c r="AL556" s="2">
        <f t="shared" ca="1" si="322"/>
        <v>9.6425590156022124E-4</v>
      </c>
      <c r="AM556" s="2">
        <f t="shared" ca="1" si="323"/>
        <v>2.1806517571657781E-5</v>
      </c>
      <c r="AN556" s="2">
        <f t="shared" ca="1" si="324"/>
        <v>0.24313899901059982</v>
      </c>
      <c r="AO556" s="2">
        <f t="shared" ca="1" si="325"/>
        <v>5.5352956823257998E-6</v>
      </c>
      <c r="AP556" s="2">
        <f t="shared" ca="1" si="326"/>
        <v>0.17605127422830877</v>
      </c>
      <c r="AQ556" s="2">
        <f t="shared" ca="1" si="327"/>
        <v>2.1167823971178326</v>
      </c>
      <c r="AS556" s="2">
        <f t="shared" ca="1" si="328"/>
        <v>8.7058101578264449</v>
      </c>
      <c r="AT556" s="2">
        <f t="shared" ca="1" si="329"/>
        <v>0.40107754623333353</v>
      </c>
      <c r="AU556" s="2">
        <f t="shared" ca="1" si="330"/>
        <v>3.8837844797605061E-4</v>
      </c>
      <c r="AV556" s="2">
        <f t="shared" ca="1" si="331"/>
        <v>0.17567390415419018</v>
      </c>
      <c r="AW556" s="2">
        <f t="shared" ca="1" si="332"/>
        <v>0.70855265278767887</v>
      </c>
      <c r="AX556" s="2">
        <f t="shared" ca="1" si="333"/>
        <v>5.3149658072884E-2</v>
      </c>
      <c r="AY556" s="9">
        <f t="shared" ca="1" si="334"/>
        <v>0.70855265278767887</v>
      </c>
      <c r="AZ556" s="9">
        <f t="shared" ca="1" si="335"/>
        <v>0.70855265278767887</v>
      </c>
      <c r="BA556" s="9"/>
      <c r="BB556" s="2">
        <f t="shared" ca="1" si="336"/>
        <v>8.7060586978296719</v>
      </c>
      <c r="BC556" s="2">
        <f t="shared" ca="1" si="337"/>
        <v>0.40108913537598523</v>
      </c>
      <c r="BD556" s="2">
        <f t="shared" ca="1" si="338"/>
        <v>3.8675256583798028E-4</v>
      </c>
      <c r="BE556" s="2">
        <f t="shared" ca="1" si="339"/>
        <v>0.17566452166247079</v>
      </c>
      <c r="BF556" s="2">
        <f t="shared" ca="1" si="340"/>
        <v>0.70852634602194009</v>
      </c>
      <c r="BG556" s="2">
        <f t="shared" ca="1" si="341"/>
        <v>5.3124713209339501E-2</v>
      </c>
      <c r="BH556" s="2">
        <f t="shared" ca="1" si="342"/>
        <v>0.70852634602194009</v>
      </c>
      <c r="BI556" s="2">
        <f t="shared" ca="1" si="343"/>
        <v>0.70852634602194009</v>
      </c>
    </row>
    <row r="557" spans="1:61" ht="15" x14ac:dyDescent="0.25">
      <c r="A557" s="66">
        <v>491</v>
      </c>
      <c r="B557" s="66">
        <v>1498730378.1760001</v>
      </c>
      <c r="C557" s="67">
        <v>-1.70088640897956E-5</v>
      </c>
      <c r="D557" s="67">
        <v>2.1609247682939801E-5</v>
      </c>
      <c r="E557" s="67">
        <v>1.25851733689931E-2</v>
      </c>
      <c r="F557" s="67">
        <v>7.7613237060363102E-4</v>
      </c>
      <c r="G557" s="67">
        <v>9.6640237499760496E-5</v>
      </c>
      <c r="H557" s="67">
        <v>0.231880185866566</v>
      </c>
      <c r="I557" s="67">
        <v>2.1609247682939801E-5</v>
      </c>
      <c r="J557" s="67">
        <v>0.167608359625942</v>
      </c>
      <c r="K557" s="67">
        <v>2.0144299617375698</v>
      </c>
      <c r="L557" s="67"/>
      <c r="M557" s="67"/>
      <c r="N557" s="16"/>
      <c r="O557" s="11">
        <f t="shared" ca="1" si="301"/>
        <v>-2.9812794799755628E-5</v>
      </c>
      <c r="P557" s="11">
        <f t="shared" ca="1" si="302"/>
        <v>2.0844147452635059E-5</v>
      </c>
      <c r="Q557" s="11">
        <f t="shared" ca="1" si="303"/>
        <v>1.1748681756724815E-2</v>
      </c>
      <c r="R557" s="11">
        <f t="shared" ca="1" si="304"/>
        <v>7.6448588295728386E-4</v>
      </c>
      <c r="S557" s="11">
        <f t="shared" ca="1" si="305"/>
        <v>8.5712585452790368E-5</v>
      </c>
      <c r="T557" s="11">
        <f t="shared" ca="1" si="306"/>
        <v>0.23074163082798371</v>
      </c>
      <c r="U557" s="11">
        <f t="shared" ca="1" si="307"/>
        <v>2.0844147452635059E-5</v>
      </c>
      <c r="V557" s="11">
        <f t="shared" ca="1" si="308"/>
        <v>0.16695816362024823</v>
      </c>
      <c r="W557" s="11">
        <f t="shared" ca="1" si="309"/>
        <v>2.0073071134740648</v>
      </c>
      <c r="X557" s="11"/>
      <c r="Y557" s="2">
        <f t="shared" ca="1" si="310"/>
        <v>-2.9812794799755628E-5</v>
      </c>
      <c r="Z557" s="11">
        <f t="shared" ca="1" si="311"/>
        <v>2.0844147452635059E-5</v>
      </c>
      <c r="AA557" s="2">
        <f t="shared" ca="1" si="312"/>
        <v>1.1748522283398965E-2</v>
      </c>
      <c r="AB557" s="2">
        <f t="shared" ca="1" si="313"/>
        <v>7.6062590359295688E-4</v>
      </c>
      <c r="AC557" s="2">
        <f t="shared" ca="1" si="314"/>
        <v>8.5712585452790368E-5</v>
      </c>
      <c r="AD557" s="2">
        <f t="shared" ca="1" si="315"/>
        <v>0.23071355989824033</v>
      </c>
      <c r="AE557" s="2">
        <f t="shared" ca="1" si="316"/>
        <v>2.0844147452635059E-5</v>
      </c>
      <c r="AF557" s="2">
        <f t="shared" ca="1" si="317"/>
        <v>0.16691670961651162</v>
      </c>
      <c r="AG557" s="2">
        <f t="shared" ca="1" si="318"/>
        <v>2.0072902924036962</v>
      </c>
      <c r="AI557" s="2">
        <f t="shared" ca="1" si="319"/>
        <v>-2.9812794799755628E-5</v>
      </c>
      <c r="AJ557" s="11">
        <f t="shared" ca="1" si="320"/>
        <v>2.0844147452635059E-5</v>
      </c>
      <c r="AK557" s="2">
        <f t="shared" ca="1" si="321"/>
        <v>1.1723930046124396E-2</v>
      </c>
      <c r="AL557" s="2">
        <f t="shared" ca="1" si="322"/>
        <v>7.4911570932217322E-4</v>
      </c>
      <c r="AM557" s="2">
        <f t="shared" ca="1" si="323"/>
        <v>8.5712585452790368E-5</v>
      </c>
      <c r="AN557" s="2">
        <f t="shared" ca="1" si="324"/>
        <v>0.23071355989824033</v>
      </c>
      <c r="AO557" s="2">
        <f t="shared" ca="1" si="325"/>
        <v>2.0844147452635059E-5</v>
      </c>
      <c r="AP557" s="2">
        <f t="shared" ca="1" si="326"/>
        <v>0.16691670961651162</v>
      </c>
      <c r="AQ557" s="2">
        <f t="shared" ca="1" si="327"/>
        <v>2.0072902924036962</v>
      </c>
      <c r="AS557" s="2">
        <f t="shared" ca="1" si="328"/>
        <v>8.6993712676430643</v>
      </c>
      <c r="AT557" s="2">
        <f t="shared" ca="1" si="329"/>
        <v>0.40077730937734368</v>
      </c>
      <c r="AU557" s="2">
        <f t="shared" ca="1" si="330"/>
        <v>3.0638859522858311E-4</v>
      </c>
      <c r="AV557" s="2">
        <f t="shared" ca="1" si="331"/>
        <v>0.16665177502501966</v>
      </c>
      <c r="AW557" s="2">
        <f t="shared" ca="1" si="332"/>
        <v>0.70856324140041282</v>
      </c>
      <c r="AX557" s="2">
        <f t="shared" ca="1" si="333"/>
        <v>5.2934503772855968E-2</v>
      </c>
      <c r="AY557" s="9">
        <f t="shared" ca="1" si="334"/>
        <v>0.70856324140041282</v>
      </c>
      <c r="AZ557" s="9">
        <f t="shared" ca="1" si="335"/>
        <v>0.70856324140041282</v>
      </c>
      <c r="BA557" s="9"/>
      <c r="BB557" s="2">
        <f t="shared" ca="1" si="336"/>
        <v>8.7003568116630934</v>
      </c>
      <c r="BC557" s="2">
        <f t="shared" ca="1" si="337"/>
        <v>0.4008232638050534</v>
      </c>
      <c r="BD557" s="2">
        <f t="shared" ca="1" si="338"/>
        <v>3.0026300357815112E-4</v>
      </c>
      <c r="BE557" s="2">
        <f t="shared" ca="1" si="339"/>
        <v>0.16661644661293346</v>
      </c>
      <c r="BF557" s="2">
        <f t="shared" ca="1" si="340"/>
        <v>0.70845880854430243</v>
      </c>
      <c r="BG557" s="2">
        <f t="shared" ca="1" si="341"/>
        <v>5.283553435088343E-2</v>
      </c>
      <c r="BH557" s="2">
        <f t="shared" ca="1" si="342"/>
        <v>0.70845880854430243</v>
      </c>
      <c r="BI557" s="2">
        <f t="shared" ca="1" si="343"/>
        <v>0.70845880854430243</v>
      </c>
    </row>
    <row r="558" spans="1:61" ht="15" x14ac:dyDescent="0.25">
      <c r="A558" s="66">
        <v>492</v>
      </c>
      <c r="B558" s="66">
        <v>1498730378.7030001</v>
      </c>
      <c r="C558" s="67">
        <v>1.2046233825178899E-5</v>
      </c>
      <c r="D558" s="67">
        <v>6.1569866935348602E-5</v>
      </c>
      <c r="E558" s="67">
        <v>1.2110021707897701E-2</v>
      </c>
      <c r="F558" s="67">
        <v>7.5779728538038897E-4</v>
      </c>
      <c r="G558" s="67">
        <v>3.35818973068368E-5</v>
      </c>
      <c r="H558" s="67">
        <v>0.22023068763078599</v>
      </c>
      <c r="I558" s="67">
        <v>6.1569866935348602E-5</v>
      </c>
      <c r="J558" s="67">
        <v>0.159088895930907</v>
      </c>
      <c r="K558" s="67">
        <v>1.9126724804875199</v>
      </c>
      <c r="L558" s="67"/>
      <c r="M558" s="67"/>
      <c r="N558" s="16"/>
      <c r="O558" s="11">
        <f t="shared" ca="1" si="301"/>
        <v>-7.5769688478112837E-7</v>
      </c>
      <c r="P558" s="11">
        <f t="shared" ca="1" si="302"/>
        <v>6.0804766705043864E-5</v>
      </c>
      <c r="Q558" s="11">
        <f t="shared" ca="1" si="303"/>
        <v>1.1273530095629416E-2</v>
      </c>
      <c r="R558" s="11">
        <f t="shared" ca="1" si="304"/>
        <v>7.461507977340418E-4</v>
      </c>
      <c r="S558" s="11">
        <f t="shared" ca="1" si="305"/>
        <v>2.265424525986668E-5</v>
      </c>
      <c r="T558" s="11">
        <f t="shared" ca="1" si="306"/>
        <v>0.2190921325922037</v>
      </c>
      <c r="U558" s="11">
        <f t="shared" ca="1" si="307"/>
        <v>6.0804766705043864E-5</v>
      </c>
      <c r="V558" s="11">
        <f t="shared" ca="1" si="308"/>
        <v>0.15843869992521323</v>
      </c>
      <c r="W558" s="11">
        <f t="shared" ca="1" si="309"/>
        <v>1.9055496322240149</v>
      </c>
      <c r="X558" s="11"/>
      <c r="Y558" s="2">
        <f t="shared" ca="1" si="310"/>
        <v>-7.5769688478112837E-7</v>
      </c>
      <c r="Z558" s="11">
        <f t="shared" ca="1" si="311"/>
        <v>6.0804766705043864E-5</v>
      </c>
      <c r="AA558" s="2">
        <f t="shared" ca="1" si="312"/>
        <v>1.1273064893663443E-2</v>
      </c>
      <c r="AB558" s="2">
        <f t="shared" ca="1" si="313"/>
        <v>7.3489079560310714E-4</v>
      </c>
      <c r="AC558" s="2">
        <f t="shared" ca="1" si="314"/>
        <v>2.265424525986668E-5</v>
      </c>
      <c r="AD558" s="2">
        <f t="shared" ca="1" si="315"/>
        <v>0.21901024647342052</v>
      </c>
      <c r="AE558" s="2">
        <f t="shared" ca="1" si="316"/>
        <v>6.0804766705043864E-5</v>
      </c>
      <c r="AF558" s="2">
        <f t="shared" ca="1" si="317"/>
        <v>0.15831777384599016</v>
      </c>
      <c r="AG558" s="2">
        <f t="shared" ca="1" si="318"/>
        <v>1.9055005632341786</v>
      </c>
      <c r="AI558" s="2">
        <f t="shared" ca="1" si="319"/>
        <v>-7.5769688478112837E-7</v>
      </c>
      <c r="AJ558" s="11">
        <f t="shared" ca="1" si="320"/>
        <v>6.0804766705043864E-5</v>
      </c>
      <c r="AK558" s="2">
        <f t="shared" ca="1" si="321"/>
        <v>1.1201326519444343E-2</v>
      </c>
      <c r="AL558" s="2">
        <f t="shared" ca="1" si="322"/>
        <v>7.0131423993178101E-4</v>
      </c>
      <c r="AM558" s="2">
        <f t="shared" ca="1" si="323"/>
        <v>2.265424525986668E-5</v>
      </c>
      <c r="AN558" s="2">
        <f t="shared" ca="1" si="324"/>
        <v>0.21901024647342052</v>
      </c>
      <c r="AO558" s="2">
        <f t="shared" ca="1" si="325"/>
        <v>6.0804766705043864E-5</v>
      </c>
      <c r="AP558" s="2">
        <f t="shared" ca="1" si="326"/>
        <v>0.15831777384599016</v>
      </c>
      <c r="AQ558" s="2">
        <f t="shared" ca="1" si="327"/>
        <v>1.9055005632341786</v>
      </c>
      <c r="AS558" s="2">
        <f t="shared" ca="1" si="328"/>
        <v>8.6974808710763494</v>
      </c>
      <c r="AT558" s="2">
        <f t="shared" ca="1" si="329"/>
        <v>0.40068916322006187</v>
      </c>
      <c r="AU558" s="2">
        <f t="shared" ca="1" si="330"/>
        <v>2.9897453878003483E-4</v>
      </c>
      <c r="AV558" s="2">
        <f t="shared" ca="1" si="331"/>
        <v>0.1581397253864332</v>
      </c>
      <c r="AW558" s="2">
        <f t="shared" ca="1" si="332"/>
        <v>0.70820071519877692</v>
      </c>
      <c r="AX558" s="2">
        <f t="shared" ca="1" si="333"/>
        <v>5.3482565510712149E-2</v>
      </c>
      <c r="AY558" s="9">
        <f t="shared" ca="1" si="334"/>
        <v>0.70820071519877692</v>
      </c>
      <c r="AZ558" s="9">
        <f t="shared" ca="1" si="335"/>
        <v>0.70820071519877692</v>
      </c>
      <c r="BA558" s="9"/>
      <c r="BB558" s="2">
        <f t="shared" ca="1" si="336"/>
        <v>8.7005087383682458</v>
      </c>
      <c r="BC558" s="2">
        <f t="shared" ca="1" si="337"/>
        <v>0.4008303479232489</v>
      </c>
      <c r="BD558" s="2">
        <f t="shared" ca="1" si="338"/>
        <v>2.8110803079538465E-4</v>
      </c>
      <c r="BE558" s="2">
        <f t="shared" ca="1" si="339"/>
        <v>0.15803666581519477</v>
      </c>
      <c r="BF558" s="2">
        <f t="shared" ca="1" si="340"/>
        <v>0.7078797065950384</v>
      </c>
      <c r="BG558" s="2">
        <f t="shared" ca="1" si="341"/>
        <v>5.3178831348560197E-2</v>
      </c>
      <c r="BH558" s="2">
        <f t="shared" ca="1" si="342"/>
        <v>0.7078797065950384</v>
      </c>
      <c r="BI558" s="2">
        <f t="shared" ca="1" si="343"/>
        <v>0.7078797065950384</v>
      </c>
    </row>
    <row r="559" spans="1:61" ht="15" x14ac:dyDescent="0.25">
      <c r="A559" s="66">
        <v>493</v>
      </c>
      <c r="B559" s="66">
        <v>1498730379.23</v>
      </c>
      <c r="C559" s="67">
        <v>1.1573786403654601E-5</v>
      </c>
      <c r="D559" s="67">
        <v>-2.8631791624332899E-5</v>
      </c>
      <c r="E559" s="67">
        <v>1.18842042735581E-2</v>
      </c>
      <c r="F559" s="67">
        <v>8.5257187103332597E-4</v>
      </c>
      <c r="G559" s="67">
        <v>1.02884658554749E-4</v>
      </c>
      <c r="H559" s="67">
        <v>0.21634228753404</v>
      </c>
      <c r="I559" s="67">
        <v>-2.8631791624332899E-5</v>
      </c>
      <c r="J559" s="67">
        <v>0.15637325040254299</v>
      </c>
      <c r="K559" s="67">
        <v>1.8767373654744099</v>
      </c>
      <c r="L559" s="67"/>
      <c r="M559" s="67"/>
      <c r="N559" s="16"/>
      <c r="O559" s="11">
        <f t="shared" ca="1" si="301"/>
        <v>-1.2301443063054272E-6</v>
      </c>
      <c r="P559" s="11">
        <f t="shared" ca="1" si="302"/>
        <v>-2.9396891854637641E-5</v>
      </c>
      <c r="Q559" s="11">
        <f t="shared" ca="1" si="303"/>
        <v>1.1047712661289816E-2</v>
      </c>
      <c r="R559" s="11">
        <f t="shared" ca="1" si="304"/>
        <v>8.4092538338697881E-4</v>
      </c>
      <c r="S559" s="11">
        <f t="shared" ca="1" si="305"/>
        <v>9.1957006507778868E-5</v>
      </c>
      <c r="T559" s="11">
        <f t="shared" ca="1" si="306"/>
        <v>0.21520373249545771</v>
      </c>
      <c r="U559" s="11">
        <f t="shared" ca="1" si="307"/>
        <v>-2.9396891854637641E-5</v>
      </c>
      <c r="V559" s="11">
        <f t="shared" ca="1" si="308"/>
        <v>0.15572305439684922</v>
      </c>
      <c r="W559" s="11">
        <f t="shared" ca="1" si="309"/>
        <v>1.8696145172109049</v>
      </c>
      <c r="X559" s="11"/>
      <c r="Y559" s="2">
        <f t="shared" ca="1" si="310"/>
        <v>-1.2301443063054272E-6</v>
      </c>
      <c r="Z559" s="11">
        <f t="shared" ca="1" si="311"/>
        <v>-2.9396891854637641E-5</v>
      </c>
      <c r="AA559" s="2">
        <f t="shared" ca="1" si="312"/>
        <v>1.1047712661289816E-2</v>
      </c>
      <c r="AB559" s="2">
        <f t="shared" ca="1" si="313"/>
        <v>8.4092538338697881E-4</v>
      </c>
      <c r="AC559" s="2">
        <f t="shared" ca="1" si="314"/>
        <v>9.1957006507778868E-5</v>
      </c>
      <c r="AD559" s="2">
        <f t="shared" ca="1" si="315"/>
        <v>0.21520373249545771</v>
      </c>
      <c r="AE559" s="2">
        <f t="shared" ca="1" si="316"/>
        <v>-2.9396891854637641E-5</v>
      </c>
      <c r="AF559" s="2">
        <f t="shared" ca="1" si="317"/>
        <v>0.15572305439684922</v>
      </c>
      <c r="AG559" s="2">
        <f t="shared" ca="1" si="318"/>
        <v>1.8696145172109049</v>
      </c>
      <c r="AI559" s="2">
        <f t="shared" ca="1" si="319"/>
        <v>-1.2301443063054272E-6</v>
      </c>
      <c r="AJ559" s="11">
        <f t="shared" ca="1" si="320"/>
        <v>-2.9396891854637641E-5</v>
      </c>
      <c r="AK559" s="2">
        <f t="shared" ca="1" si="321"/>
        <v>1.1047712661289816E-2</v>
      </c>
      <c r="AL559" s="2">
        <f t="shared" ca="1" si="322"/>
        <v>8.4092538338697881E-4</v>
      </c>
      <c r="AM559" s="2">
        <f t="shared" ca="1" si="323"/>
        <v>9.1957006507778868E-5</v>
      </c>
      <c r="AN559" s="2">
        <f t="shared" ca="1" si="324"/>
        <v>0.21520373249545771</v>
      </c>
      <c r="AO559" s="2">
        <f t="shared" ca="1" si="325"/>
        <v>-2.9396891854637641E-5</v>
      </c>
      <c r="AP559" s="2">
        <f t="shared" ca="1" si="326"/>
        <v>0.15572305439684922</v>
      </c>
      <c r="AQ559" s="2">
        <f t="shared" ca="1" si="327"/>
        <v>1.8696145172109049</v>
      </c>
      <c r="AS559" s="2">
        <f t="shared" ca="1" si="328"/>
        <v>8.6876491198886008</v>
      </c>
      <c r="AT559" s="2">
        <f t="shared" ca="1" si="329"/>
        <v>0.40023072819304523</v>
      </c>
      <c r="AU559" s="2">
        <f t="shared" ca="1" si="330"/>
        <v>3.3656417854898628E-4</v>
      </c>
      <c r="AV559" s="2">
        <f t="shared" ca="1" si="331"/>
        <v>0.15538649021830023</v>
      </c>
      <c r="AW559" s="2">
        <f t="shared" ca="1" si="332"/>
        <v>0.7088477925762886</v>
      </c>
      <c r="AX559" s="2">
        <f t="shared" ca="1" si="333"/>
        <v>5.3296541237470442E-2</v>
      </c>
      <c r="AY559" s="9">
        <f t="shared" ca="1" si="334"/>
        <v>0.7088477925762886</v>
      </c>
      <c r="AZ559" s="9">
        <f t="shared" ca="1" si="335"/>
        <v>0.7088477925762886</v>
      </c>
      <c r="BA559" s="9"/>
      <c r="BB559" s="2">
        <f t="shared" ca="1" si="336"/>
        <v>8.6876491198886008</v>
      </c>
      <c r="BC559" s="2">
        <f t="shared" ca="1" si="337"/>
        <v>0.40023072819304523</v>
      </c>
      <c r="BD559" s="2">
        <f t="shared" ca="1" si="338"/>
        <v>3.3656417854898628E-4</v>
      </c>
      <c r="BE559" s="2">
        <f t="shared" ca="1" si="339"/>
        <v>0.15538649021830023</v>
      </c>
      <c r="BF559" s="2">
        <f t="shared" ca="1" si="340"/>
        <v>0.7088477925762886</v>
      </c>
      <c r="BG559" s="2">
        <f t="shared" ca="1" si="341"/>
        <v>5.3296541237470442E-2</v>
      </c>
      <c r="BH559" s="2">
        <f t="shared" ca="1" si="342"/>
        <v>0.7088477925762886</v>
      </c>
      <c r="BI559" s="2">
        <f t="shared" ca="1" si="343"/>
        <v>0.7088477925762886</v>
      </c>
    </row>
    <row r="560" spans="1:61" ht="15" x14ac:dyDescent="0.25">
      <c r="A560" s="66">
        <v>494</v>
      </c>
      <c r="B560" s="66">
        <v>1498730379.757</v>
      </c>
      <c r="C560" s="67">
        <v>5.3858721614383202E-5</v>
      </c>
      <c r="D560" s="67">
        <v>5.8402678213862703E-5</v>
      </c>
      <c r="E560" s="67">
        <v>1.20890748982895E-2</v>
      </c>
      <c r="F560" s="67">
        <v>6.9731770170842198E-4</v>
      </c>
      <c r="G560" s="67">
        <v>5.1634336309598702E-6</v>
      </c>
      <c r="H560" s="67">
        <v>0.22145144066498601</v>
      </c>
      <c r="I560" s="67">
        <v>5.8402678213862703E-5</v>
      </c>
      <c r="J560" s="67">
        <v>0.160054008911416</v>
      </c>
      <c r="K560" s="67">
        <v>1.9217030256299401</v>
      </c>
      <c r="L560" s="67"/>
      <c r="M560" s="67"/>
      <c r="N560" s="16"/>
      <c r="O560" s="11">
        <f t="shared" ca="1" si="301"/>
        <v>4.1054790904423175E-5</v>
      </c>
      <c r="P560" s="11">
        <f t="shared" ca="1" si="302"/>
        <v>5.7637577983557964E-5</v>
      </c>
      <c r="Q560" s="11">
        <f t="shared" ca="1" si="303"/>
        <v>1.1252583286021215E-2</v>
      </c>
      <c r="R560" s="11">
        <f t="shared" ca="1" si="304"/>
        <v>6.8567121406207482E-4</v>
      </c>
      <c r="S560" s="11">
        <f t="shared" ca="1" si="305"/>
        <v>-5.7642184160102522E-6</v>
      </c>
      <c r="T560" s="11">
        <f t="shared" ca="1" si="306"/>
        <v>0.22031288562640372</v>
      </c>
      <c r="U560" s="11">
        <f t="shared" ca="1" si="307"/>
        <v>5.7637577983557964E-5</v>
      </c>
      <c r="V560" s="11">
        <f t="shared" ca="1" si="308"/>
        <v>0.15940381290572223</v>
      </c>
      <c r="W560" s="11">
        <f t="shared" ca="1" si="309"/>
        <v>1.914580177366435</v>
      </c>
      <c r="X560" s="11"/>
      <c r="Y560" s="2">
        <f t="shared" ca="1" si="310"/>
        <v>4.1054790904423175E-5</v>
      </c>
      <c r="Z560" s="11">
        <f t="shared" ca="1" si="311"/>
        <v>5.7637577983557964E-5</v>
      </c>
      <c r="AA560" s="2">
        <f t="shared" ca="1" si="312"/>
        <v>1.1252142315418994E-2</v>
      </c>
      <c r="AB560" s="2">
        <f t="shared" ca="1" si="313"/>
        <v>6.7499772107648399E-4</v>
      </c>
      <c r="AC560" s="2">
        <f t="shared" ca="1" si="314"/>
        <v>-5.7642184160102522E-6</v>
      </c>
      <c r="AD560" s="2">
        <f t="shared" ca="1" si="315"/>
        <v>0.22023526477835359</v>
      </c>
      <c r="AE560" s="2">
        <f t="shared" ca="1" si="316"/>
        <v>5.7637577983557964E-5</v>
      </c>
      <c r="AF560" s="2">
        <f t="shared" ca="1" si="317"/>
        <v>0.15928918560429248</v>
      </c>
      <c r="AG560" s="2">
        <f t="shared" ca="1" si="318"/>
        <v>1.9145336642740984</v>
      </c>
      <c r="AI560" s="2">
        <f t="shared" ca="1" si="319"/>
        <v>4.1054790904423175E-5</v>
      </c>
      <c r="AJ560" s="11">
        <f t="shared" ca="1" si="320"/>
        <v>5.7637577983557964E-5</v>
      </c>
      <c r="AK560" s="2">
        <f t="shared" ca="1" si="321"/>
        <v>1.118414063787742E-2</v>
      </c>
      <c r="AL560" s="2">
        <f t="shared" ca="1" si="322"/>
        <v>6.4317009553335692E-4</v>
      </c>
      <c r="AM560" s="2">
        <f t="shared" ca="1" si="323"/>
        <v>-5.7642184160102522E-6</v>
      </c>
      <c r="AN560" s="2">
        <f t="shared" ca="1" si="324"/>
        <v>0.22023526477835359</v>
      </c>
      <c r="AO560" s="2">
        <f t="shared" ca="1" si="325"/>
        <v>5.7637577983557964E-5</v>
      </c>
      <c r="AP560" s="2">
        <f t="shared" ca="1" si="326"/>
        <v>0.15928918560429248</v>
      </c>
      <c r="AQ560" s="2">
        <f t="shared" ca="1" si="327"/>
        <v>1.9145336642740984</v>
      </c>
      <c r="AS560" s="2">
        <f t="shared" ca="1" si="328"/>
        <v>8.6902777925259009</v>
      </c>
      <c r="AT560" s="2">
        <f t="shared" ca="1" si="329"/>
        <v>0.40035329736024211</v>
      </c>
      <c r="AU560" s="2">
        <f t="shared" ca="1" si="330"/>
        <v>2.7451073145475207E-4</v>
      </c>
      <c r="AV560" s="2">
        <f t="shared" ca="1" si="331"/>
        <v>0.15912930217426746</v>
      </c>
      <c r="AW560" s="2">
        <f t="shared" ca="1" si="332"/>
        <v>0.70897941749010329</v>
      </c>
      <c r="AX560" s="2">
        <f t="shared" ca="1" si="333"/>
        <v>5.304240828807566E-2</v>
      </c>
      <c r="AY560" s="9">
        <f t="shared" ca="1" si="334"/>
        <v>0.70897941749010329</v>
      </c>
      <c r="AZ560" s="9">
        <f t="shared" ca="1" si="335"/>
        <v>0.70897941749010329</v>
      </c>
      <c r="BA560" s="9"/>
      <c r="BB560" s="2">
        <f t="shared" ca="1" si="336"/>
        <v>8.6931294413766995</v>
      </c>
      <c r="BC560" s="2">
        <f t="shared" ca="1" si="337"/>
        <v>0.40048626392158598</v>
      </c>
      <c r="BD560" s="2">
        <f t="shared" ca="1" si="338"/>
        <v>2.5758078862624366E-4</v>
      </c>
      <c r="BE560" s="2">
        <f t="shared" ca="1" si="339"/>
        <v>0.15903160481566622</v>
      </c>
      <c r="BF560" s="2">
        <f t="shared" ca="1" si="340"/>
        <v>0.70867676332437224</v>
      </c>
      <c r="BG560" s="2">
        <f t="shared" ca="1" si="341"/>
        <v>5.275607240686335E-2</v>
      </c>
      <c r="BH560" s="2">
        <f t="shared" ca="1" si="342"/>
        <v>0.70867676332437224</v>
      </c>
      <c r="BI560" s="2">
        <f t="shared" ca="1" si="343"/>
        <v>0.70867676332437224</v>
      </c>
    </row>
    <row r="561" spans="1:61" ht="15" x14ac:dyDescent="0.25">
      <c r="A561" s="66">
        <v>495</v>
      </c>
      <c r="B561" s="66">
        <v>1498730380.283</v>
      </c>
      <c r="C561" s="67">
        <v>7.9136051867986898E-5</v>
      </c>
      <c r="D561" s="67">
        <v>9.4595014082088805E-5</v>
      </c>
      <c r="E561" s="67">
        <v>1.2016607100241701E-2</v>
      </c>
      <c r="F561" s="67">
        <v>8.0851723930193398E-4</v>
      </c>
      <c r="G561" s="67">
        <v>1.70915467616999E-4</v>
      </c>
      <c r="H561" s="67">
        <v>0.219334235649356</v>
      </c>
      <c r="I561" s="67">
        <v>9.4595014082088805E-5</v>
      </c>
      <c r="J561" s="67">
        <v>0.158630339182327</v>
      </c>
      <c r="K561" s="67">
        <v>1.90441018726397</v>
      </c>
      <c r="L561" s="67"/>
      <c r="M561" s="67"/>
      <c r="N561" s="10"/>
      <c r="O561" s="11">
        <f t="shared" ca="1" si="301"/>
        <v>6.6332121158026863E-5</v>
      </c>
      <c r="P561" s="11">
        <f t="shared" ca="1" si="302"/>
        <v>9.3829913851784067E-5</v>
      </c>
      <c r="Q561" s="11">
        <f t="shared" ca="1" si="303"/>
        <v>1.1180115487973416E-2</v>
      </c>
      <c r="R561" s="11">
        <f t="shared" ca="1" si="304"/>
        <v>7.9687075165558682E-4</v>
      </c>
      <c r="S561" s="11">
        <f t="shared" ca="1" si="305"/>
        <v>1.5998781557002888E-4</v>
      </c>
      <c r="T561" s="11">
        <f t="shared" ca="1" si="306"/>
        <v>0.21819568061077371</v>
      </c>
      <c r="U561" s="11">
        <f t="shared" ca="1" si="307"/>
        <v>9.3829913851784067E-5</v>
      </c>
      <c r="V561" s="11">
        <f t="shared" ca="1" si="308"/>
        <v>0.15798014317663323</v>
      </c>
      <c r="W561" s="11">
        <f t="shared" ca="1" si="309"/>
        <v>1.897287339000465</v>
      </c>
      <c r="X561" s="11"/>
      <c r="Y561" s="2">
        <f t="shared" ca="1" si="310"/>
        <v>6.6332121158026863E-5</v>
      </c>
      <c r="Z561" s="11">
        <f t="shared" ca="1" si="311"/>
        <v>9.3829913851784067E-5</v>
      </c>
      <c r="AA561" s="2">
        <f t="shared" ca="1" si="312"/>
        <v>1.1179397618918797E-2</v>
      </c>
      <c r="AB561" s="2">
        <f t="shared" ca="1" si="313"/>
        <v>7.7949505749263452E-4</v>
      </c>
      <c r="AC561" s="2">
        <f t="shared" ca="1" si="314"/>
        <v>1.5998781557002888E-4</v>
      </c>
      <c r="AD561" s="2">
        <f t="shared" ca="1" si="315"/>
        <v>0.21806931934195486</v>
      </c>
      <c r="AE561" s="2">
        <f t="shared" ca="1" si="316"/>
        <v>9.3829913851784067E-5</v>
      </c>
      <c r="AF561" s="2">
        <f t="shared" ca="1" si="317"/>
        <v>0.1577935380104466</v>
      </c>
      <c r="AG561" s="2">
        <f t="shared" ca="1" si="318"/>
        <v>1.8972116189650365</v>
      </c>
      <c r="AI561" s="2">
        <f t="shared" ca="1" si="319"/>
        <v>6.6332121158026863E-5</v>
      </c>
      <c r="AJ561" s="11">
        <f t="shared" ca="1" si="320"/>
        <v>9.3829913851784067E-5</v>
      </c>
      <c r="AK561" s="2">
        <f t="shared" ca="1" si="321"/>
        <v>1.1068695681593761E-2</v>
      </c>
      <c r="AL561" s="2">
        <f t="shared" ca="1" si="322"/>
        <v>7.2768192676617746E-4</v>
      </c>
      <c r="AM561" s="2">
        <f t="shared" ca="1" si="323"/>
        <v>1.5998781557002888E-4</v>
      </c>
      <c r="AN561" s="2">
        <f t="shared" ca="1" si="324"/>
        <v>0.21806931934195486</v>
      </c>
      <c r="AO561" s="2">
        <f t="shared" ca="1" si="325"/>
        <v>9.3829913851784067E-5</v>
      </c>
      <c r="AP561" s="2">
        <f t="shared" ca="1" si="326"/>
        <v>0.1577935380104466</v>
      </c>
      <c r="AQ561" s="2">
        <f t="shared" ca="1" si="327"/>
        <v>1.8972116189650365</v>
      </c>
      <c r="AS561" s="2">
        <f t="shared" ca="1" si="328"/>
        <v>8.6953478349781044</v>
      </c>
      <c r="AT561" s="2">
        <f t="shared" ca="1" si="329"/>
        <v>0.40058970344995504</v>
      </c>
      <c r="AU561" s="2">
        <f t="shared" ca="1" si="330"/>
        <v>3.1921821809365427E-4</v>
      </c>
      <c r="AV561" s="2">
        <f t="shared" ca="1" si="331"/>
        <v>0.15766092495853956</v>
      </c>
      <c r="AW561" s="2">
        <f t="shared" ca="1" si="332"/>
        <v>0.70904488534735344</v>
      </c>
      <c r="AX561" s="2">
        <f t="shared" ca="1" si="333"/>
        <v>5.3243945127177353E-2</v>
      </c>
      <c r="AY561" s="9">
        <f t="shared" ca="1" si="334"/>
        <v>0.70904488534735344</v>
      </c>
      <c r="AZ561" s="9">
        <f t="shared" ca="1" si="335"/>
        <v>0.70904488534735344</v>
      </c>
      <c r="BA561" s="9"/>
      <c r="BB561" s="2">
        <f t="shared" ca="1" si="336"/>
        <v>8.7000391650235578</v>
      </c>
      <c r="BC561" s="2">
        <f t="shared" ca="1" si="337"/>
        <v>0.40080845241557395</v>
      </c>
      <c r="BD561" s="2">
        <f t="shared" ca="1" si="338"/>
        <v>2.916610669179346E-4</v>
      </c>
      <c r="BE561" s="2">
        <f t="shared" ca="1" si="339"/>
        <v>0.15750187694352866</v>
      </c>
      <c r="BF561" s="2">
        <f t="shared" ca="1" si="340"/>
        <v>0.70854756087386883</v>
      </c>
      <c r="BG561" s="2">
        <f t="shared" ca="1" si="341"/>
        <v>5.2772985055127702E-2</v>
      </c>
      <c r="BH561" s="2">
        <f t="shared" ca="1" si="342"/>
        <v>0.70854756087386883</v>
      </c>
      <c r="BI561" s="2">
        <f t="shared" ca="1" si="343"/>
        <v>0.70854756087386883</v>
      </c>
    </row>
    <row r="562" spans="1:61" ht="15" x14ac:dyDescent="0.25">
      <c r="A562" s="66">
        <v>496</v>
      </c>
      <c r="B562" s="66">
        <v>1498730380.8099999</v>
      </c>
      <c r="C562" s="67">
        <v>7.6301179031256305E-5</v>
      </c>
      <c r="D562" s="67">
        <v>7.9913187054503294E-5</v>
      </c>
      <c r="E562" s="67">
        <v>1.21716608143822E-2</v>
      </c>
      <c r="F562" s="67">
        <v>9.9213071730252698E-4</v>
      </c>
      <c r="G562" s="67">
        <v>2.2516618205637901E-4</v>
      </c>
      <c r="H562" s="67">
        <v>0.22317313876729</v>
      </c>
      <c r="I562" s="67">
        <v>7.9913187054503294E-5</v>
      </c>
      <c r="J562" s="67">
        <v>0.16109616644947999</v>
      </c>
      <c r="K562" s="67">
        <v>1.93385565428843</v>
      </c>
      <c r="L562" s="67"/>
      <c r="M562" s="67"/>
      <c r="N562" s="10"/>
      <c r="O562" s="11">
        <f t="shared" ca="1" si="301"/>
        <v>6.3497248321296284E-5</v>
      </c>
      <c r="P562" s="11">
        <f t="shared" ca="1" si="302"/>
        <v>7.9148086824198556E-5</v>
      </c>
      <c r="Q562" s="11">
        <f t="shared" ca="1" si="303"/>
        <v>1.1335169202113915E-2</v>
      </c>
      <c r="R562" s="11">
        <f t="shared" ca="1" si="304"/>
        <v>9.8048422965617992E-4</v>
      </c>
      <c r="S562" s="11">
        <f t="shared" ca="1" si="305"/>
        <v>2.142385300094089E-4</v>
      </c>
      <c r="T562" s="11">
        <f t="shared" ca="1" si="306"/>
        <v>0.22203458372870771</v>
      </c>
      <c r="U562" s="11">
        <f t="shared" ca="1" si="307"/>
        <v>7.9148086824198556E-5</v>
      </c>
      <c r="V562" s="11">
        <f t="shared" ca="1" si="308"/>
        <v>0.16044597044378622</v>
      </c>
      <c r="W562" s="11">
        <f t="shared" ca="1" si="309"/>
        <v>1.9267328060249249</v>
      </c>
      <c r="X562" s="11"/>
      <c r="Y562" s="2">
        <f t="shared" ca="1" si="310"/>
        <v>6.3497248321296284E-5</v>
      </c>
      <c r="Z562" s="11">
        <f t="shared" ca="1" si="311"/>
        <v>7.9148086824198556E-5</v>
      </c>
      <c r="AA562" s="2">
        <f t="shared" ca="1" si="312"/>
        <v>1.1334563660022582E-2</v>
      </c>
      <c r="AB562" s="2">
        <f t="shared" ca="1" si="313"/>
        <v>9.6582735858186087E-4</v>
      </c>
      <c r="AC562" s="2">
        <f t="shared" ca="1" si="314"/>
        <v>2.142385300094089E-4</v>
      </c>
      <c r="AD562" s="2">
        <f t="shared" ca="1" si="315"/>
        <v>0.22192799455831277</v>
      </c>
      <c r="AE562" s="2">
        <f t="shared" ca="1" si="316"/>
        <v>7.9148086824198556E-5</v>
      </c>
      <c r="AF562" s="2">
        <f t="shared" ca="1" si="317"/>
        <v>0.1602885639058402</v>
      </c>
      <c r="AG562" s="2">
        <f t="shared" ca="1" si="318"/>
        <v>1.9266689341135865</v>
      </c>
      <c r="AI562" s="2">
        <f t="shared" ca="1" si="319"/>
        <v>6.3497248321296284E-5</v>
      </c>
      <c r="AJ562" s="11">
        <f t="shared" ca="1" si="320"/>
        <v>7.9148086824198556E-5</v>
      </c>
      <c r="AK562" s="2">
        <f t="shared" ca="1" si="321"/>
        <v>1.1241183562063104E-2</v>
      </c>
      <c r="AL562" s="2">
        <f t="shared" ca="1" si="322"/>
        <v>9.2212157221772679E-4</v>
      </c>
      <c r="AM562" s="2">
        <f t="shared" ca="1" si="323"/>
        <v>2.142385300094089E-4</v>
      </c>
      <c r="AN562" s="2">
        <f t="shared" ca="1" si="324"/>
        <v>0.22192799455831277</v>
      </c>
      <c r="AO562" s="2">
        <f t="shared" ca="1" si="325"/>
        <v>7.9148086824198556E-5</v>
      </c>
      <c r="AP562" s="2">
        <f t="shared" ca="1" si="326"/>
        <v>0.1602885639058402</v>
      </c>
      <c r="AQ562" s="2">
        <f t="shared" ca="1" si="327"/>
        <v>1.9266689341135865</v>
      </c>
      <c r="AS562" s="2">
        <f t="shared" ca="1" si="328"/>
        <v>8.6776247810976042</v>
      </c>
      <c r="AT562" s="2">
        <f t="shared" ca="1" si="329"/>
        <v>0.39976331966727507</v>
      </c>
      <c r="AU562" s="2">
        <f t="shared" ca="1" si="330"/>
        <v>3.919616305287654E-4</v>
      </c>
      <c r="AV562" s="2">
        <f t="shared" ca="1" si="331"/>
        <v>0.16005400881325746</v>
      </c>
      <c r="AW562" s="2">
        <f t="shared" ca="1" si="332"/>
        <v>0.70808919788207647</v>
      </c>
      <c r="AX562" s="2">
        <f t="shared" ca="1" si="333"/>
        <v>5.2938395589011381E-2</v>
      </c>
      <c r="AY562" s="9">
        <f t="shared" ca="1" si="334"/>
        <v>0.70808919788207647</v>
      </c>
      <c r="AZ562" s="9">
        <f t="shared" ca="1" si="335"/>
        <v>0.70808919788207647</v>
      </c>
      <c r="BA562" s="9"/>
      <c r="BB562" s="2">
        <f t="shared" ca="1" si="336"/>
        <v>8.6815047283606397</v>
      </c>
      <c r="BC562" s="2">
        <f t="shared" ca="1" si="337"/>
        <v>0.39994423061660911</v>
      </c>
      <c r="BD562" s="2">
        <f t="shared" ca="1" si="338"/>
        <v>3.6879720273559667E-4</v>
      </c>
      <c r="BE562" s="2">
        <f t="shared" ca="1" si="339"/>
        <v>0.15991976670310459</v>
      </c>
      <c r="BF562" s="2">
        <f t="shared" ca="1" si="340"/>
        <v>0.70767577549448779</v>
      </c>
      <c r="BG562" s="2">
        <f t="shared" ca="1" si="341"/>
        <v>5.2548702339417892E-2</v>
      </c>
      <c r="BH562" s="2" t="str">
        <f t="shared" ca="1" si="342"/>
        <v>rejected</v>
      </c>
      <c r="BI562" s="2" t="e">
        <f t="shared" ca="1" si="343"/>
        <v>#N/A</v>
      </c>
    </row>
    <row r="563" spans="1:61" ht="15" x14ac:dyDescent="0.25">
      <c r="A563" s="66">
        <v>497</v>
      </c>
      <c r="B563" s="66">
        <v>1498730381.3369999</v>
      </c>
      <c r="C563" s="67">
        <v>4.4173186279200099E-5</v>
      </c>
      <c r="D563" s="67">
        <v>1.9979026058052098E-5</v>
      </c>
      <c r="E563" s="67">
        <v>1.2125431132238299E-2</v>
      </c>
      <c r="F563" s="67">
        <v>8.2828205002426897E-4</v>
      </c>
      <c r="G563" s="67">
        <v>3.9421996619968397E-5</v>
      </c>
      <c r="H563" s="67">
        <v>0.22467807041270099</v>
      </c>
      <c r="I563" s="67">
        <v>1.9979026058052098E-5</v>
      </c>
      <c r="J563" s="67">
        <v>0.16230018591466899</v>
      </c>
      <c r="K563" s="67">
        <v>1.94952363919136</v>
      </c>
      <c r="L563" s="67"/>
      <c r="M563" s="67"/>
      <c r="N563" s="10"/>
      <c r="O563" s="11">
        <f t="shared" ca="1" si="301"/>
        <v>3.1369255569240071E-5</v>
      </c>
      <c r="P563" s="11">
        <f t="shared" ca="1" si="302"/>
        <v>1.9213925827747356E-5</v>
      </c>
      <c r="Q563" s="11">
        <f t="shared" ca="1" si="303"/>
        <v>1.1288939519970015E-2</v>
      </c>
      <c r="R563" s="11">
        <f t="shared" ca="1" si="304"/>
        <v>8.1663556237792181E-4</v>
      </c>
      <c r="S563" s="11">
        <f t="shared" ca="1" si="305"/>
        <v>2.8494344572998276E-5</v>
      </c>
      <c r="T563" s="11">
        <f t="shared" ca="1" si="306"/>
        <v>0.2235395153741187</v>
      </c>
      <c r="U563" s="11">
        <f t="shared" ca="1" si="307"/>
        <v>1.9213925827747356E-5</v>
      </c>
      <c r="V563" s="11">
        <f t="shared" ca="1" si="308"/>
        <v>0.16164998990897522</v>
      </c>
      <c r="W563" s="11">
        <f t="shared" ca="1" si="309"/>
        <v>1.9424007909278549</v>
      </c>
      <c r="X563" s="11"/>
      <c r="Y563" s="2">
        <f t="shared" ca="1" si="310"/>
        <v>3.1369255569240071E-5</v>
      </c>
      <c r="Z563" s="11">
        <f t="shared" ca="1" si="311"/>
        <v>1.9213925827747356E-5</v>
      </c>
      <c r="AA563" s="2">
        <f t="shared" ca="1" si="312"/>
        <v>1.1288792519059503E-2</v>
      </c>
      <c r="AB563" s="2">
        <f t="shared" ca="1" si="313"/>
        <v>8.1307747215756895E-4</v>
      </c>
      <c r="AC563" s="2">
        <f t="shared" ca="1" si="314"/>
        <v>2.8494344572998276E-5</v>
      </c>
      <c r="AD563" s="2">
        <f t="shared" ca="1" si="315"/>
        <v>0.22351363987293876</v>
      </c>
      <c r="AE563" s="2">
        <f t="shared" ca="1" si="316"/>
        <v>1.9213925827747356E-5</v>
      </c>
      <c r="AF563" s="2">
        <f t="shared" ca="1" si="317"/>
        <v>0.1616117780245665</v>
      </c>
      <c r="AG563" s="2">
        <f t="shared" ca="1" si="318"/>
        <v>1.9423852854340877</v>
      </c>
      <c r="AI563" s="2">
        <f t="shared" ca="1" si="319"/>
        <v>3.1369255569240071E-5</v>
      </c>
      <c r="AJ563" s="11">
        <f t="shared" ca="1" si="320"/>
        <v>1.9213925827747356E-5</v>
      </c>
      <c r="AK563" s="2">
        <f t="shared" ca="1" si="321"/>
        <v>1.1266123641668109E-2</v>
      </c>
      <c r="AL563" s="2">
        <f t="shared" ca="1" si="322"/>
        <v>8.0246749065152078E-4</v>
      </c>
      <c r="AM563" s="2">
        <f t="shared" ca="1" si="323"/>
        <v>2.8494344572998276E-5</v>
      </c>
      <c r="AN563" s="2">
        <f t="shared" ca="1" si="324"/>
        <v>0.22351363987293876</v>
      </c>
      <c r="AO563" s="2">
        <f t="shared" ca="1" si="325"/>
        <v>1.9213925827747356E-5</v>
      </c>
      <c r="AP563" s="2">
        <f t="shared" ca="1" si="326"/>
        <v>0.1616117780245665</v>
      </c>
      <c r="AQ563" s="2">
        <f t="shared" ca="1" si="327"/>
        <v>1.9423852854340877</v>
      </c>
      <c r="AS563" s="2">
        <f t="shared" ca="1" si="328"/>
        <v>8.6892949896443454</v>
      </c>
      <c r="AT563" s="2">
        <f t="shared" ca="1" si="329"/>
        <v>0.40030747139188971</v>
      </c>
      <c r="AU563" s="2">
        <f t="shared" ca="1" si="330"/>
        <v>3.269053170241997E-4</v>
      </c>
      <c r="AV563" s="2">
        <f t="shared" ca="1" si="331"/>
        <v>0.16132308459195102</v>
      </c>
      <c r="AW563" s="2">
        <f t="shared" ca="1" si="332"/>
        <v>0.70841918781289648</v>
      </c>
      <c r="AX563" s="2">
        <f t="shared" ca="1" si="333"/>
        <v>5.2439613012722715E-2</v>
      </c>
      <c r="AY563" s="9">
        <f t="shared" ca="1" si="334"/>
        <v>0.70841918781289648</v>
      </c>
      <c r="AZ563" s="9">
        <f t="shared" ca="1" si="335"/>
        <v>0.70841918781289648</v>
      </c>
      <c r="BA563" s="9"/>
      <c r="BB563" s="2">
        <f t="shared" ca="1" si="336"/>
        <v>8.6902315515879902</v>
      </c>
      <c r="BC563" s="2">
        <f t="shared" ca="1" si="337"/>
        <v>0.40035114124411536</v>
      </c>
      <c r="BD563" s="2">
        <f t="shared" ca="1" si="338"/>
        <v>3.2126877569363784E-4</v>
      </c>
      <c r="BE563" s="2">
        <f t="shared" ca="1" si="339"/>
        <v>0.16129050924887287</v>
      </c>
      <c r="BF563" s="2">
        <f t="shared" ca="1" si="340"/>
        <v>0.70831968861605299</v>
      </c>
      <c r="BG563" s="2">
        <f t="shared" ca="1" si="341"/>
        <v>5.234545925602159E-2</v>
      </c>
      <c r="BH563" s="2">
        <f t="shared" ca="1" si="342"/>
        <v>0.70831968861605299</v>
      </c>
      <c r="BI563" s="2">
        <f t="shared" ca="1" si="343"/>
        <v>0.70831968861605299</v>
      </c>
    </row>
    <row r="564" spans="1:61" ht="15" x14ac:dyDescent="0.25">
      <c r="A564" s="66">
        <v>498</v>
      </c>
      <c r="B564" s="66">
        <v>1498730381.8640001</v>
      </c>
      <c r="C564" s="67">
        <v>-2.81109938995702E-5</v>
      </c>
      <c r="D564" s="67">
        <v>-1.74614431288656E-5</v>
      </c>
      <c r="E564" s="67">
        <v>1.2296395189062901E-2</v>
      </c>
      <c r="F564" s="67">
        <v>6.7350784648843203E-4</v>
      </c>
      <c r="G564" s="67">
        <v>1.03662035642624E-5</v>
      </c>
      <c r="H564" s="67">
        <v>0.225122600189963</v>
      </c>
      <c r="I564" s="67">
        <v>-1.74614431288656E-5</v>
      </c>
      <c r="J564" s="67">
        <v>0.16272761755509199</v>
      </c>
      <c r="K564" s="67">
        <v>1.9543668880123199</v>
      </c>
      <c r="L564" s="67"/>
      <c r="M564" s="67"/>
      <c r="N564" s="10"/>
      <c r="O564" s="11">
        <f t="shared" ca="1" si="301"/>
        <v>-4.0914924609530224E-5</v>
      </c>
      <c r="P564" s="11">
        <f t="shared" ca="1" si="302"/>
        <v>-1.8226543359170342E-5</v>
      </c>
      <c r="Q564" s="11">
        <f t="shared" ca="1" si="303"/>
        <v>1.1459903576794616E-2</v>
      </c>
      <c r="R564" s="11">
        <f t="shared" ca="1" si="304"/>
        <v>6.6186135884208487E-4</v>
      </c>
      <c r="S564" s="11">
        <f t="shared" ca="1" si="305"/>
        <v>-5.6144848270772286E-7</v>
      </c>
      <c r="T564" s="11">
        <f t="shared" ca="1" si="306"/>
        <v>0.22398404515138071</v>
      </c>
      <c r="U564" s="11">
        <f t="shared" ca="1" si="307"/>
        <v>-1.8226543359170342E-5</v>
      </c>
      <c r="V564" s="11">
        <f t="shared" ca="1" si="308"/>
        <v>0.16207742154939822</v>
      </c>
      <c r="W564" s="11">
        <f t="shared" ca="1" si="309"/>
        <v>1.9472440397488149</v>
      </c>
      <c r="X564" s="11"/>
      <c r="Y564" s="2">
        <f t="shared" ca="1" si="310"/>
        <v>-4.0914924609530224E-5</v>
      </c>
      <c r="Z564" s="11">
        <f t="shared" ca="1" si="311"/>
        <v>-1.8226543359170342E-5</v>
      </c>
      <c r="AA564" s="2">
        <f t="shared" ca="1" si="312"/>
        <v>1.1459903576794616E-2</v>
      </c>
      <c r="AB564" s="2">
        <f t="shared" ca="1" si="313"/>
        <v>6.6186135884208487E-4</v>
      </c>
      <c r="AC564" s="2">
        <f t="shared" ca="1" si="314"/>
        <v>-5.6144848270772286E-7</v>
      </c>
      <c r="AD564" s="2">
        <f t="shared" ca="1" si="315"/>
        <v>0.22398404515138071</v>
      </c>
      <c r="AE564" s="2">
        <f t="shared" ca="1" si="316"/>
        <v>-1.8226543359170342E-5</v>
      </c>
      <c r="AF564" s="2">
        <f t="shared" ca="1" si="317"/>
        <v>0.16207742154939822</v>
      </c>
      <c r="AG564" s="2">
        <f t="shared" ca="1" si="318"/>
        <v>1.9472440397488149</v>
      </c>
      <c r="AI564" s="2">
        <f t="shared" ca="1" si="319"/>
        <v>-4.0914924609530224E-5</v>
      </c>
      <c r="AJ564" s="11">
        <f t="shared" ca="1" si="320"/>
        <v>-1.8226543359170342E-5</v>
      </c>
      <c r="AK564" s="2">
        <f t="shared" ca="1" si="321"/>
        <v>1.1459903576794616E-2</v>
      </c>
      <c r="AL564" s="2">
        <f t="shared" ca="1" si="322"/>
        <v>6.6186135884208487E-4</v>
      </c>
      <c r="AM564" s="2">
        <f t="shared" ca="1" si="323"/>
        <v>-5.6144848270772286E-7</v>
      </c>
      <c r="AN564" s="2">
        <f t="shared" ca="1" si="324"/>
        <v>0.22398404515138071</v>
      </c>
      <c r="AO564" s="2">
        <f t="shared" ca="1" si="325"/>
        <v>-1.8226543359170342E-5</v>
      </c>
      <c r="AP564" s="2">
        <f t="shared" ca="1" si="326"/>
        <v>0.16207742154939822</v>
      </c>
      <c r="AQ564" s="2">
        <f t="shared" ca="1" si="327"/>
        <v>1.9472440397488149</v>
      </c>
      <c r="AS564" s="2">
        <f t="shared" ca="1" si="328"/>
        <v>8.6936729731475317</v>
      </c>
      <c r="AT564" s="2">
        <f t="shared" ca="1" si="329"/>
        <v>0.40051160775791395</v>
      </c>
      <c r="AU564" s="2">
        <f t="shared" ca="1" si="330"/>
        <v>2.6508315694268102E-4</v>
      </c>
      <c r="AV564" s="2">
        <f t="shared" ca="1" si="331"/>
        <v>0.16181233839245554</v>
      </c>
      <c r="AW564" s="2">
        <f t="shared" ca="1" si="332"/>
        <v>0.7089775584226744</v>
      </c>
      <c r="AX564" s="2">
        <f t="shared" ca="1" si="333"/>
        <v>5.3155518782399276E-2</v>
      </c>
      <c r="AY564" s="9">
        <f t="shared" ca="1" si="334"/>
        <v>0.7089775584226744</v>
      </c>
      <c r="AZ564" s="9">
        <f t="shared" ca="1" si="335"/>
        <v>0.7089775584226744</v>
      </c>
      <c r="BA564" s="9"/>
      <c r="BB564" s="2">
        <f t="shared" ca="1" si="336"/>
        <v>8.6936729731475317</v>
      </c>
      <c r="BC564" s="2">
        <f t="shared" ca="1" si="337"/>
        <v>0.40051160775791395</v>
      </c>
      <c r="BD564" s="2">
        <f t="shared" ca="1" si="338"/>
        <v>2.6508315694268102E-4</v>
      </c>
      <c r="BE564" s="2">
        <f t="shared" ca="1" si="339"/>
        <v>0.16181233839245554</v>
      </c>
      <c r="BF564" s="2">
        <f t="shared" ca="1" si="340"/>
        <v>0.7089775584226744</v>
      </c>
      <c r="BG564" s="2">
        <f t="shared" ca="1" si="341"/>
        <v>5.3155518782399276E-2</v>
      </c>
      <c r="BH564" s="2">
        <f t="shared" ca="1" si="342"/>
        <v>0.7089775584226744</v>
      </c>
      <c r="BI564" s="2">
        <f t="shared" ca="1" si="343"/>
        <v>0.7089775584226744</v>
      </c>
    </row>
    <row r="565" spans="1:61" ht="15" x14ac:dyDescent="0.25">
      <c r="A565" s="66">
        <v>499</v>
      </c>
      <c r="B565" s="66">
        <v>1498730382.3900001</v>
      </c>
      <c r="C565" s="67">
        <v>-7.0156231705106406E-5</v>
      </c>
      <c r="D565" s="67">
        <v>-5.8499798181577199E-5</v>
      </c>
      <c r="E565" s="67">
        <v>1.2087871071843699E-2</v>
      </c>
      <c r="F565" s="67">
        <v>1.0752560850173199E-3</v>
      </c>
      <c r="G565" s="67">
        <v>-1.37629420567634E-4</v>
      </c>
      <c r="H565" s="67">
        <v>0.22261924615205</v>
      </c>
      <c r="I565" s="67">
        <v>-5.8499798181577199E-5</v>
      </c>
      <c r="J565" s="67">
        <v>0.16109539638952999</v>
      </c>
      <c r="K565" s="67">
        <v>1.93267341075765</v>
      </c>
      <c r="L565" s="67"/>
      <c r="M565" s="67"/>
      <c r="N565" s="10"/>
      <c r="O565" s="11">
        <f t="shared" ca="1" si="301"/>
        <v>-8.2960162415066427E-5</v>
      </c>
      <c r="P565" s="11">
        <f t="shared" ca="1" si="302"/>
        <v>-5.9264898411881938E-5</v>
      </c>
      <c r="Q565" s="11">
        <f t="shared" ca="1" si="303"/>
        <v>1.1251379459575415E-2</v>
      </c>
      <c r="R565" s="11">
        <f t="shared" ca="1" si="304"/>
        <v>1.0636095973709729E-3</v>
      </c>
      <c r="S565" s="11">
        <f t="shared" ca="1" si="305"/>
        <v>-1.4855707261460412E-4</v>
      </c>
      <c r="T565" s="11">
        <f t="shared" ca="1" si="306"/>
        <v>0.22148069111346771</v>
      </c>
      <c r="U565" s="11">
        <f t="shared" ca="1" si="307"/>
        <v>-5.9264898411881938E-5</v>
      </c>
      <c r="V565" s="11">
        <f t="shared" ca="1" si="308"/>
        <v>0.16044520038383622</v>
      </c>
      <c r="W565" s="11">
        <f t="shared" ca="1" si="309"/>
        <v>1.9255505624941449</v>
      </c>
      <c r="X565" s="11"/>
      <c r="Y565" s="2">
        <f t="shared" ca="1" si="310"/>
        <v>-8.2960162415066427E-5</v>
      </c>
      <c r="Z565" s="11">
        <f t="shared" ca="1" si="311"/>
        <v>-5.9264898411881938E-5</v>
      </c>
      <c r="AA565" s="2">
        <f t="shared" ca="1" si="312"/>
        <v>1.1251379459575415E-2</v>
      </c>
      <c r="AB565" s="2">
        <f t="shared" ca="1" si="313"/>
        <v>1.0636095973709729E-3</v>
      </c>
      <c r="AC565" s="2">
        <f t="shared" ca="1" si="314"/>
        <v>-1.4855707261460412E-4</v>
      </c>
      <c r="AD565" s="2">
        <f t="shared" ca="1" si="315"/>
        <v>0.22148069111346771</v>
      </c>
      <c r="AE565" s="2">
        <f t="shared" ca="1" si="316"/>
        <v>-5.9264898411881938E-5</v>
      </c>
      <c r="AF565" s="2">
        <f t="shared" ca="1" si="317"/>
        <v>0.16044520038383622</v>
      </c>
      <c r="AG565" s="2">
        <f t="shared" ca="1" si="318"/>
        <v>1.9255505624941449</v>
      </c>
      <c r="AI565" s="2">
        <f t="shared" ca="1" si="319"/>
        <v>-8.2960162415066427E-5</v>
      </c>
      <c r="AJ565" s="11">
        <f t="shared" ca="1" si="320"/>
        <v>-5.9264898411881938E-5</v>
      </c>
      <c r="AK565" s="2">
        <f t="shared" ca="1" si="321"/>
        <v>1.1251379459575415E-2</v>
      </c>
      <c r="AL565" s="2">
        <f t="shared" ca="1" si="322"/>
        <v>1.0636095973709729E-3</v>
      </c>
      <c r="AM565" s="2">
        <f t="shared" ca="1" si="323"/>
        <v>-1.4855707261460412E-4</v>
      </c>
      <c r="AN565" s="2">
        <f t="shared" ca="1" si="324"/>
        <v>0.22148069111346771</v>
      </c>
      <c r="AO565" s="2">
        <f t="shared" ca="1" si="325"/>
        <v>-5.9264898411881938E-5</v>
      </c>
      <c r="AP565" s="2">
        <f t="shared" ca="1" si="326"/>
        <v>0.16044520038383622</v>
      </c>
      <c r="AQ565" s="2">
        <f t="shared" ca="1" si="327"/>
        <v>1.9255505624941449</v>
      </c>
      <c r="AS565" s="2">
        <f t="shared" ca="1" si="328"/>
        <v>8.6939884141306827</v>
      </c>
      <c r="AT565" s="2">
        <f t="shared" ca="1" si="329"/>
        <v>0.40052631617031492</v>
      </c>
      <c r="AU565" s="2">
        <f t="shared" ca="1" si="330"/>
        <v>4.2600363387838765E-4</v>
      </c>
      <c r="AV565" s="2">
        <f t="shared" ca="1" si="331"/>
        <v>0.16001919674995785</v>
      </c>
      <c r="AW565" s="2">
        <f t="shared" ca="1" si="332"/>
        <v>0.70903262461169281</v>
      </c>
      <c r="AX565" s="2">
        <f t="shared" ca="1" si="333"/>
        <v>5.2780136261013778E-2</v>
      </c>
      <c r="AY565" s="9">
        <f t="shared" ca="1" si="334"/>
        <v>0.70903262461169281</v>
      </c>
      <c r="AZ565" s="9">
        <f t="shared" ca="1" si="335"/>
        <v>0.70903262461169281</v>
      </c>
      <c r="BA565" s="9"/>
      <c r="BB565" s="2">
        <f t="shared" ca="1" si="336"/>
        <v>8.6939884141306827</v>
      </c>
      <c r="BC565" s="2">
        <f t="shared" ca="1" si="337"/>
        <v>0.40052631617031492</v>
      </c>
      <c r="BD565" s="2">
        <f t="shared" ca="1" si="338"/>
        <v>4.2600363387838765E-4</v>
      </c>
      <c r="BE565" s="2">
        <f t="shared" ca="1" si="339"/>
        <v>0.16001919674995785</v>
      </c>
      <c r="BF565" s="2">
        <f t="shared" ca="1" si="340"/>
        <v>0.70903262461169281</v>
      </c>
      <c r="BG565" s="2">
        <f t="shared" ca="1" si="341"/>
        <v>5.2780136261013778E-2</v>
      </c>
      <c r="BH565" s="2">
        <f t="shared" ca="1" si="342"/>
        <v>0.70903262461169281</v>
      </c>
      <c r="BI565" s="2">
        <f t="shared" ca="1" si="343"/>
        <v>0.70903262461169281</v>
      </c>
    </row>
    <row r="566" spans="1:61" ht="15" x14ac:dyDescent="0.25">
      <c r="A566" s="66">
        <v>500</v>
      </c>
      <c r="B566" s="66">
        <v>1498730382.9170001</v>
      </c>
      <c r="C566" s="67">
        <v>-4.2283745047112297E-5</v>
      </c>
      <c r="D566" s="67">
        <v>2.8154030279633E-5</v>
      </c>
      <c r="E566" s="67">
        <v>1.22590695833416E-2</v>
      </c>
      <c r="F566" s="67">
        <v>7.9827779232839497E-4</v>
      </c>
      <c r="G566" s="67">
        <v>-5.4307608078406503E-5</v>
      </c>
      <c r="H566" s="67">
        <v>0.22487991471437099</v>
      </c>
      <c r="I566" s="67">
        <v>2.8154030279633E-5</v>
      </c>
      <c r="J566" s="67">
        <v>0.16253919776762801</v>
      </c>
      <c r="K566" s="67">
        <v>1.9514972962828301</v>
      </c>
      <c r="L566" s="67"/>
      <c r="M566" s="67"/>
      <c r="N566" s="10"/>
      <c r="O566" s="11">
        <f t="shared" ca="1" si="301"/>
        <v>-5.5087675757072325E-5</v>
      </c>
      <c r="P566" s="11">
        <f t="shared" ca="1" si="302"/>
        <v>2.7388930049328258E-5</v>
      </c>
      <c r="Q566" s="11">
        <f t="shared" ca="1" si="303"/>
        <v>1.1422577971073315E-2</v>
      </c>
      <c r="R566" s="11">
        <f t="shared" ca="1" si="304"/>
        <v>7.866313046820478E-4</v>
      </c>
      <c r="S566" s="11">
        <f t="shared" ca="1" si="305"/>
        <v>-6.5235260125376623E-5</v>
      </c>
      <c r="T566" s="11">
        <f t="shared" ca="1" si="306"/>
        <v>0.2237413596757887</v>
      </c>
      <c r="U566" s="11">
        <f t="shared" ca="1" si="307"/>
        <v>2.7388930049328258E-5</v>
      </c>
      <c r="V566" s="11">
        <f t="shared" ca="1" si="308"/>
        <v>0.16188900176193424</v>
      </c>
      <c r="W566" s="11">
        <f t="shared" ca="1" si="309"/>
        <v>1.944374448019325</v>
      </c>
      <c r="X566" s="11"/>
      <c r="Y566" s="2">
        <f t="shared" ca="1" si="310"/>
        <v>-5.5087675757072325E-5</v>
      </c>
      <c r="Z566" s="11">
        <f t="shared" ca="1" si="311"/>
        <v>2.7388930049328258E-5</v>
      </c>
      <c r="AA566" s="2">
        <f t="shared" ca="1" si="312"/>
        <v>1.1422368425263089E-2</v>
      </c>
      <c r="AB566" s="2">
        <f t="shared" ca="1" si="313"/>
        <v>7.8155934359361106E-4</v>
      </c>
      <c r="AC566" s="2">
        <f t="shared" ca="1" si="314"/>
        <v>-6.5235260125376623E-5</v>
      </c>
      <c r="AD566" s="2">
        <f t="shared" ca="1" si="315"/>
        <v>0.22370447485078407</v>
      </c>
      <c r="AE566" s="2">
        <f t="shared" ca="1" si="316"/>
        <v>2.7388930049328258E-5</v>
      </c>
      <c r="AF566" s="2">
        <f t="shared" ca="1" si="317"/>
        <v>0.16183453175728729</v>
      </c>
      <c r="AG566" s="2">
        <f t="shared" ca="1" si="318"/>
        <v>1.9443523453585791</v>
      </c>
      <c r="AI566" s="2">
        <f t="shared" ca="1" si="319"/>
        <v>-5.5087675757072325E-5</v>
      </c>
      <c r="AJ566" s="11">
        <f t="shared" ca="1" si="320"/>
        <v>2.7388930049328258E-5</v>
      </c>
      <c r="AK566" s="2">
        <f t="shared" ca="1" si="321"/>
        <v>1.1390054555482606E-2</v>
      </c>
      <c r="AL566" s="2">
        <f t="shared" ca="1" si="322"/>
        <v>7.6643510277478986E-4</v>
      </c>
      <c r="AM566" s="2">
        <f t="shared" ca="1" si="323"/>
        <v>-6.5235260125376623E-5</v>
      </c>
      <c r="AN566" s="2">
        <f t="shared" ca="1" si="324"/>
        <v>0.22370447485078407</v>
      </c>
      <c r="AO566" s="2">
        <f t="shared" ca="1" si="325"/>
        <v>2.7388930049328258E-5</v>
      </c>
      <c r="AP566" s="2">
        <f t="shared" ca="1" si="326"/>
        <v>0.16183453175728729</v>
      </c>
      <c r="AQ566" s="2">
        <f t="shared" ca="1" si="327"/>
        <v>1.9443523453585791</v>
      </c>
      <c r="AS566" s="2">
        <f t="shared" ca="1" si="328"/>
        <v>8.6902772506469574</v>
      </c>
      <c r="AT566" s="2">
        <f t="shared" ca="1" si="329"/>
        <v>0.40035327209358401</v>
      </c>
      <c r="AU566" s="2">
        <f t="shared" ca="1" si="330"/>
        <v>3.1493041676070287E-4</v>
      </c>
      <c r="AV566" s="2">
        <f t="shared" ca="1" si="331"/>
        <v>0.16157407134517354</v>
      </c>
      <c r="AW566" s="2">
        <f t="shared" ca="1" si="332"/>
        <v>0.70884091416139927</v>
      </c>
      <c r="AX566" s="2">
        <f t="shared" ca="1" si="333"/>
        <v>5.3018657606509846E-2</v>
      </c>
      <c r="AY566" s="9">
        <f t="shared" ca="1" si="334"/>
        <v>0.70884091416139927</v>
      </c>
      <c r="AZ566" s="9">
        <f t="shared" ca="1" si="335"/>
        <v>0.70884091416139927</v>
      </c>
      <c r="BA566" s="9"/>
      <c r="BB566" s="2">
        <f t="shared" ca="1" si="336"/>
        <v>8.6916113173663874</v>
      </c>
      <c r="BC566" s="2">
        <f t="shared" ca="1" si="337"/>
        <v>0.40041547683393131</v>
      </c>
      <c r="BD566" s="2">
        <f t="shared" ca="1" si="338"/>
        <v>3.0689247713983065E-4</v>
      </c>
      <c r="BE566" s="2">
        <f t="shared" ca="1" si="339"/>
        <v>0.16152763928014746</v>
      </c>
      <c r="BF566" s="2">
        <f t="shared" ca="1" si="340"/>
        <v>0.7086992677557683</v>
      </c>
      <c r="BG566" s="2">
        <f t="shared" ca="1" si="341"/>
        <v>5.2884720868759859E-2</v>
      </c>
      <c r="BH566" s="2">
        <f t="shared" ca="1" si="342"/>
        <v>0.7086992677557683</v>
      </c>
      <c r="BI566" s="2">
        <f t="shared" ca="1" si="343"/>
        <v>0.7086992677557683</v>
      </c>
    </row>
    <row r="567" spans="1:61" ht="15" x14ac:dyDescent="0.25">
      <c r="A567" s="66">
        <v>501</v>
      </c>
      <c r="B567" s="66">
        <v>1498730383.444</v>
      </c>
      <c r="C567" s="67">
        <v>3.9684799524682003E-5</v>
      </c>
      <c r="D567" s="67">
        <v>1.1781071301807501E-5</v>
      </c>
      <c r="E567" s="67">
        <v>1.1753022211300901E-2</v>
      </c>
      <c r="F567" s="67">
        <v>8.1804240047483E-4</v>
      </c>
      <c r="G567" s="67">
        <v>-4.7234290220367799E-6</v>
      </c>
      <c r="H567" s="67">
        <v>0.215116041082871</v>
      </c>
      <c r="I567" s="67">
        <v>1.1781071301807501E-5</v>
      </c>
      <c r="J567" s="67">
        <v>0.155485486766097</v>
      </c>
      <c r="K567" s="67">
        <v>1.8677213548193601</v>
      </c>
      <c r="L567" s="67"/>
      <c r="M567" s="67"/>
      <c r="N567" s="10"/>
      <c r="O567" s="11">
        <f t="shared" ca="1" si="301"/>
        <v>2.6880868814721975E-5</v>
      </c>
      <c r="P567" s="11">
        <f t="shared" ca="1" si="302"/>
        <v>1.101597107150276E-5</v>
      </c>
      <c r="Q567" s="11">
        <f t="shared" ca="1" si="303"/>
        <v>1.0916530599032616E-2</v>
      </c>
      <c r="R567" s="11">
        <f t="shared" ca="1" si="304"/>
        <v>8.0639591282848284E-4</v>
      </c>
      <c r="S567" s="11">
        <f t="shared" ca="1" si="305"/>
        <v>-1.5651081069006901E-5</v>
      </c>
      <c r="T567" s="11">
        <f t="shared" ca="1" si="306"/>
        <v>0.21397748604428871</v>
      </c>
      <c r="U567" s="11">
        <f t="shared" ca="1" si="307"/>
        <v>1.101597107150276E-5</v>
      </c>
      <c r="V567" s="11">
        <f t="shared" ca="1" si="308"/>
        <v>0.15483529076040323</v>
      </c>
      <c r="W567" s="11">
        <f t="shared" ca="1" si="309"/>
        <v>1.860598506555855</v>
      </c>
      <c r="X567" s="11"/>
      <c r="Y567" s="2">
        <f t="shared" ca="1" si="310"/>
        <v>2.6880868814721975E-5</v>
      </c>
      <c r="Z567" s="11">
        <f t="shared" ca="1" si="311"/>
        <v>1.101597107150276E-5</v>
      </c>
      <c r="AA567" s="2">
        <f t="shared" ca="1" si="312"/>
        <v>1.0916446318610582E-2</v>
      </c>
      <c r="AB567" s="2">
        <f t="shared" ca="1" si="313"/>
        <v>8.0435594352243919E-4</v>
      </c>
      <c r="AC567" s="2">
        <f t="shared" ca="1" si="314"/>
        <v>-1.5651081069006901E-5</v>
      </c>
      <c r="AD567" s="2">
        <f t="shared" ca="1" si="315"/>
        <v>0.21396265077454663</v>
      </c>
      <c r="AE567" s="2">
        <f t="shared" ca="1" si="316"/>
        <v>1.101597107150276E-5</v>
      </c>
      <c r="AF567" s="2">
        <f t="shared" ca="1" si="317"/>
        <v>0.15481338263933481</v>
      </c>
      <c r="AG567" s="2">
        <f t="shared" ca="1" si="318"/>
        <v>1.8605896167499758</v>
      </c>
      <c r="AI567" s="2">
        <f t="shared" ca="1" si="319"/>
        <v>2.6880868814721975E-5</v>
      </c>
      <c r="AJ567" s="11">
        <f t="shared" ca="1" si="320"/>
        <v>1.101597107150276E-5</v>
      </c>
      <c r="AK567" s="2">
        <f t="shared" ca="1" si="321"/>
        <v>1.0903449510992723E-2</v>
      </c>
      <c r="AL567" s="2">
        <f t="shared" ca="1" si="322"/>
        <v>7.9827289467611666E-4</v>
      </c>
      <c r="AM567" s="2">
        <f t="shared" ca="1" si="323"/>
        <v>-1.5651081069006901E-5</v>
      </c>
      <c r="AN567" s="2">
        <f t="shared" ca="1" si="324"/>
        <v>0.21396265077454663</v>
      </c>
      <c r="AO567" s="2">
        <f t="shared" ca="1" si="325"/>
        <v>1.101597107150276E-5</v>
      </c>
      <c r="AP567" s="2">
        <f t="shared" ca="1" si="326"/>
        <v>0.15481338263933481</v>
      </c>
      <c r="AQ567" s="2">
        <f t="shared" ca="1" si="327"/>
        <v>1.8605896167499758</v>
      </c>
      <c r="AS567" s="2">
        <f t="shared" ca="1" si="328"/>
        <v>8.6953003372081472</v>
      </c>
      <c r="AT567" s="2">
        <f t="shared" ca="1" si="329"/>
        <v>0.4005874887147704</v>
      </c>
      <c r="AU567" s="2">
        <f t="shared" ca="1" si="330"/>
        <v>3.2303211362981683E-4</v>
      </c>
      <c r="AV567" s="2">
        <f t="shared" ca="1" si="331"/>
        <v>0.1545122586467734</v>
      </c>
      <c r="AW567" s="2">
        <f t="shared" ca="1" si="332"/>
        <v>0.70858484976630209</v>
      </c>
      <c r="AX567" s="2">
        <f t="shared" ca="1" si="333"/>
        <v>5.3013223757122523E-2</v>
      </c>
      <c r="AY567" s="9">
        <f t="shared" ca="1" si="334"/>
        <v>0.70858484976630209</v>
      </c>
      <c r="AZ567" s="9">
        <f t="shared" ca="1" si="335"/>
        <v>0.70858484976630209</v>
      </c>
      <c r="BA567" s="9"/>
      <c r="BB567" s="2">
        <f t="shared" ca="1" si="336"/>
        <v>8.6958616843389507</v>
      </c>
      <c r="BC567" s="2">
        <f t="shared" ca="1" si="337"/>
        <v>0.40061366332650528</v>
      </c>
      <c r="BD567" s="2">
        <f t="shared" ca="1" si="338"/>
        <v>3.1979902867045263E-4</v>
      </c>
      <c r="BE567" s="2">
        <f t="shared" ca="1" si="339"/>
        <v>0.15449358361066434</v>
      </c>
      <c r="BF567" s="2">
        <f t="shared" ca="1" si="340"/>
        <v>0.70852529710266332</v>
      </c>
      <c r="BG567" s="2">
        <f t="shared" ca="1" si="341"/>
        <v>5.295686827002092E-2</v>
      </c>
      <c r="BH567" s="2">
        <f t="shared" ca="1" si="342"/>
        <v>0.70852529710266332</v>
      </c>
      <c r="BI567" s="2">
        <f t="shared" ca="1" si="343"/>
        <v>0.70852529710266332</v>
      </c>
    </row>
    <row r="568" spans="1:61" ht="15" x14ac:dyDescent="0.25">
      <c r="A568" s="66">
        <v>502</v>
      </c>
      <c r="B568" s="66">
        <v>1498730383.971</v>
      </c>
      <c r="C568" s="67">
        <v>-1.2707980993850699E-4</v>
      </c>
      <c r="D568" s="67">
        <v>-7.8941799997209105E-5</v>
      </c>
      <c r="E568" s="67">
        <v>1.1975921477126001E-2</v>
      </c>
      <c r="F568" s="67">
        <v>6.3660369237180303E-4</v>
      </c>
      <c r="G568" s="67">
        <v>-1.61767746146434E-4</v>
      </c>
      <c r="H568" s="67">
        <v>0.22003488926543499</v>
      </c>
      <c r="I568" s="67">
        <v>-7.8941799997209105E-5</v>
      </c>
      <c r="J568" s="67">
        <v>0.15913073259455601</v>
      </c>
      <c r="K568" s="67">
        <v>1.9092003842981899</v>
      </c>
      <c r="L568" s="67"/>
      <c r="M568" s="67"/>
      <c r="N568" s="16"/>
      <c r="O568" s="11">
        <f t="shared" ca="1" si="301"/>
        <v>-1.3988374064846702E-4</v>
      </c>
      <c r="P568" s="11">
        <f t="shared" ca="1" si="302"/>
        <v>-7.9706900227513843E-5</v>
      </c>
      <c r="Q568" s="11">
        <f t="shared" ca="1" si="303"/>
        <v>1.1139429864857716E-2</v>
      </c>
      <c r="R568" s="11">
        <f t="shared" ca="1" si="304"/>
        <v>6.2495720472545587E-4</v>
      </c>
      <c r="S568" s="11">
        <f t="shared" ca="1" si="305"/>
        <v>-1.7269539819340411E-4</v>
      </c>
      <c r="T568" s="11">
        <f t="shared" ca="1" si="306"/>
        <v>0.2188963342268527</v>
      </c>
      <c r="U568" s="11">
        <f t="shared" ca="1" si="307"/>
        <v>-7.9706900227513843E-5</v>
      </c>
      <c r="V568" s="11">
        <f t="shared" ca="1" si="308"/>
        <v>0.15848053658886224</v>
      </c>
      <c r="W568" s="11">
        <f t="shared" ca="1" si="309"/>
        <v>1.9020775360346849</v>
      </c>
      <c r="X568" s="11"/>
      <c r="Y568" s="2">
        <f t="shared" ca="1" si="310"/>
        <v>-1.3988374064846702E-4</v>
      </c>
      <c r="Z568" s="11">
        <f t="shared" ca="1" si="311"/>
        <v>-7.9706900227513843E-5</v>
      </c>
      <c r="AA568" s="2">
        <f t="shared" ca="1" si="312"/>
        <v>1.1139429864857716E-2</v>
      </c>
      <c r="AB568" s="2">
        <f t="shared" ca="1" si="313"/>
        <v>6.2495720472545587E-4</v>
      </c>
      <c r="AC568" s="2">
        <f t="shared" ca="1" si="314"/>
        <v>-1.7269539819340411E-4</v>
      </c>
      <c r="AD568" s="2">
        <f t="shared" ca="1" si="315"/>
        <v>0.2188963342268527</v>
      </c>
      <c r="AE568" s="2">
        <f t="shared" ca="1" si="316"/>
        <v>-7.9706900227513843E-5</v>
      </c>
      <c r="AF568" s="2">
        <f t="shared" ca="1" si="317"/>
        <v>0.15848053658886224</v>
      </c>
      <c r="AG568" s="2">
        <f t="shared" ca="1" si="318"/>
        <v>1.9020775360346849</v>
      </c>
      <c r="AI568" s="2">
        <f t="shared" ca="1" si="319"/>
        <v>-1.3988374064846702E-4</v>
      </c>
      <c r="AJ568" s="11">
        <f t="shared" ca="1" si="320"/>
        <v>-7.9706900227513843E-5</v>
      </c>
      <c r="AK568" s="2">
        <f t="shared" ca="1" si="321"/>
        <v>1.1139429864857716E-2</v>
      </c>
      <c r="AL568" s="2">
        <f t="shared" ca="1" si="322"/>
        <v>6.2495720472545587E-4</v>
      </c>
      <c r="AM568" s="2">
        <f t="shared" ca="1" si="323"/>
        <v>-1.7269539819340411E-4</v>
      </c>
      <c r="AN568" s="2">
        <f t="shared" ca="1" si="324"/>
        <v>0.2188963342268527</v>
      </c>
      <c r="AO568" s="2">
        <f t="shared" ca="1" si="325"/>
        <v>-7.9706900227513843E-5</v>
      </c>
      <c r="AP568" s="2">
        <f t="shared" ca="1" si="326"/>
        <v>0.15848053658886224</v>
      </c>
      <c r="AQ568" s="2">
        <f t="shared" ca="1" si="327"/>
        <v>1.9020775360346849</v>
      </c>
      <c r="AS568" s="2">
        <f t="shared" ca="1" si="328"/>
        <v>8.6893987638160777</v>
      </c>
      <c r="AT568" s="2">
        <f t="shared" ca="1" si="329"/>
        <v>0.40031231015364094</v>
      </c>
      <c r="AU568" s="2">
        <f t="shared" ca="1" si="330"/>
        <v>2.5017806237080919E-4</v>
      </c>
      <c r="AV568" s="2">
        <f t="shared" ca="1" si="331"/>
        <v>0.15823035852649142</v>
      </c>
      <c r="AW568" s="2">
        <f t="shared" ca="1" si="332"/>
        <v>0.70957256396674595</v>
      </c>
      <c r="AX568" s="2">
        <f t="shared" ca="1" si="333"/>
        <v>5.2843359365245202E-2</v>
      </c>
      <c r="AY568" s="9" t="str">
        <f t="shared" ca="1" si="334"/>
        <v>rejected</v>
      </c>
      <c r="AZ568" s="9" t="e">
        <f t="shared" ca="1" si="335"/>
        <v>#N/A</v>
      </c>
      <c r="BA568" s="9"/>
      <c r="BB568" s="2">
        <f t="shared" ca="1" si="336"/>
        <v>8.6893987638160777</v>
      </c>
      <c r="BC568" s="2">
        <f t="shared" ca="1" si="337"/>
        <v>0.40031231015364094</v>
      </c>
      <c r="BD568" s="2">
        <f t="shared" ca="1" si="338"/>
        <v>2.5017806237080919E-4</v>
      </c>
      <c r="BE568" s="2">
        <f t="shared" ca="1" si="339"/>
        <v>0.15823035852649142</v>
      </c>
      <c r="BF568" s="2">
        <f t="shared" ca="1" si="340"/>
        <v>0.70957256396674595</v>
      </c>
      <c r="BG568" s="2">
        <f t="shared" ca="1" si="341"/>
        <v>5.2843359365245202E-2</v>
      </c>
      <c r="BH568" s="2" t="str">
        <f t="shared" ca="1" si="342"/>
        <v>rejected</v>
      </c>
      <c r="BI568" s="2" t="e">
        <f t="shared" ca="1" si="343"/>
        <v>#N/A</v>
      </c>
    </row>
    <row r="569" spans="1:61" ht="15" x14ac:dyDescent="0.25">
      <c r="A569" s="66">
        <v>503</v>
      </c>
      <c r="B569" s="66">
        <v>1498730384.4979999</v>
      </c>
      <c r="C569" s="67">
        <v>-6.23614626120388E-5</v>
      </c>
      <c r="D569" s="67">
        <v>6.3240188635761504E-6</v>
      </c>
      <c r="E569" s="67">
        <v>1.16086212763614E-2</v>
      </c>
      <c r="F569" s="67">
        <v>7.5541613017000896E-4</v>
      </c>
      <c r="G569" s="67">
        <v>6.4411154572125001E-5</v>
      </c>
      <c r="H569" s="67">
        <v>0.212536569214508</v>
      </c>
      <c r="I569" s="67">
        <v>6.3240188635761504E-6</v>
      </c>
      <c r="J569" s="67">
        <v>0.15381420133670301</v>
      </c>
      <c r="K569" s="67">
        <v>1.8466894707218</v>
      </c>
      <c r="L569" s="67"/>
      <c r="M569" s="67"/>
      <c r="N569" s="16"/>
      <c r="O569" s="11">
        <f t="shared" ca="1" si="301"/>
        <v>-7.5165393321998834E-5</v>
      </c>
      <c r="P569" s="11">
        <f t="shared" ca="1" si="302"/>
        <v>5.5589186332714101E-6</v>
      </c>
      <c r="Q569" s="11">
        <f t="shared" ca="1" si="303"/>
        <v>1.0772129664093116E-2</v>
      </c>
      <c r="R569" s="11">
        <f t="shared" ca="1" si="304"/>
        <v>7.437696425236618E-4</v>
      </c>
      <c r="S569" s="11">
        <f t="shared" ca="1" si="305"/>
        <v>5.348350252515488E-5</v>
      </c>
      <c r="T569" s="11">
        <f t="shared" ca="1" si="306"/>
        <v>0.21139801417592571</v>
      </c>
      <c r="U569" s="11">
        <f t="shared" ca="1" si="307"/>
        <v>5.5589186332714101E-6</v>
      </c>
      <c r="V569" s="11">
        <f t="shared" ca="1" si="308"/>
        <v>0.15316400533100924</v>
      </c>
      <c r="W569" s="11">
        <f t="shared" ca="1" si="309"/>
        <v>1.8395666224582949</v>
      </c>
      <c r="X569" s="11"/>
      <c r="Y569" s="2">
        <f t="shared" ca="1" si="310"/>
        <v>-7.5165393321998834E-5</v>
      </c>
      <c r="Z569" s="11">
        <f t="shared" ca="1" si="311"/>
        <v>5.5589186332714101E-6</v>
      </c>
      <c r="AA569" s="2">
        <f t="shared" ca="1" si="312"/>
        <v>1.0772087134205788E-2</v>
      </c>
      <c r="AB569" s="2">
        <f t="shared" ca="1" si="313"/>
        <v>7.4274022593269018E-4</v>
      </c>
      <c r="AC569" s="2">
        <f t="shared" ca="1" si="314"/>
        <v>5.348350252515488E-5</v>
      </c>
      <c r="AD569" s="2">
        <f t="shared" ca="1" si="315"/>
        <v>0.21139052794916791</v>
      </c>
      <c r="AE569" s="2">
        <f t="shared" ca="1" si="316"/>
        <v>5.5589186332714101E-6</v>
      </c>
      <c r="AF569" s="2">
        <f t="shared" ca="1" si="317"/>
        <v>0.15315294997677523</v>
      </c>
      <c r="AG569" s="2">
        <f t="shared" ca="1" si="318"/>
        <v>1.8395621364527284</v>
      </c>
      <c r="AI569" s="2">
        <f t="shared" ca="1" si="319"/>
        <v>-7.5165393321998834E-5</v>
      </c>
      <c r="AJ569" s="11">
        <f t="shared" ca="1" si="320"/>
        <v>5.5589186332714101E-6</v>
      </c>
      <c r="AK569" s="2">
        <f t="shared" ca="1" si="321"/>
        <v>1.0765528638765757E-2</v>
      </c>
      <c r="AL569" s="2">
        <f t="shared" ca="1" si="322"/>
        <v>7.3967057611612529E-4</v>
      </c>
      <c r="AM569" s="2">
        <f t="shared" ca="1" si="323"/>
        <v>5.348350252515488E-5</v>
      </c>
      <c r="AN569" s="2">
        <f t="shared" ca="1" si="324"/>
        <v>0.21139052794916791</v>
      </c>
      <c r="AO569" s="2">
        <f t="shared" ca="1" si="325"/>
        <v>5.5589186332714101E-6</v>
      </c>
      <c r="AP569" s="2">
        <f t="shared" ca="1" si="326"/>
        <v>0.15315294997677523</v>
      </c>
      <c r="AQ569" s="2">
        <f t="shared" ca="1" si="327"/>
        <v>1.8395621364527284</v>
      </c>
      <c r="AS569" s="2">
        <f t="shared" ca="1" si="328"/>
        <v>8.7019106098480421</v>
      </c>
      <c r="AT569" s="2">
        <f t="shared" ca="1" si="329"/>
        <v>0.4008957151936231</v>
      </c>
      <c r="AU569" s="2">
        <f t="shared" ca="1" si="330"/>
        <v>2.981740627788288E-4</v>
      </c>
      <c r="AV569" s="2">
        <f t="shared" ca="1" si="331"/>
        <v>0.15286583126823042</v>
      </c>
      <c r="AW569" s="2">
        <f t="shared" ca="1" si="332"/>
        <v>0.70931692073311703</v>
      </c>
      <c r="AX569" s="2">
        <f t="shared" ca="1" si="333"/>
        <v>5.2991477907333571E-2</v>
      </c>
      <c r="AY569" s="9">
        <f t="shared" ca="1" si="334"/>
        <v>0.70931692073311703</v>
      </c>
      <c r="AZ569" s="9">
        <f t="shared" ca="1" si="335"/>
        <v>0.70931692073311703</v>
      </c>
      <c r="BA569" s="9"/>
      <c r="BB569" s="2">
        <f t="shared" ca="1" si="336"/>
        <v>8.7021975596516761</v>
      </c>
      <c r="BC569" s="2">
        <f t="shared" ca="1" si="337"/>
        <v>0.4009090952700034</v>
      </c>
      <c r="BD569" s="2">
        <f t="shared" ca="1" si="338"/>
        <v>2.9654066146855796E-4</v>
      </c>
      <c r="BE569" s="2">
        <f t="shared" ca="1" si="339"/>
        <v>0.15285640931530667</v>
      </c>
      <c r="BF569" s="2">
        <f t="shared" ca="1" si="340"/>
        <v>0.70928654153145121</v>
      </c>
      <c r="BG569" s="2">
        <f t="shared" ca="1" si="341"/>
        <v>5.2962667915053267E-2</v>
      </c>
      <c r="BH569" s="2">
        <f t="shared" ca="1" si="342"/>
        <v>0.70928654153145121</v>
      </c>
      <c r="BI569" s="2">
        <f t="shared" ca="1" si="343"/>
        <v>0.70928654153145121</v>
      </c>
    </row>
    <row r="570" spans="1:61" ht="15" x14ac:dyDescent="0.25">
      <c r="A570" s="66">
        <v>504</v>
      </c>
      <c r="B570" s="66">
        <v>1498730385.0250001</v>
      </c>
      <c r="C570" s="67">
        <v>1.3463577440161901E-5</v>
      </c>
      <c r="D570" s="67">
        <v>-1.97286769439236E-5</v>
      </c>
      <c r="E570" s="67">
        <v>1.17205302024434E-2</v>
      </c>
      <c r="F570" s="67">
        <v>9.4806993142873195E-4</v>
      </c>
      <c r="G570" s="67">
        <v>1.6016580530734999E-5</v>
      </c>
      <c r="H570" s="67">
        <v>0.21565691754689501</v>
      </c>
      <c r="I570" s="67">
        <v>-1.97286769439236E-5</v>
      </c>
      <c r="J570" s="67">
        <v>0.15582431107846101</v>
      </c>
      <c r="K570" s="67">
        <v>1.8700198718837</v>
      </c>
      <c r="L570" s="67"/>
      <c r="M570" s="67"/>
      <c r="N570" s="16"/>
      <c r="O570" s="11">
        <f t="shared" ca="1" si="301"/>
        <v>6.5964673020187284E-7</v>
      </c>
      <c r="P570" s="11">
        <f t="shared" ca="1" si="302"/>
        <v>-2.0493777174228342E-5</v>
      </c>
      <c r="Q570" s="11">
        <f t="shared" ca="1" si="303"/>
        <v>1.0884038590175116E-2</v>
      </c>
      <c r="R570" s="11">
        <f t="shared" ca="1" si="304"/>
        <v>9.3642344378238478E-4</v>
      </c>
      <c r="S570" s="11">
        <f t="shared" ca="1" si="305"/>
        <v>5.0889284837648764E-6</v>
      </c>
      <c r="T570" s="11">
        <f t="shared" ca="1" si="306"/>
        <v>0.21451836250831272</v>
      </c>
      <c r="U570" s="11">
        <f t="shared" ca="1" si="307"/>
        <v>-2.0493777174228342E-5</v>
      </c>
      <c r="V570" s="11">
        <f t="shared" ca="1" si="308"/>
        <v>0.15517411507276724</v>
      </c>
      <c r="W570" s="11">
        <f t="shared" ca="1" si="309"/>
        <v>1.8628970236201949</v>
      </c>
      <c r="X570" s="11"/>
      <c r="Y570" s="2">
        <f t="shared" ca="1" si="310"/>
        <v>6.5964673020187284E-7</v>
      </c>
      <c r="Z570" s="11">
        <f t="shared" ca="1" si="311"/>
        <v>-2.0493777174228342E-5</v>
      </c>
      <c r="AA570" s="2">
        <f t="shared" ca="1" si="312"/>
        <v>1.0884038590175116E-2</v>
      </c>
      <c r="AB570" s="2">
        <f t="shared" ca="1" si="313"/>
        <v>9.3642344378238478E-4</v>
      </c>
      <c r="AC570" s="2">
        <f t="shared" ca="1" si="314"/>
        <v>5.0889284837648764E-6</v>
      </c>
      <c r="AD570" s="2">
        <f t="shared" ca="1" si="315"/>
        <v>0.21451836250831272</v>
      </c>
      <c r="AE570" s="2">
        <f t="shared" ca="1" si="316"/>
        <v>-2.0493777174228342E-5</v>
      </c>
      <c r="AF570" s="2">
        <f t="shared" ca="1" si="317"/>
        <v>0.15517411507276724</v>
      </c>
      <c r="AG570" s="2">
        <f t="shared" ca="1" si="318"/>
        <v>1.8628970236201949</v>
      </c>
      <c r="AI570" s="2">
        <f t="shared" ca="1" si="319"/>
        <v>6.5964673020187284E-7</v>
      </c>
      <c r="AJ570" s="11">
        <f t="shared" ca="1" si="320"/>
        <v>-2.0493777174228342E-5</v>
      </c>
      <c r="AK570" s="2">
        <f t="shared" ca="1" si="321"/>
        <v>1.0884038590175116E-2</v>
      </c>
      <c r="AL570" s="2">
        <f t="shared" ca="1" si="322"/>
        <v>9.3642344378238478E-4</v>
      </c>
      <c r="AM570" s="2">
        <f t="shared" ca="1" si="323"/>
        <v>5.0889284837648764E-6</v>
      </c>
      <c r="AN570" s="2">
        <f t="shared" ca="1" si="324"/>
        <v>0.21451836250831272</v>
      </c>
      <c r="AO570" s="2">
        <f t="shared" ca="1" si="325"/>
        <v>-2.0493777174228342E-5</v>
      </c>
      <c r="AP570" s="2">
        <f t="shared" ca="1" si="326"/>
        <v>0.15517411507276724</v>
      </c>
      <c r="AQ570" s="2">
        <f t="shared" ca="1" si="327"/>
        <v>1.8628970236201949</v>
      </c>
      <c r="AS570" s="2">
        <f t="shared" ca="1" si="328"/>
        <v>8.6840911977780291</v>
      </c>
      <c r="AT570" s="2">
        <f t="shared" ca="1" si="329"/>
        <v>0.40006483090309175</v>
      </c>
      <c r="AU570" s="2">
        <f t="shared" ca="1" si="330"/>
        <v>3.746300866904906E-4</v>
      </c>
      <c r="AV570" s="2">
        <f t="shared" ca="1" si="331"/>
        <v>0.15479948498607674</v>
      </c>
      <c r="AW570" s="2">
        <f t="shared" ca="1" si="332"/>
        <v>0.70857228156840923</v>
      </c>
      <c r="AX570" s="2">
        <f t="shared" ca="1" si="333"/>
        <v>5.2652624297980795E-2</v>
      </c>
      <c r="AY570" s="9">
        <f t="shared" ca="1" si="334"/>
        <v>0.70857228156840923</v>
      </c>
      <c r="AZ570" s="9">
        <f t="shared" ca="1" si="335"/>
        <v>0.70857228156840923</v>
      </c>
      <c r="BA570" s="9"/>
      <c r="BB570" s="2">
        <f t="shared" ca="1" si="336"/>
        <v>8.6840911977780291</v>
      </c>
      <c r="BC570" s="2">
        <f t="shared" ca="1" si="337"/>
        <v>0.40006483090309175</v>
      </c>
      <c r="BD570" s="2">
        <f t="shared" ca="1" si="338"/>
        <v>3.746300866904906E-4</v>
      </c>
      <c r="BE570" s="2">
        <f t="shared" ca="1" si="339"/>
        <v>0.15479948498607674</v>
      </c>
      <c r="BF570" s="2">
        <f t="shared" ca="1" si="340"/>
        <v>0.70857228156840923</v>
      </c>
      <c r="BG570" s="2">
        <f t="shared" ca="1" si="341"/>
        <v>5.2652624297980795E-2</v>
      </c>
      <c r="BH570" s="2">
        <f t="shared" ca="1" si="342"/>
        <v>0.70857228156840923</v>
      </c>
      <c r="BI570" s="2">
        <f t="shared" ca="1" si="343"/>
        <v>0.70857228156840923</v>
      </c>
    </row>
    <row r="571" spans="1:61" ht="15" x14ac:dyDescent="0.25">
      <c r="A571" s="66">
        <v>505</v>
      </c>
      <c r="B571" s="66">
        <v>1498730385.552</v>
      </c>
      <c r="C571" s="67">
        <v>-1.3938040294217699E-5</v>
      </c>
      <c r="D571" s="67">
        <v>-1.36117503217378E-5</v>
      </c>
      <c r="E571" s="67">
        <v>1.14885435419553E-2</v>
      </c>
      <c r="F571" s="67">
        <v>8.11612906721663E-4</v>
      </c>
      <c r="G571" s="67">
        <v>-1.1449819502925999E-4</v>
      </c>
      <c r="H571" s="67">
        <v>0.21126528866417399</v>
      </c>
      <c r="I571" s="67">
        <v>-1.36117503217378E-5</v>
      </c>
      <c r="J571" s="67">
        <v>0.15276569460671199</v>
      </c>
      <c r="K571" s="67">
        <v>1.8339628361905</v>
      </c>
      <c r="L571" s="67"/>
      <c r="M571" s="67"/>
      <c r="N571" s="16"/>
      <c r="O571" s="11">
        <f t="shared" ca="1" si="301"/>
        <v>-2.6741971004177726E-5</v>
      </c>
      <c r="P571" s="11">
        <f t="shared" ca="1" si="302"/>
        <v>-1.437685055204254E-5</v>
      </c>
      <c r="Q571" s="11">
        <f t="shared" ca="1" si="303"/>
        <v>1.0652051929687016E-2</v>
      </c>
      <c r="R571" s="11">
        <f t="shared" ca="1" si="304"/>
        <v>7.9996641907531584E-4</v>
      </c>
      <c r="S571" s="11">
        <f t="shared" ca="1" si="305"/>
        <v>-1.2542584707623012E-4</v>
      </c>
      <c r="T571" s="11">
        <f t="shared" ca="1" si="306"/>
        <v>0.2101267336255917</v>
      </c>
      <c r="U571" s="11">
        <f t="shared" ca="1" si="307"/>
        <v>-1.437685055204254E-5</v>
      </c>
      <c r="V571" s="11">
        <f t="shared" ca="1" si="308"/>
        <v>0.15211549860101822</v>
      </c>
      <c r="W571" s="11">
        <f t="shared" ca="1" si="309"/>
        <v>1.826839987926995</v>
      </c>
      <c r="X571" s="11"/>
      <c r="Y571" s="2">
        <f t="shared" ca="1" si="310"/>
        <v>-2.6741971004177726E-5</v>
      </c>
      <c r="Z571" s="11">
        <f t="shared" ca="1" si="311"/>
        <v>-1.437685055204254E-5</v>
      </c>
      <c r="AA571" s="2">
        <f t="shared" ca="1" si="312"/>
        <v>1.0652051929687016E-2</v>
      </c>
      <c r="AB571" s="2">
        <f t="shared" ca="1" si="313"/>
        <v>7.9996641907531584E-4</v>
      </c>
      <c r="AC571" s="2">
        <f t="shared" ca="1" si="314"/>
        <v>-1.2542584707623012E-4</v>
      </c>
      <c r="AD571" s="2">
        <f t="shared" ca="1" si="315"/>
        <v>0.2101267336255917</v>
      </c>
      <c r="AE571" s="2">
        <f t="shared" ca="1" si="316"/>
        <v>-1.437685055204254E-5</v>
      </c>
      <c r="AF571" s="2">
        <f t="shared" ca="1" si="317"/>
        <v>0.15211549860101822</v>
      </c>
      <c r="AG571" s="2">
        <f t="shared" ca="1" si="318"/>
        <v>1.826839987926995</v>
      </c>
      <c r="AI571" s="2">
        <f t="shared" ca="1" si="319"/>
        <v>-2.6741971004177726E-5</v>
      </c>
      <c r="AJ571" s="11">
        <f t="shared" ca="1" si="320"/>
        <v>-1.437685055204254E-5</v>
      </c>
      <c r="AK571" s="2">
        <f t="shared" ca="1" si="321"/>
        <v>1.0652051929687016E-2</v>
      </c>
      <c r="AL571" s="2">
        <f t="shared" ca="1" si="322"/>
        <v>7.9996641907531584E-4</v>
      </c>
      <c r="AM571" s="2">
        <f t="shared" ca="1" si="323"/>
        <v>-1.2542584707623012E-4</v>
      </c>
      <c r="AN571" s="2">
        <f t="shared" ca="1" si="324"/>
        <v>0.2101267336255917</v>
      </c>
      <c r="AO571" s="2">
        <f t="shared" ca="1" si="325"/>
        <v>-1.437685055204254E-5</v>
      </c>
      <c r="AP571" s="2">
        <f t="shared" ca="1" si="326"/>
        <v>0.15211549860101822</v>
      </c>
      <c r="AQ571" s="2">
        <f t="shared" ca="1" si="327"/>
        <v>1.826839987926995</v>
      </c>
      <c r="AS571" s="2">
        <f t="shared" ca="1" si="328"/>
        <v>8.6939912709160438</v>
      </c>
      <c r="AT571" s="2">
        <f t="shared" ca="1" si="329"/>
        <v>0.40052644937680609</v>
      </c>
      <c r="AU571" s="2">
        <f t="shared" ca="1" si="330"/>
        <v>3.2040770945291431E-4</v>
      </c>
      <c r="AV571" s="2">
        <f t="shared" ca="1" si="331"/>
        <v>0.15179509089156532</v>
      </c>
      <c r="AW571" s="2">
        <f t="shared" ca="1" si="332"/>
        <v>0.70893488564170792</v>
      </c>
      <c r="AX571" s="2">
        <f t="shared" ca="1" si="333"/>
        <v>5.2668714289192349E-2</v>
      </c>
      <c r="AY571" s="9">
        <f t="shared" ca="1" si="334"/>
        <v>0.70893488564170792</v>
      </c>
      <c r="AZ571" s="9">
        <f t="shared" ca="1" si="335"/>
        <v>0.70893488564170792</v>
      </c>
      <c r="BA571" s="9"/>
      <c r="BB571" s="2">
        <f t="shared" ca="1" si="336"/>
        <v>8.6939912709160438</v>
      </c>
      <c r="BC571" s="2">
        <f t="shared" ca="1" si="337"/>
        <v>0.40052644937680609</v>
      </c>
      <c r="BD571" s="2">
        <f t="shared" ca="1" si="338"/>
        <v>3.2040770945291431E-4</v>
      </c>
      <c r="BE571" s="2">
        <f t="shared" ca="1" si="339"/>
        <v>0.15179509089156532</v>
      </c>
      <c r="BF571" s="2">
        <f t="shared" ca="1" si="340"/>
        <v>0.70893488564170792</v>
      </c>
      <c r="BG571" s="2">
        <f t="shared" ca="1" si="341"/>
        <v>5.2668714289192349E-2</v>
      </c>
      <c r="BH571" s="2">
        <f t="shared" ca="1" si="342"/>
        <v>0.70893488564170792</v>
      </c>
      <c r="BI571" s="2">
        <f t="shared" ca="1" si="343"/>
        <v>0.70893488564170792</v>
      </c>
    </row>
    <row r="572" spans="1:61" ht="15" x14ac:dyDescent="0.25">
      <c r="A572" s="66">
        <v>506</v>
      </c>
      <c r="B572" s="66">
        <v>1498730386.0780001</v>
      </c>
      <c r="C572" s="67">
        <v>-4.0866479042870501E-5</v>
      </c>
      <c r="D572" s="67">
        <v>-7.8068498117805004E-5</v>
      </c>
      <c r="E572" s="67">
        <v>1.1441863864661899E-2</v>
      </c>
      <c r="F572" s="67">
        <v>6.1874733303447598E-4</v>
      </c>
      <c r="G572" s="67">
        <v>-6.8093568155125106E-5</v>
      </c>
      <c r="H572" s="67">
        <v>0.208641446307852</v>
      </c>
      <c r="I572" s="67">
        <v>-7.8068498117805004E-5</v>
      </c>
      <c r="J572" s="67">
        <v>0.150667817804985</v>
      </c>
      <c r="K572" s="67">
        <v>1.8098983065498999</v>
      </c>
      <c r="L572" s="67"/>
      <c r="M572" s="67"/>
      <c r="N572" s="16"/>
      <c r="O572" s="11">
        <f t="shared" ca="1" si="301"/>
        <v>-5.3670409752830529E-5</v>
      </c>
      <c r="P572" s="11">
        <f t="shared" ca="1" si="302"/>
        <v>-7.8833598348109743E-5</v>
      </c>
      <c r="Q572" s="11">
        <f t="shared" ca="1" si="303"/>
        <v>1.0605372252393615E-2</v>
      </c>
      <c r="R572" s="11">
        <f t="shared" ca="1" si="304"/>
        <v>6.0710084538812882E-4</v>
      </c>
      <c r="S572" s="11">
        <f t="shared" ca="1" si="305"/>
        <v>-7.9021220202095234E-5</v>
      </c>
      <c r="T572" s="11">
        <f t="shared" ca="1" si="306"/>
        <v>0.20750289126926971</v>
      </c>
      <c r="U572" s="11">
        <f t="shared" ca="1" si="307"/>
        <v>-7.8833598348109743E-5</v>
      </c>
      <c r="V572" s="11">
        <f t="shared" ca="1" si="308"/>
        <v>0.15001762179929123</v>
      </c>
      <c r="W572" s="11">
        <f t="shared" ca="1" si="309"/>
        <v>1.8027754582863948</v>
      </c>
      <c r="X572" s="11"/>
      <c r="Y572" s="2">
        <f t="shared" ca="1" si="310"/>
        <v>-5.3670409752830529E-5</v>
      </c>
      <c r="Z572" s="11">
        <f t="shared" ca="1" si="311"/>
        <v>-7.8833598348109743E-5</v>
      </c>
      <c r="AA572" s="2">
        <f t="shared" ca="1" si="312"/>
        <v>1.0605372252393615E-2</v>
      </c>
      <c r="AB572" s="2">
        <f t="shared" ca="1" si="313"/>
        <v>6.0710084538812882E-4</v>
      </c>
      <c r="AC572" s="2">
        <f t="shared" ca="1" si="314"/>
        <v>-7.9021220202095234E-5</v>
      </c>
      <c r="AD572" s="2">
        <f t="shared" ca="1" si="315"/>
        <v>0.20750289126926971</v>
      </c>
      <c r="AE572" s="2">
        <f t="shared" ca="1" si="316"/>
        <v>-7.8833598348109743E-5</v>
      </c>
      <c r="AF572" s="2">
        <f t="shared" ca="1" si="317"/>
        <v>0.15001762179929123</v>
      </c>
      <c r="AG572" s="2">
        <f t="shared" ca="1" si="318"/>
        <v>1.8027754582863948</v>
      </c>
      <c r="AI572" s="2">
        <f t="shared" ca="1" si="319"/>
        <v>-5.3670409752830529E-5</v>
      </c>
      <c r="AJ572" s="11">
        <f t="shared" ca="1" si="320"/>
        <v>-7.8833598348109743E-5</v>
      </c>
      <c r="AK572" s="2">
        <f t="shared" ca="1" si="321"/>
        <v>1.0605372252393615E-2</v>
      </c>
      <c r="AL572" s="2">
        <f t="shared" ca="1" si="322"/>
        <v>6.0710084538812882E-4</v>
      </c>
      <c r="AM572" s="2">
        <f t="shared" ca="1" si="323"/>
        <v>-7.9021220202095234E-5</v>
      </c>
      <c r="AN572" s="2">
        <f t="shared" ca="1" si="324"/>
        <v>0.20750289126926971</v>
      </c>
      <c r="AO572" s="2">
        <f t="shared" ca="1" si="325"/>
        <v>-7.8833598348109743E-5</v>
      </c>
      <c r="AP572" s="2">
        <f t="shared" ca="1" si="326"/>
        <v>0.15001762179929123</v>
      </c>
      <c r="AQ572" s="2">
        <f t="shared" ca="1" si="327"/>
        <v>1.8027754582863948</v>
      </c>
      <c r="AS572" s="2">
        <f t="shared" ca="1" si="328"/>
        <v>8.6879534413185215</v>
      </c>
      <c r="AT572" s="2">
        <f t="shared" ca="1" si="329"/>
        <v>0.40024491800245049</v>
      </c>
      <c r="AU572" s="2">
        <f t="shared" ca="1" si="330"/>
        <v>2.4298902808158999E-4</v>
      </c>
      <c r="AV572" s="2">
        <f t="shared" ca="1" si="331"/>
        <v>0.14977463277120964</v>
      </c>
      <c r="AW572" s="2">
        <f t="shared" ca="1" si="332"/>
        <v>0.70859157365766845</v>
      </c>
      <c r="AX572" s="2">
        <f t="shared" ca="1" si="333"/>
        <v>5.3063242675458193E-2</v>
      </c>
      <c r="AY572" s="9">
        <f t="shared" ca="1" si="334"/>
        <v>0.70859157365766845</v>
      </c>
      <c r="AZ572" s="9">
        <f t="shared" ca="1" si="335"/>
        <v>0.70859157365766845</v>
      </c>
      <c r="BA572" s="9"/>
      <c r="BB572" s="2">
        <f t="shared" ca="1" si="336"/>
        <v>8.6879534413185215</v>
      </c>
      <c r="BC572" s="2">
        <f t="shared" ca="1" si="337"/>
        <v>0.40024491800245049</v>
      </c>
      <c r="BD572" s="2">
        <f t="shared" ca="1" si="338"/>
        <v>2.4298902808158999E-4</v>
      </c>
      <c r="BE572" s="2">
        <f t="shared" ca="1" si="339"/>
        <v>0.14977463277120964</v>
      </c>
      <c r="BF572" s="2">
        <f t="shared" ca="1" si="340"/>
        <v>0.70859157365766845</v>
      </c>
      <c r="BG572" s="2">
        <f t="shared" ca="1" si="341"/>
        <v>5.3063242675458193E-2</v>
      </c>
      <c r="BH572" s="2">
        <f t="shared" ca="1" si="342"/>
        <v>0.70859157365766845</v>
      </c>
      <c r="BI572" s="2">
        <f t="shared" ca="1" si="343"/>
        <v>0.70859157365766845</v>
      </c>
    </row>
    <row r="573" spans="1:61" ht="15" x14ac:dyDescent="0.25">
      <c r="A573" s="66">
        <v>507</v>
      </c>
      <c r="B573" s="66">
        <v>1498730386.6059999</v>
      </c>
      <c r="C573" s="67">
        <v>2.78733524546623E-5</v>
      </c>
      <c r="D573" s="67">
        <v>-1.3021293421581301E-5</v>
      </c>
      <c r="E573" s="67">
        <v>1.1704404926554101E-2</v>
      </c>
      <c r="F573" s="67">
        <v>7.8708595870389804E-4</v>
      </c>
      <c r="G573" s="67">
        <v>-3.2260191701197003E-5</v>
      </c>
      <c r="H573" s="67">
        <v>0.21259503108012301</v>
      </c>
      <c r="I573" s="67">
        <v>-1.3021293421581301E-5</v>
      </c>
      <c r="J573" s="67">
        <v>0.1536294875956</v>
      </c>
      <c r="K573" s="67">
        <v>1.8445663439283499</v>
      </c>
      <c r="L573" s="67"/>
      <c r="M573" s="67"/>
      <c r="N573" s="10"/>
      <c r="O573" s="11">
        <f t="shared" ca="1" si="301"/>
        <v>1.5069421744702273E-5</v>
      </c>
      <c r="P573" s="11">
        <f t="shared" ca="1" si="302"/>
        <v>-1.3786393651886041E-5</v>
      </c>
      <c r="Q573" s="11">
        <f t="shared" ca="1" si="303"/>
        <v>1.0867913314285816E-2</v>
      </c>
      <c r="R573" s="11">
        <f t="shared" ca="1" si="304"/>
        <v>7.7543947105755088E-4</v>
      </c>
      <c r="S573" s="11">
        <f t="shared" ca="1" si="305"/>
        <v>-4.3187843748167124E-5</v>
      </c>
      <c r="T573" s="11">
        <f t="shared" ca="1" si="306"/>
        <v>0.21145647604154072</v>
      </c>
      <c r="U573" s="11">
        <f t="shared" ca="1" si="307"/>
        <v>-1.3786393651886041E-5</v>
      </c>
      <c r="V573" s="11">
        <f t="shared" ca="1" si="308"/>
        <v>0.15297929158990622</v>
      </c>
      <c r="W573" s="11">
        <f t="shared" ca="1" si="309"/>
        <v>1.8374434956648449</v>
      </c>
      <c r="X573" s="11"/>
      <c r="Y573" s="2">
        <f t="shared" ca="1" si="310"/>
        <v>1.5069421744702273E-5</v>
      </c>
      <c r="Z573" s="11">
        <f t="shared" ca="1" si="311"/>
        <v>-1.3786393651886041E-5</v>
      </c>
      <c r="AA573" s="2">
        <f t="shared" ca="1" si="312"/>
        <v>1.0867913314285816E-2</v>
      </c>
      <c r="AB573" s="2">
        <f t="shared" ca="1" si="313"/>
        <v>7.7543947105755088E-4</v>
      </c>
      <c r="AC573" s="2">
        <f t="shared" ca="1" si="314"/>
        <v>-4.3187843748167124E-5</v>
      </c>
      <c r="AD573" s="2">
        <f t="shared" ca="1" si="315"/>
        <v>0.21145647604154072</v>
      </c>
      <c r="AE573" s="2">
        <f t="shared" ca="1" si="316"/>
        <v>-1.3786393651886041E-5</v>
      </c>
      <c r="AF573" s="2">
        <f t="shared" ca="1" si="317"/>
        <v>0.15297929158990622</v>
      </c>
      <c r="AG573" s="2">
        <f t="shared" ca="1" si="318"/>
        <v>1.8374434956648449</v>
      </c>
      <c r="AI573" s="2">
        <f t="shared" ca="1" si="319"/>
        <v>1.5069421744702273E-5</v>
      </c>
      <c r="AJ573" s="11">
        <f t="shared" ca="1" si="320"/>
        <v>-1.3786393651886041E-5</v>
      </c>
      <c r="AK573" s="2">
        <f t="shared" ca="1" si="321"/>
        <v>1.0867913314285816E-2</v>
      </c>
      <c r="AL573" s="2">
        <f t="shared" ca="1" si="322"/>
        <v>7.7543947105755088E-4</v>
      </c>
      <c r="AM573" s="2">
        <f t="shared" ca="1" si="323"/>
        <v>-4.3187843748167124E-5</v>
      </c>
      <c r="AN573" s="2">
        <f t="shared" ca="1" si="324"/>
        <v>0.21145647604154072</v>
      </c>
      <c r="AO573" s="2">
        <f t="shared" ca="1" si="325"/>
        <v>-1.3786393651886041E-5</v>
      </c>
      <c r="AP573" s="2">
        <f t="shared" ca="1" si="326"/>
        <v>0.15297929158990622</v>
      </c>
      <c r="AQ573" s="2">
        <f t="shared" ca="1" si="327"/>
        <v>1.8374434956648449</v>
      </c>
      <c r="AS573" s="2">
        <f t="shared" ca="1" si="328"/>
        <v>8.6894642815473677</v>
      </c>
      <c r="AT573" s="2">
        <f t="shared" ca="1" si="329"/>
        <v>0.4003153651019421</v>
      </c>
      <c r="AU573" s="2">
        <f t="shared" ca="1" si="330"/>
        <v>3.1042033497086035E-4</v>
      </c>
      <c r="AV573" s="2">
        <f t="shared" ca="1" si="331"/>
        <v>0.15266887125493536</v>
      </c>
      <c r="AW573" s="2">
        <f t="shared" ca="1" si="332"/>
        <v>0.70871781011027823</v>
      </c>
      <c r="AX573" s="2">
        <f t="shared" ca="1" si="333"/>
        <v>5.3369664180530831E-2</v>
      </c>
      <c r="AY573" s="9">
        <f t="shared" ca="1" si="334"/>
        <v>0.70871781011027823</v>
      </c>
      <c r="AZ573" s="9">
        <f t="shared" ca="1" si="335"/>
        <v>0.70871781011027823</v>
      </c>
      <c r="BA573" s="9"/>
      <c r="BB573" s="2">
        <f t="shared" ca="1" si="336"/>
        <v>8.6894642815473677</v>
      </c>
      <c r="BC573" s="2">
        <f t="shared" ca="1" si="337"/>
        <v>0.4003153651019421</v>
      </c>
      <c r="BD573" s="2">
        <f t="shared" ca="1" si="338"/>
        <v>3.1042033497086035E-4</v>
      </c>
      <c r="BE573" s="2">
        <f t="shared" ca="1" si="339"/>
        <v>0.15266887125493536</v>
      </c>
      <c r="BF573" s="2">
        <f t="shared" ca="1" si="340"/>
        <v>0.70871781011027823</v>
      </c>
      <c r="BG573" s="2">
        <f t="shared" ca="1" si="341"/>
        <v>5.3369664180530831E-2</v>
      </c>
      <c r="BH573" s="2">
        <f t="shared" ca="1" si="342"/>
        <v>0.70871781011027823</v>
      </c>
      <c r="BI573" s="2">
        <f t="shared" ca="1" si="343"/>
        <v>0.70871781011027823</v>
      </c>
    </row>
    <row r="574" spans="1:61" ht="15" x14ac:dyDescent="0.25">
      <c r="A574" s="66">
        <v>508</v>
      </c>
      <c r="B574" s="66">
        <v>1498730387.132</v>
      </c>
      <c r="C574" s="67">
        <v>5.9044348909844097E-6</v>
      </c>
      <c r="D574" s="67">
        <v>-1.5893549379249601E-6</v>
      </c>
      <c r="E574" s="67">
        <v>1.16974254092902E-2</v>
      </c>
      <c r="F574" s="67">
        <v>7.5565424543563202E-4</v>
      </c>
      <c r="G574" s="67">
        <v>3.7679350241386501E-5</v>
      </c>
      <c r="H574" s="67">
        <v>0.21375964513180901</v>
      </c>
      <c r="I574" s="67">
        <v>-1.5893549379249601E-6</v>
      </c>
      <c r="J574" s="67">
        <v>0.154436884741361</v>
      </c>
      <c r="K574" s="67">
        <v>1.8559921331200999</v>
      </c>
      <c r="L574" s="67"/>
      <c r="M574" s="67"/>
      <c r="N574" s="16"/>
      <c r="O574" s="11">
        <f t="shared" ca="1" si="301"/>
        <v>-6.8994958189756181E-6</v>
      </c>
      <c r="P574" s="11">
        <f t="shared" ca="1" si="302"/>
        <v>-2.3544551682297006E-6</v>
      </c>
      <c r="Q574" s="11">
        <f t="shared" ca="1" si="303"/>
        <v>1.0860933797021915E-2</v>
      </c>
      <c r="R574" s="11">
        <f t="shared" ca="1" si="304"/>
        <v>7.4400775778928486E-4</v>
      </c>
      <c r="S574" s="11">
        <f t="shared" ca="1" si="305"/>
        <v>2.675169819441638E-5</v>
      </c>
      <c r="T574" s="11">
        <f t="shared" ca="1" si="306"/>
        <v>0.21262109009322672</v>
      </c>
      <c r="U574" s="11">
        <f t="shared" ca="1" si="307"/>
        <v>-2.3544551682297006E-6</v>
      </c>
      <c r="V574" s="11">
        <f t="shared" ca="1" si="308"/>
        <v>0.15378668873566723</v>
      </c>
      <c r="W574" s="11">
        <f t="shared" ca="1" si="309"/>
        <v>1.8488692848565949</v>
      </c>
      <c r="X574" s="11"/>
      <c r="Y574" s="2">
        <f t="shared" ca="1" si="310"/>
        <v>-6.8994958189756181E-6</v>
      </c>
      <c r="Z574" s="11">
        <f t="shared" ca="1" si="311"/>
        <v>-2.3544551682297006E-6</v>
      </c>
      <c r="AA574" s="2">
        <f t="shared" ca="1" si="312"/>
        <v>1.0860933797021915E-2</v>
      </c>
      <c r="AB574" s="2">
        <f t="shared" ca="1" si="313"/>
        <v>7.4400775778928486E-4</v>
      </c>
      <c r="AC574" s="2">
        <f t="shared" ca="1" si="314"/>
        <v>2.675169819441638E-5</v>
      </c>
      <c r="AD574" s="2">
        <f t="shared" ca="1" si="315"/>
        <v>0.21262109009322672</v>
      </c>
      <c r="AE574" s="2">
        <f t="shared" ca="1" si="316"/>
        <v>-2.3544551682297006E-6</v>
      </c>
      <c r="AF574" s="2">
        <f t="shared" ca="1" si="317"/>
        <v>0.15378668873566723</v>
      </c>
      <c r="AG574" s="2">
        <f t="shared" ca="1" si="318"/>
        <v>1.8488692848565949</v>
      </c>
      <c r="AI574" s="2">
        <f t="shared" ca="1" si="319"/>
        <v>-6.8994958189756181E-6</v>
      </c>
      <c r="AJ574" s="11">
        <f t="shared" ca="1" si="320"/>
        <v>-2.3544551682297006E-6</v>
      </c>
      <c r="AK574" s="2">
        <f t="shared" ca="1" si="321"/>
        <v>1.0860933797021915E-2</v>
      </c>
      <c r="AL574" s="2">
        <f t="shared" ca="1" si="322"/>
        <v>7.4400775778928486E-4</v>
      </c>
      <c r="AM574" s="2">
        <f t="shared" ca="1" si="323"/>
        <v>2.675169819441638E-5</v>
      </c>
      <c r="AN574" s="2">
        <f t="shared" ca="1" si="324"/>
        <v>0.21262109009322672</v>
      </c>
      <c r="AO574" s="2">
        <f t="shared" ca="1" si="325"/>
        <v>-2.3544551682297006E-6</v>
      </c>
      <c r="AP574" s="2">
        <f t="shared" ca="1" si="326"/>
        <v>0.15378668873566723</v>
      </c>
      <c r="AQ574" s="2">
        <f t="shared" ca="1" si="327"/>
        <v>1.8488692848565949</v>
      </c>
      <c r="AS574" s="2">
        <f t="shared" ca="1" si="328"/>
        <v>8.6956062733284458</v>
      </c>
      <c r="AT574" s="2">
        <f t="shared" ca="1" si="329"/>
        <v>0.40060175396580433</v>
      </c>
      <c r="AU574" s="2">
        <f t="shared" ca="1" si="330"/>
        <v>2.9805081273455284E-4</v>
      </c>
      <c r="AV574" s="2">
        <f t="shared" ca="1" si="331"/>
        <v>0.15348863792293269</v>
      </c>
      <c r="AW574" s="2">
        <f t="shared" ca="1" si="332"/>
        <v>0.7083684322514423</v>
      </c>
      <c r="AX574" s="2">
        <f t="shared" ca="1" si="333"/>
        <v>5.3081614095530777E-2</v>
      </c>
      <c r="AY574" s="9">
        <f t="shared" ca="1" si="334"/>
        <v>0.7083684322514423</v>
      </c>
      <c r="AZ574" s="9">
        <f t="shared" ca="1" si="335"/>
        <v>0.7083684322514423</v>
      </c>
      <c r="BA574" s="9"/>
      <c r="BB574" s="2">
        <f t="shared" ca="1" si="336"/>
        <v>8.6956062733284458</v>
      </c>
      <c r="BC574" s="2">
        <f t="shared" ca="1" si="337"/>
        <v>0.40060175396580433</v>
      </c>
      <c r="BD574" s="2">
        <f t="shared" ca="1" si="338"/>
        <v>2.9805081273455284E-4</v>
      </c>
      <c r="BE574" s="2">
        <f t="shared" ca="1" si="339"/>
        <v>0.15348863792293269</v>
      </c>
      <c r="BF574" s="2">
        <f t="shared" ca="1" si="340"/>
        <v>0.7083684322514423</v>
      </c>
      <c r="BG574" s="2">
        <f t="shared" ca="1" si="341"/>
        <v>5.3081614095530777E-2</v>
      </c>
      <c r="BH574" s="2">
        <f t="shared" ca="1" si="342"/>
        <v>0.7083684322514423</v>
      </c>
      <c r="BI574" s="2">
        <f t="shared" ca="1" si="343"/>
        <v>0.7083684322514423</v>
      </c>
    </row>
    <row r="575" spans="1:61" ht="15" x14ac:dyDescent="0.25">
      <c r="A575" s="66">
        <v>509</v>
      </c>
      <c r="B575" s="66">
        <v>1498730387.6589999</v>
      </c>
      <c r="C575" s="67">
        <v>1.08193965444837E-4</v>
      </c>
      <c r="D575" s="67">
        <v>5.5117417647223E-5</v>
      </c>
      <c r="E575" s="67">
        <v>1.15571232665237E-2</v>
      </c>
      <c r="F575" s="67">
        <v>6.4136544210234298E-4</v>
      </c>
      <c r="G575" s="67">
        <v>1.10637714660999E-4</v>
      </c>
      <c r="H575" s="67">
        <v>0.21150693216826399</v>
      </c>
      <c r="I575" s="67">
        <v>5.5117417647223E-5</v>
      </c>
      <c r="J575" s="67">
        <v>0.15306761075001099</v>
      </c>
      <c r="K575" s="67">
        <v>1.8379289861753001</v>
      </c>
      <c r="L575" s="67"/>
      <c r="M575" s="67"/>
      <c r="N575" s="16"/>
      <c r="O575" s="11">
        <f t="shared" ca="1" si="301"/>
        <v>9.5390034734876969E-5</v>
      </c>
      <c r="P575" s="11">
        <f t="shared" ca="1" si="302"/>
        <v>5.4352317416918261E-5</v>
      </c>
      <c r="Q575" s="11">
        <f t="shared" ca="1" si="303"/>
        <v>1.0720631654255415E-2</v>
      </c>
      <c r="R575" s="11">
        <f t="shared" ca="1" si="304"/>
        <v>6.2971895445599582E-4</v>
      </c>
      <c r="S575" s="11">
        <f t="shared" ca="1" si="305"/>
        <v>9.9710062614028876E-5</v>
      </c>
      <c r="T575" s="11">
        <f t="shared" ca="1" si="306"/>
        <v>0.21036837712968171</v>
      </c>
      <c r="U575" s="11">
        <f t="shared" ca="1" si="307"/>
        <v>5.4352317416918261E-5</v>
      </c>
      <c r="V575" s="11">
        <f t="shared" ca="1" si="308"/>
        <v>0.15241741474431722</v>
      </c>
      <c r="W575" s="11">
        <f t="shared" ca="1" si="309"/>
        <v>1.830806137911795</v>
      </c>
      <c r="X575" s="11"/>
      <c r="Y575" s="2">
        <f t="shared" ca="1" si="310"/>
        <v>9.5390034734876969E-5</v>
      </c>
      <c r="Z575" s="11">
        <f t="shared" ca="1" si="311"/>
        <v>5.4352317416918261E-5</v>
      </c>
      <c r="AA575" s="2">
        <f t="shared" ca="1" si="312"/>
        <v>1.0720215818354915E-2</v>
      </c>
      <c r="AB575" s="2">
        <f t="shared" ca="1" si="313"/>
        <v>6.1965383550069246E-4</v>
      </c>
      <c r="AC575" s="2">
        <f t="shared" ca="1" si="314"/>
        <v>9.9710062614028876E-5</v>
      </c>
      <c r="AD575" s="2">
        <f t="shared" ca="1" si="315"/>
        <v>0.21029518056037763</v>
      </c>
      <c r="AE575" s="2">
        <f t="shared" ca="1" si="316"/>
        <v>5.4352317416918261E-5</v>
      </c>
      <c r="AF575" s="2">
        <f t="shared" ca="1" si="317"/>
        <v>0.1523093210372268</v>
      </c>
      <c r="AG575" s="2">
        <f t="shared" ca="1" si="318"/>
        <v>1.8307622760000499</v>
      </c>
      <c r="AI575" s="2">
        <f t="shared" ca="1" si="319"/>
        <v>9.5390034734876969E-5</v>
      </c>
      <c r="AJ575" s="11">
        <f t="shared" ca="1" si="320"/>
        <v>5.4352317416918261E-5</v>
      </c>
      <c r="AK575" s="2">
        <f t="shared" ca="1" si="321"/>
        <v>1.0656090140421728E-2</v>
      </c>
      <c r="AL575" s="2">
        <f t="shared" ca="1" si="322"/>
        <v>5.8964033967613954E-4</v>
      </c>
      <c r="AM575" s="2">
        <f t="shared" ca="1" si="323"/>
        <v>9.9710062614028876E-5</v>
      </c>
      <c r="AN575" s="2">
        <f t="shared" ca="1" si="324"/>
        <v>0.21029518056037763</v>
      </c>
      <c r="AO575" s="2">
        <f t="shared" ca="1" si="325"/>
        <v>5.4352317416918261E-5</v>
      </c>
      <c r="AP575" s="2">
        <f t="shared" ca="1" si="326"/>
        <v>0.1523093210372268</v>
      </c>
      <c r="AQ575" s="2">
        <f t="shared" ca="1" si="327"/>
        <v>1.8307622760000499</v>
      </c>
      <c r="AS575" s="2">
        <f t="shared" ca="1" si="328"/>
        <v>8.7028581143790138</v>
      </c>
      <c r="AT575" s="2">
        <f t="shared" ca="1" si="329"/>
        <v>0.40093989605268043</v>
      </c>
      <c r="AU575" s="2">
        <f t="shared" ca="1" si="330"/>
        <v>2.5247945214198955E-4</v>
      </c>
      <c r="AV575" s="2">
        <f t="shared" ca="1" si="331"/>
        <v>0.15216493529217523</v>
      </c>
      <c r="AW575" s="2">
        <f t="shared" ca="1" si="332"/>
        <v>0.70948156850827671</v>
      </c>
      <c r="AX575" s="2">
        <f t="shared" ca="1" si="333"/>
        <v>5.3002171819936987E-2</v>
      </c>
      <c r="AY575" s="9">
        <f t="shared" ca="1" si="334"/>
        <v>0.70948156850827671</v>
      </c>
      <c r="AZ575" s="9">
        <f t="shared" ca="1" si="335"/>
        <v>0.70948156850827671</v>
      </c>
      <c r="BA575" s="9"/>
      <c r="BB575" s="2">
        <f t="shared" ca="1" si="336"/>
        <v>8.7056787089536822</v>
      </c>
      <c r="BC575" s="2">
        <f t="shared" ca="1" si="337"/>
        <v>0.40107141692088949</v>
      </c>
      <c r="BD575" s="2">
        <f t="shared" ca="1" si="338"/>
        <v>2.3648788650762386E-4</v>
      </c>
      <c r="BE575" s="2">
        <f t="shared" ca="1" si="339"/>
        <v>0.15207283315071918</v>
      </c>
      <c r="BF575" s="2">
        <f t="shared" ca="1" si="340"/>
        <v>0.7091831918415954</v>
      </c>
      <c r="BG575" s="2">
        <f t="shared" ca="1" si="341"/>
        <v>5.2718897271770024E-2</v>
      </c>
      <c r="BH575" s="2">
        <f t="shared" ca="1" si="342"/>
        <v>0.7091831918415954</v>
      </c>
      <c r="BI575" s="2">
        <f t="shared" ca="1" si="343"/>
        <v>0.7091831918415954</v>
      </c>
    </row>
    <row r="576" spans="1:61" ht="15" x14ac:dyDescent="0.25">
      <c r="A576" s="66">
        <v>510</v>
      </c>
      <c r="B576" s="66">
        <v>1498730388.1860001</v>
      </c>
      <c r="C576" s="67">
        <v>1.1646263296764801E-4</v>
      </c>
      <c r="D576" s="67">
        <v>3.7416698909236802E-5</v>
      </c>
      <c r="E576" s="67">
        <v>1.1565545658765899E-2</v>
      </c>
      <c r="F576" s="67">
        <v>6.8017454874730202E-4</v>
      </c>
      <c r="G576" s="67">
        <v>1.2862054519788101E-4</v>
      </c>
      <c r="H576" s="67">
        <v>0.211857637267375</v>
      </c>
      <c r="I576" s="67">
        <v>3.7416698909236802E-5</v>
      </c>
      <c r="J576" s="67">
        <v>0.15297838198706901</v>
      </c>
      <c r="K576" s="67">
        <v>1.8370526614135001</v>
      </c>
      <c r="L576" s="67"/>
      <c r="M576" s="67"/>
      <c r="N576" s="16"/>
      <c r="O576" s="11">
        <f t="shared" ca="1" si="301"/>
        <v>1.0365870225768797E-4</v>
      </c>
      <c r="P576" s="11">
        <f t="shared" ca="1" si="302"/>
        <v>3.6651598678932064E-5</v>
      </c>
      <c r="Q576" s="11">
        <f t="shared" ca="1" si="303"/>
        <v>1.0729054046497615E-2</v>
      </c>
      <c r="R576" s="11">
        <f t="shared" ca="1" si="304"/>
        <v>6.6852806110095486E-4</v>
      </c>
      <c r="S576" s="11">
        <f t="shared" ca="1" si="305"/>
        <v>1.1769289315091088E-4</v>
      </c>
      <c r="T576" s="11">
        <f t="shared" ca="1" si="306"/>
        <v>0.21071908222879271</v>
      </c>
      <c r="U576" s="11">
        <f t="shared" ca="1" si="307"/>
        <v>3.6651598678932064E-5</v>
      </c>
      <c r="V576" s="11">
        <f t="shared" ca="1" si="308"/>
        <v>0.15232818598137524</v>
      </c>
      <c r="W576" s="11">
        <f t="shared" ca="1" si="309"/>
        <v>1.829929813149995</v>
      </c>
      <c r="X576" s="11"/>
      <c r="Y576" s="2">
        <f t="shared" ca="1" si="310"/>
        <v>1.0365870225768797E-4</v>
      </c>
      <c r="Z576" s="11">
        <f t="shared" ca="1" si="311"/>
        <v>3.6651598678932064E-5</v>
      </c>
      <c r="AA576" s="2">
        <f t="shared" ca="1" si="312"/>
        <v>1.0728773634341045E-2</v>
      </c>
      <c r="AB576" s="2">
        <f t="shared" ca="1" si="313"/>
        <v>6.6174081231125262E-4</v>
      </c>
      <c r="AC576" s="2">
        <f t="shared" ca="1" si="314"/>
        <v>1.1769289315091088E-4</v>
      </c>
      <c r="AD576" s="2">
        <f t="shared" ca="1" si="315"/>
        <v>0.21066972331623285</v>
      </c>
      <c r="AE576" s="2">
        <f t="shared" ca="1" si="316"/>
        <v>3.6651598678932064E-5</v>
      </c>
      <c r="AF576" s="2">
        <f t="shared" ca="1" si="317"/>
        <v>0.15225529475317598</v>
      </c>
      <c r="AG576" s="2">
        <f t="shared" ca="1" si="318"/>
        <v>1.8299002355852658</v>
      </c>
      <c r="AI576" s="2">
        <f t="shared" ca="1" si="319"/>
        <v>1.0365870225768797E-4</v>
      </c>
      <c r="AJ576" s="11">
        <f t="shared" ca="1" si="320"/>
        <v>3.6651598678932064E-5</v>
      </c>
      <c r="AK576" s="2">
        <f t="shared" ca="1" si="321"/>
        <v>1.0685531529416738E-2</v>
      </c>
      <c r="AL576" s="2">
        <f t="shared" ca="1" si="322"/>
        <v>6.4150170096894754E-4</v>
      </c>
      <c r="AM576" s="2">
        <f t="shared" ca="1" si="323"/>
        <v>1.1769289315091088E-4</v>
      </c>
      <c r="AN576" s="2">
        <f t="shared" ca="1" si="324"/>
        <v>0.21066972331623285</v>
      </c>
      <c r="AO576" s="2">
        <f t="shared" ca="1" si="325"/>
        <v>3.6651598678932064E-5</v>
      </c>
      <c r="AP576" s="2">
        <f t="shared" ca="1" si="326"/>
        <v>0.15225529475317598</v>
      </c>
      <c r="AQ576" s="2">
        <f t="shared" ca="1" si="327"/>
        <v>1.8299002355852658</v>
      </c>
      <c r="AS576" s="2">
        <f t="shared" ca="1" si="328"/>
        <v>8.6842149927509169</v>
      </c>
      <c r="AT576" s="2">
        <f t="shared" ca="1" si="329"/>
        <v>0.40007060314897819</v>
      </c>
      <c r="AU576" s="2">
        <f t="shared" ca="1" si="330"/>
        <v>2.6745842462667593E-4</v>
      </c>
      <c r="AV576" s="2">
        <f t="shared" ca="1" si="331"/>
        <v>0.15206072755674857</v>
      </c>
      <c r="AW576" s="2">
        <f t="shared" ca="1" si="332"/>
        <v>0.70858050788193683</v>
      </c>
      <c r="AX576" s="2">
        <f t="shared" ca="1" si="333"/>
        <v>5.2839454345281076E-2</v>
      </c>
      <c r="AY576" s="9">
        <f t="shared" ca="1" si="334"/>
        <v>0.70858050788193683</v>
      </c>
      <c r="AZ576" s="9">
        <f t="shared" ca="1" si="335"/>
        <v>0.70858050788193683</v>
      </c>
      <c r="BA576" s="9"/>
      <c r="BB576" s="2">
        <f t="shared" ca="1" si="336"/>
        <v>8.6861092651573522</v>
      </c>
      <c r="BC576" s="2">
        <f t="shared" ca="1" si="337"/>
        <v>0.40015892839562617</v>
      </c>
      <c r="BD576" s="2">
        <f t="shared" ca="1" si="338"/>
        <v>2.567026332237055E-4</v>
      </c>
      <c r="BE576" s="2">
        <f t="shared" ca="1" si="339"/>
        <v>0.15199859211995229</v>
      </c>
      <c r="BF576" s="2">
        <f t="shared" ca="1" si="340"/>
        <v>0.70837910537958304</v>
      </c>
      <c r="BG576" s="2">
        <f t="shared" ca="1" si="341"/>
        <v>5.2649189069358435E-2</v>
      </c>
      <c r="BH576" s="2">
        <f t="shared" ca="1" si="342"/>
        <v>0.70837910537958304</v>
      </c>
      <c r="BI576" s="2">
        <f t="shared" ca="1" si="343"/>
        <v>0.70837910537958304</v>
      </c>
    </row>
    <row r="577" spans="1:61" ht="15" x14ac:dyDescent="0.25">
      <c r="A577" s="66">
        <v>511</v>
      </c>
      <c r="B577" s="66">
        <v>1498730388.7130001</v>
      </c>
      <c r="C577" s="67">
        <v>2.2676360288498601E-5</v>
      </c>
      <c r="D577" s="67">
        <v>2.7468816194929001E-5</v>
      </c>
      <c r="E577" s="67">
        <v>1.17202895247931E-2</v>
      </c>
      <c r="F577" s="67">
        <v>6.8660319663248898E-4</v>
      </c>
      <c r="G577" s="67">
        <v>4.3872949035754601E-5</v>
      </c>
      <c r="H577" s="67">
        <v>0.21458404715445401</v>
      </c>
      <c r="I577" s="67">
        <v>2.7468816194929001E-5</v>
      </c>
      <c r="J577" s="67">
        <v>0.154895234131983</v>
      </c>
      <c r="K577" s="67">
        <v>1.86138677395093</v>
      </c>
      <c r="L577" s="67"/>
      <c r="M577" s="67"/>
      <c r="N577" s="16"/>
      <c r="O577" s="11">
        <f t="shared" ca="1" si="301"/>
        <v>9.8724295785385733E-6</v>
      </c>
      <c r="P577" s="11">
        <f t="shared" ca="1" si="302"/>
        <v>2.6703715964624259E-5</v>
      </c>
      <c r="Q577" s="11">
        <f t="shared" ca="1" si="303"/>
        <v>1.0883797912524815E-2</v>
      </c>
      <c r="R577" s="11">
        <f t="shared" ca="1" si="304"/>
        <v>6.7495670898614182E-4</v>
      </c>
      <c r="S577" s="11">
        <f t="shared" ca="1" si="305"/>
        <v>3.294529698878448E-5</v>
      </c>
      <c r="T577" s="11">
        <f t="shared" ca="1" si="306"/>
        <v>0.21344549211587172</v>
      </c>
      <c r="U577" s="11">
        <f t="shared" ca="1" si="307"/>
        <v>2.6703715964624259E-5</v>
      </c>
      <c r="V577" s="11">
        <f t="shared" ca="1" si="308"/>
        <v>0.15424503812628923</v>
      </c>
      <c r="W577" s="11">
        <f t="shared" ca="1" si="309"/>
        <v>1.8542639256874249</v>
      </c>
      <c r="X577" s="11"/>
      <c r="Y577" s="2">
        <f t="shared" ca="1" si="310"/>
        <v>9.8724295785385733E-6</v>
      </c>
      <c r="Z577" s="11">
        <f t="shared" ca="1" si="311"/>
        <v>2.6703715964624259E-5</v>
      </c>
      <c r="AA577" s="2">
        <f t="shared" ca="1" si="312"/>
        <v>1.0883593609115087E-2</v>
      </c>
      <c r="AB577" s="2">
        <f t="shared" ca="1" si="313"/>
        <v>6.700116378188743E-4</v>
      </c>
      <c r="AC577" s="2">
        <f t="shared" ca="1" si="314"/>
        <v>3.294529698878448E-5</v>
      </c>
      <c r="AD577" s="2">
        <f t="shared" ca="1" si="315"/>
        <v>0.21340953007250035</v>
      </c>
      <c r="AE577" s="2">
        <f t="shared" ca="1" si="316"/>
        <v>2.6703715964624259E-5</v>
      </c>
      <c r="AF577" s="2">
        <f t="shared" ca="1" si="317"/>
        <v>0.15419193084790836</v>
      </c>
      <c r="AG577" s="2">
        <f t="shared" ca="1" si="318"/>
        <v>1.8542423759892965</v>
      </c>
      <c r="AI577" s="2">
        <f t="shared" ca="1" si="319"/>
        <v>9.8724295785385733E-6</v>
      </c>
      <c r="AJ577" s="11">
        <f t="shared" ca="1" si="320"/>
        <v>2.6703715964624259E-5</v>
      </c>
      <c r="AK577" s="2">
        <f t="shared" ca="1" si="321"/>
        <v>1.0852088165171794E-2</v>
      </c>
      <c r="AL577" s="2">
        <f t="shared" ca="1" si="322"/>
        <v>6.5526577406008592E-4</v>
      </c>
      <c r="AM577" s="2">
        <f t="shared" ca="1" si="323"/>
        <v>3.294529698878448E-5</v>
      </c>
      <c r="AN577" s="2">
        <f t="shared" ca="1" si="324"/>
        <v>0.21340953007250035</v>
      </c>
      <c r="AO577" s="2">
        <f t="shared" ca="1" si="325"/>
        <v>2.6703715964624259E-5</v>
      </c>
      <c r="AP577" s="2">
        <f t="shared" ca="1" si="326"/>
        <v>0.15419193084790836</v>
      </c>
      <c r="AQ577" s="2">
        <f t="shared" ca="1" si="327"/>
        <v>1.8542423759892965</v>
      </c>
      <c r="AS577" s="2">
        <f t="shared" ca="1" si="328"/>
        <v>8.6872948559663801</v>
      </c>
      <c r="AT577" s="2">
        <f t="shared" ca="1" si="329"/>
        <v>0.40021420968751059</v>
      </c>
      <c r="AU577" s="2">
        <f t="shared" ca="1" si="330"/>
        <v>2.7012726586017182E-4</v>
      </c>
      <c r="AV577" s="2">
        <f t="shared" ca="1" si="331"/>
        <v>0.15397491086042905</v>
      </c>
      <c r="AW577" s="2">
        <f t="shared" ca="1" si="332"/>
        <v>0.70820897530726512</v>
      </c>
      <c r="AX577" s="2">
        <f t="shared" ca="1" si="333"/>
        <v>5.2936084569994976E-2</v>
      </c>
      <c r="AY577" s="9">
        <f t="shared" ca="1" si="334"/>
        <v>0.70820897530726512</v>
      </c>
      <c r="AZ577" s="9">
        <f t="shared" ca="1" si="335"/>
        <v>0.70820897530726512</v>
      </c>
      <c r="BA577" s="9"/>
      <c r="BB577" s="2">
        <f t="shared" ca="1" si="336"/>
        <v>8.6886577903028304</v>
      </c>
      <c r="BC577" s="2">
        <f t="shared" ca="1" si="337"/>
        <v>0.40027776020117956</v>
      </c>
      <c r="BD577" s="2">
        <f t="shared" ca="1" si="338"/>
        <v>2.6228831637726337E-4</v>
      </c>
      <c r="BE577" s="2">
        <f t="shared" ca="1" si="339"/>
        <v>0.1539296425315311</v>
      </c>
      <c r="BF577" s="2">
        <f t="shared" ca="1" si="340"/>
        <v>0.70806412931741791</v>
      </c>
      <c r="BG577" s="2">
        <f t="shared" ca="1" si="341"/>
        <v>5.2799225449503467E-2</v>
      </c>
      <c r="BH577" s="2">
        <f t="shared" ca="1" si="342"/>
        <v>0.70806412931741791</v>
      </c>
      <c r="BI577" s="2">
        <f t="shared" ca="1" si="343"/>
        <v>0.70806412931741791</v>
      </c>
    </row>
    <row r="578" spans="1:61" ht="15" x14ac:dyDescent="0.25">
      <c r="A578" s="66">
        <v>512</v>
      </c>
      <c r="B578" s="66">
        <v>1498730389.24</v>
      </c>
      <c r="C578" s="67">
        <v>5.2441320293813697E-5</v>
      </c>
      <c r="D578" s="67">
        <v>3.0091557789197399E-5</v>
      </c>
      <c r="E578" s="67">
        <v>1.2334203820143301E-2</v>
      </c>
      <c r="F578" s="67">
        <v>6.7684119205637099E-4</v>
      </c>
      <c r="G578" s="67">
        <v>2.00897608463316E-5</v>
      </c>
      <c r="H578" s="67">
        <v>0.22601457965570601</v>
      </c>
      <c r="I578" s="67">
        <v>3.0091557789197399E-5</v>
      </c>
      <c r="J578" s="67">
        <v>0.16318556596077499</v>
      </c>
      <c r="K578" s="67">
        <v>1.9606224946775901</v>
      </c>
      <c r="L578" s="67"/>
      <c r="M578" s="67"/>
      <c r="N578" s="16"/>
      <c r="O578" s="11">
        <f t="shared" ca="1" si="301"/>
        <v>3.9637389583853669E-5</v>
      </c>
      <c r="P578" s="11">
        <f t="shared" ca="1" si="302"/>
        <v>2.9326457558892657E-5</v>
      </c>
      <c r="Q578" s="11">
        <f t="shared" ca="1" si="303"/>
        <v>1.1497712207875016E-2</v>
      </c>
      <c r="R578" s="11">
        <f t="shared" ca="1" si="304"/>
        <v>6.6519470441002383E-4</v>
      </c>
      <c r="S578" s="11">
        <f t="shared" ca="1" si="305"/>
        <v>9.1621087993614774E-6</v>
      </c>
      <c r="T578" s="11">
        <f t="shared" ca="1" si="306"/>
        <v>0.22487602461712372</v>
      </c>
      <c r="U578" s="11">
        <f t="shared" ca="1" si="307"/>
        <v>2.9326457558892657E-5</v>
      </c>
      <c r="V578" s="11">
        <f t="shared" ca="1" si="308"/>
        <v>0.16253536995508122</v>
      </c>
      <c r="W578" s="11">
        <f t="shared" ca="1" si="309"/>
        <v>1.953499646414085</v>
      </c>
      <c r="X578" s="11"/>
      <c r="Y578" s="2">
        <f t="shared" ca="1" si="310"/>
        <v>3.9637389583853669E-5</v>
      </c>
      <c r="Z578" s="11">
        <f t="shared" ca="1" si="311"/>
        <v>2.9326457558892657E-5</v>
      </c>
      <c r="AA578" s="2">
        <f t="shared" ca="1" si="312"/>
        <v>1.1497487838529474E-2</v>
      </c>
      <c r="AB578" s="2">
        <f t="shared" ca="1" si="313"/>
        <v>6.5976394638725682E-4</v>
      </c>
      <c r="AC578" s="2">
        <f t="shared" ca="1" si="314"/>
        <v>9.1621087993614774E-6</v>
      </c>
      <c r="AD578" s="2">
        <f t="shared" ca="1" si="315"/>
        <v>0.22483653051300509</v>
      </c>
      <c r="AE578" s="2">
        <f t="shared" ca="1" si="316"/>
        <v>2.9326457558892657E-5</v>
      </c>
      <c r="AF578" s="2">
        <f t="shared" ca="1" si="317"/>
        <v>0.16247704667349869</v>
      </c>
      <c r="AG578" s="2">
        <f t="shared" ca="1" si="318"/>
        <v>1.9534759801831978</v>
      </c>
      <c r="AI578" s="2">
        <f t="shared" ca="1" si="319"/>
        <v>3.9637389583853669E-5</v>
      </c>
      <c r="AJ578" s="11">
        <f t="shared" ca="1" si="320"/>
        <v>2.9326457558892657E-5</v>
      </c>
      <c r="AK578" s="2">
        <f t="shared" ca="1" si="321"/>
        <v>1.1462888044781627E-2</v>
      </c>
      <c r="AL578" s="2">
        <f t="shared" ca="1" si="322"/>
        <v>6.4356979766787259E-4</v>
      </c>
      <c r="AM578" s="2">
        <f t="shared" ca="1" si="323"/>
        <v>9.1621087993614774E-6</v>
      </c>
      <c r="AN578" s="2">
        <f t="shared" ca="1" si="324"/>
        <v>0.22483653051300509</v>
      </c>
      <c r="AO578" s="2">
        <f t="shared" ca="1" si="325"/>
        <v>2.9326457558892657E-5</v>
      </c>
      <c r="AP578" s="2">
        <f t="shared" ca="1" si="326"/>
        <v>0.16247704667349869</v>
      </c>
      <c r="AQ578" s="2">
        <f t="shared" ca="1" si="327"/>
        <v>1.9534759801831978</v>
      </c>
      <c r="AS578" s="2">
        <f t="shared" ca="1" si="328"/>
        <v>8.6870072064824786</v>
      </c>
      <c r="AT578" s="2">
        <f t="shared" ca="1" si="329"/>
        <v>0.40020079726483732</v>
      </c>
      <c r="AU578" s="2">
        <f t="shared" ca="1" si="330"/>
        <v>2.6621145104123933E-4</v>
      </c>
      <c r="AV578" s="2">
        <f t="shared" ca="1" si="331"/>
        <v>0.16226915850403997</v>
      </c>
      <c r="AW578" s="2">
        <f t="shared" ca="1" si="332"/>
        <v>0.70843257538795301</v>
      </c>
      <c r="AX578" s="2">
        <f t="shared" ca="1" si="333"/>
        <v>5.3077675776062073E-2</v>
      </c>
      <c r="AY578" s="9">
        <f t="shared" ca="1" si="334"/>
        <v>0.70843257538795301</v>
      </c>
      <c r="AZ578" s="9">
        <f t="shared" ca="1" si="335"/>
        <v>0.70843257538795301</v>
      </c>
      <c r="BA578" s="9"/>
      <c r="BB578" s="2">
        <f t="shared" ca="1" si="336"/>
        <v>8.6884278801402512</v>
      </c>
      <c r="BC578" s="2">
        <f t="shared" ca="1" si="337"/>
        <v>0.40026704000718777</v>
      </c>
      <c r="BD578" s="2">
        <f t="shared" ca="1" si="338"/>
        <v>2.5759977795054411E-4</v>
      </c>
      <c r="BE578" s="2">
        <f t="shared" ca="1" si="339"/>
        <v>0.16221944689554815</v>
      </c>
      <c r="BF578" s="2">
        <f t="shared" ca="1" si="340"/>
        <v>0.70828161803367462</v>
      </c>
      <c r="BG578" s="2">
        <f t="shared" ca="1" si="341"/>
        <v>5.2935066651517121E-2</v>
      </c>
      <c r="BH578" s="2">
        <f t="shared" ca="1" si="342"/>
        <v>0.70828161803367462</v>
      </c>
      <c r="BI578" s="2">
        <f t="shared" ca="1" si="343"/>
        <v>0.70828161803367462</v>
      </c>
    </row>
    <row r="579" spans="1:61" ht="15" x14ac:dyDescent="0.25">
      <c r="A579" s="66">
        <v>513</v>
      </c>
      <c r="B579" s="66">
        <v>1498730389.767</v>
      </c>
      <c r="C579" s="67">
        <v>3.2361685777444797E-5</v>
      </c>
      <c r="D579" s="67">
        <v>3.1485655872475201E-5</v>
      </c>
      <c r="E579" s="67">
        <v>1.21153186710257E-2</v>
      </c>
      <c r="F579" s="67">
        <v>7.09937155066684E-4</v>
      </c>
      <c r="G579" s="67">
        <v>1.3967583383810099E-4</v>
      </c>
      <c r="H579" s="67">
        <v>0.22017334499152499</v>
      </c>
      <c r="I579" s="67">
        <v>3.1485655872475201E-5</v>
      </c>
      <c r="J579" s="67">
        <v>0.15922827223195399</v>
      </c>
      <c r="K579" s="67">
        <v>1.91170307191851</v>
      </c>
      <c r="L579" s="67"/>
      <c r="M579" s="67"/>
      <c r="N579" s="16"/>
      <c r="O579" s="11">
        <f t="shared" ref="O579:O642" ca="1" si="344">C579-AVERAGE(OFFSET(C$67,$J$2,0,$J$3))</f>
        <v>1.955775506748477E-5</v>
      </c>
      <c r="P579" s="11">
        <f t="shared" ref="P579:P642" ca="1" si="345">D579-AVERAGE(OFFSET(D$67,$J$2,0,$J$3))</f>
        <v>3.0720555642170462E-5</v>
      </c>
      <c r="Q579" s="11">
        <f t="shared" ref="Q579:Q642" ca="1" si="346">E579-AVERAGE(OFFSET(E$67,$J$2,0,$J$3))</f>
        <v>1.1278827058757416E-2</v>
      </c>
      <c r="R579" s="11">
        <f t="shared" ref="R579:R642" ca="1" si="347">F579-AVERAGE(OFFSET(F$67,$J$2,0,$J$3))</f>
        <v>6.9829066742033684E-4</v>
      </c>
      <c r="S579" s="11">
        <f t="shared" ref="S579:S642" ca="1" si="348">G579-AVERAGE(OFFSET(G$67,$J$2,0,$J$3))</f>
        <v>1.2874818179113088E-4</v>
      </c>
      <c r="T579" s="11">
        <f t="shared" ref="T579:T642" ca="1" si="349">H579-AVERAGE(OFFSET(H$67,$J$2,0,$J$3))</f>
        <v>0.2190347899529427</v>
      </c>
      <c r="U579" s="11">
        <f t="shared" ref="U579:U642" ca="1" si="350">I579-AVERAGE(OFFSET(I$67,$J$2,0,$J$3))</f>
        <v>3.0720555642170462E-5</v>
      </c>
      <c r="V579" s="11">
        <f t="shared" ref="V579:V642" ca="1" si="351">J579-AVERAGE(OFFSET(J$67,$J$2,0,$J$3))</f>
        <v>0.15857807622626022</v>
      </c>
      <c r="W579" s="11">
        <f t="shared" ref="W579:W642" ca="1" si="352">K579-AVERAGE(OFFSET(K$67,$J$2,0,$J$3))</f>
        <v>1.9045802236550049</v>
      </c>
      <c r="X579" s="11"/>
      <c r="Y579" s="2">
        <f t="shared" ref="Y579:Y642" ca="1" si="353">O579</f>
        <v>1.955775506748477E-5</v>
      </c>
      <c r="Z579" s="11">
        <f t="shared" ref="Z579:Z642" ca="1" si="354">P579</f>
        <v>3.0720555642170462E-5</v>
      </c>
      <c r="AA579" s="2">
        <f t="shared" ref="AA579:AA642" ca="1" si="355">IF($U579&gt;0,Q579-($B$14/$B$18*$U579), Q579)</f>
        <v>1.1278592023518323E-2</v>
      </c>
      <c r="AB579" s="2">
        <f t="shared" ref="AB579:AB642" ca="1" si="356">IF($U579&gt;0,R579-($B$15/$B$18*$U579), R579)</f>
        <v>6.9260174629228908E-4</v>
      </c>
      <c r="AC579" s="2">
        <f t="shared" ref="AC579:AC642" ca="1" si="357">S579</f>
        <v>1.2874818179113088E-4</v>
      </c>
      <c r="AD579" s="2">
        <f t="shared" ref="AD579:AD642" ca="1" si="358">IF($U579&gt;0,T579-($B$17/$B$18*$U579), T579)</f>
        <v>0.21899341840915235</v>
      </c>
      <c r="AE579" s="2">
        <f t="shared" ref="AE579:AE642" ca="1" si="359">U579</f>
        <v>3.0720555642170462E-5</v>
      </c>
      <c r="AF579" s="2">
        <f t="shared" ref="AF579:AF642" ca="1" si="360">IF($U579&gt;0,V579-($B$19/$B$18*$U579), V579)</f>
        <v>0.15851698041837098</v>
      </c>
      <c r="AG579" s="2">
        <f t="shared" ref="AG579:AG642" ca="1" si="361">IF($U579&gt;0,W579-($B$20/$B$18*$U579), W579)</f>
        <v>1.9045554323974399</v>
      </c>
      <c r="AI579" s="2">
        <f t="shared" ref="AI579:AI642" ca="1" si="362">Y579</f>
        <v>1.955775506748477E-5</v>
      </c>
      <c r="AJ579" s="11">
        <f t="shared" ref="AJ579:AJ642" ca="1" si="363">Z579</f>
        <v>3.0720555642170462E-5</v>
      </c>
      <c r="AK579" s="2">
        <f t="shared" ref="AK579:AK642" ca="1" si="364">IF($AJ579&gt;0,AA579-($B$25/$B$24*$AJ579),AA579)</f>
        <v>1.124234745197729E-2</v>
      </c>
      <c r="AL579" s="2">
        <f t="shared" ref="AL579:AL642" ca="1" si="365">IF($AJ579&gt;0,AB579-($B$26/$B$25*$AJ579),AB579)</f>
        <v>6.7563777286275457E-4</v>
      </c>
      <c r="AM579" s="2">
        <f t="shared" ref="AM579:AM642" ca="1" si="366">AC579</f>
        <v>1.2874818179113088E-4</v>
      </c>
      <c r="AN579" s="2">
        <f t="shared" ref="AN579:AN642" ca="1" si="367">AD579</f>
        <v>0.21899341840915235</v>
      </c>
      <c r="AO579" s="2">
        <f t="shared" ref="AO579:AO642" ca="1" si="368">AE579</f>
        <v>3.0720555642170462E-5</v>
      </c>
      <c r="AP579" s="2">
        <f t="shared" ref="AP579:AP642" ca="1" si="369">AF579</f>
        <v>0.15851698041837098</v>
      </c>
      <c r="AQ579" s="2">
        <f t="shared" ref="AQ579:AQ642" ca="1" si="370">AG579</f>
        <v>1.9045554323974399</v>
      </c>
      <c r="AS579" s="2">
        <f t="shared" ref="AS579:AS642" ca="1" si="371">IF(AND(T579&gt;0,W579&gt;0),W579/T579, #N/A)</f>
        <v>8.6953320249453689</v>
      </c>
      <c r="AT579" s="2">
        <f t="shared" ref="AT579:AT642" ca="1" si="372">$B$8*((AS579/$B$10)^$B$11)</f>
        <v>0.400588966256681</v>
      </c>
      <c r="AU579" s="2">
        <f t="shared" ref="AU579:AU642" ca="1" si="373">AT579*R579</f>
        <v>2.7972753660860056E-4</v>
      </c>
      <c r="AV579" s="2">
        <f t="shared" ref="AV579:AV642" ca="1" si="374">V579-AU579</f>
        <v>0.15829834868965162</v>
      </c>
      <c r="AW579" s="2">
        <f t="shared" ref="AW579:AW642" ca="1" si="375">(AV579/T579)/((AS579/$B$10)^$B$12)</f>
        <v>0.70918491480737456</v>
      </c>
      <c r="AX579" s="2">
        <f t="shared" ref="AX579:AX642" ca="1" si="376">(Q579/T579)/((AS579/$B$10)^$B$13)</f>
        <v>5.3508172127474662E-2</v>
      </c>
      <c r="AY579" s="9">
        <f t="shared" ref="AY579:AY642" ca="1" si="377">IF(AND(AW579&lt;$M$3,AW579&gt;$M$4),AW579,"rejected")</f>
        <v>0.70918491480737456</v>
      </c>
      <c r="AZ579" s="9">
        <f t="shared" ref="AZ579:AZ642" ca="1" si="378">IF(AND(AW579&lt;$M$3,AW579&gt;$M$4),AW579,#N/A)</f>
        <v>0.70918491480737456</v>
      </c>
      <c r="BA579" s="9"/>
      <c r="BB579" s="2">
        <f t="shared" ref="BB579:BB642" ca="1" si="379">IF(AND(AQ579&gt;0, AN579&gt;0),AQ579/AN579, #N/A)</f>
        <v>8.6968615140711609</v>
      </c>
      <c r="BC579" s="2">
        <f t="shared" ref="BC579:BC642" ca="1" si="380">$B$8*((BB579/$B$10)^$B$11)</f>
        <v>0.40066028364768935</v>
      </c>
      <c r="BD579" s="2">
        <f t="shared" ref="BD579:BD642" ca="1" si="381">BC579*AL579</f>
        <v>2.7070122171828434E-4</v>
      </c>
      <c r="BE579" s="2">
        <f t="shared" ref="BE579:BE642" ca="1" si="382">AP579-BD579</f>
        <v>0.15824627919665268</v>
      </c>
      <c r="BF579" s="2">
        <f t="shared" ref="BF579:BF642" ca="1" si="383">(BE579/AN579)/((BB579/$B$10)^$B$12)</f>
        <v>0.7090227705016261</v>
      </c>
      <c r="BG579" s="2">
        <f t="shared" ref="BG579:BG642" ca="1" si="384">(AK579/AN579)/((BB579/$B$10)^$B$13)</f>
        <v>5.3354785673426657E-2</v>
      </c>
      <c r="BH579" s="2">
        <f t="shared" ref="BH579:BH642" ca="1" si="385">IF(AND(BF579&lt;$P$3,BF579&gt;$P$4),BF579,"rejected")</f>
        <v>0.7090227705016261</v>
      </c>
      <c r="BI579" s="2">
        <f t="shared" ref="BI579:BI642" ca="1" si="386">IF(AND(BF579&lt;$P$3,BF579&gt;$P$4),BF579,#N/A)</f>
        <v>0.7090227705016261</v>
      </c>
    </row>
    <row r="580" spans="1:61" ht="15" x14ac:dyDescent="0.25">
      <c r="A580" s="66">
        <v>514</v>
      </c>
      <c r="B580" s="66">
        <v>1498730390.2939999</v>
      </c>
      <c r="C580" s="67">
        <v>1.1646263296764801E-4</v>
      </c>
      <c r="D580" s="67">
        <v>-3.7604944539125897E-5</v>
      </c>
      <c r="E580" s="67">
        <v>1.1708015040599699E-2</v>
      </c>
      <c r="F580" s="67">
        <v>7.7732297218837505E-4</v>
      </c>
      <c r="G580" s="67">
        <v>8.0119751151974605E-6</v>
      </c>
      <c r="H580" s="67">
        <v>0.213532686369592</v>
      </c>
      <c r="I580" s="67">
        <v>-3.7604944539125897E-5</v>
      </c>
      <c r="J580" s="67">
        <v>0.15424720065372</v>
      </c>
      <c r="K580" s="67">
        <v>1.8537190556088301</v>
      </c>
      <c r="L580" s="67"/>
      <c r="M580" s="67"/>
      <c r="N580" s="16"/>
      <c r="O580" s="11">
        <f t="shared" ca="1" si="344"/>
        <v>1.0365870225768797E-4</v>
      </c>
      <c r="P580" s="11">
        <f t="shared" ca="1" si="345"/>
        <v>-3.8370044769430635E-5</v>
      </c>
      <c r="Q580" s="11">
        <f t="shared" ca="1" si="346"/>
        <v>1.0871523428331415E-2</v>
      </c>
      <c r="R580" s="11">
        <f t="shared" ca="1" si="347"/>
        <v>7.6567648454202789E-4</v>
      </c>
      <c r="S580" s="11">
        <f t="shared" ca="1" si="348"/>
        <v>-2.9156769317726619E-6</v>
      </c>
      <c r="T580" s="11">
        <f t="shared" ca="1" si="349"/>
        <v>0.21239413133100971</v>
      </c>
      <c r="U580" s="11">
        <f t="shared" ca="1" si="350"/>
        <v>-3.8370044769430635E-5</v>
      </c>
      <c r="V580" s="11">
        <f t="shared" ca="1" si="351"/>
        <v>0.15359700464802623</v>
      </c>
      <c r="W580" s="11">
        <f t="shared" ca="1" si="352"/>
        <v>1.846596207345325</v>
      </c>
      <c r="X580" s="11"/>
      <c r="Y580" s="2">
        <f t="shared" ca="1" si="353"/>
        <v>1.0365870225768797E-4</v>
      </c>
      <c r="Z580" s="11">
        <f t="shared" ca="1" si="354"/>
        <v>-3.8370044769430635E-5</v>
      </c>
      <c r="AA580" s="2">
        <f t="shared" ca="1" si="355"/>
        <v>1.0871523428331415E-2</v>
      </c>
      <c r="AB580" s="2">
        <f t="shared" ca="1" si="356"/>
        <v>7.6567648454202789E-4</v>
      </c>
      <c r="AC580" s="2">
        <f t="shared" ca="1" si="357"/>
        <v>-2.9156769317726619E-6</v>
      </c>
      <c r="AD580" s="2">
        <f t="shared" ca="1" si="358"/>
        <v>0.21239413133100971</v>
      </c>
      <c r="AE580" s="2">
        <f t="shared" ca="1" si="359"/>
        <v>-3.8370044769430635E-5</v>
      </c>
      <c r="AF580" s="2">
        <f t="shared" ca="1" si="360"/>
        <v>0.15359700464802623</v>
      </c>
      <c r="AG580" s="2">
        <f t="shared" ca="1" si="361"/>
        <v>1.846596207345325</v>
      </c>
      <c r="AI580" s="2">
        <f t="shared" ca="1" si="362"/>
        <v>1.0365870225768797E-4</v>
      </c>
      <c r="AJ580" s="11">
        <f t="shared" ca="1" si="363"/>
        <v>-3.8370044769430635E-5</v>
      </c>
      <c r="AK580" s="2">
        <f t="shared" ca="1" si="364"/>
        <v>1.0871523428331415E-2</v>
      </c>
      <c r="AL580" s="2">
        <f t="shared" ca="1" si="365"/>
        <v>7.6567648454202789E-4</v>
      </c>
      <c r="AM580" s="2">
        <f t="shared" ca="1" si="366"/>
        <v>-2.9156769317726619E-6</v>
      </c>
      <c r="AN580" s="2">
        <f t="shared" ca="1" si="367"/>
        <v>0.21239413133100971</v>
      </c>
      <c r="AO580" s="2">
        <f t="shared" ca="1" si="368"/>
        <v>-3.8370044769430635E-5</v>
      </c>
      <c r="AP580" s="2">
        <f t="shared" ca="1" si="369"/>
        <v>0.15359700464802623</v>
      </c>
      <c r="AQ580" s="2">
        <f t="shared" ca="1" si="370"/>
        <v>1.846596207345325</v>
      </c>
      <c r="AS580" s="2">
        <f t="shared" ca="1" si="371"/>
        <v>8.6941960014302921</v>
      </c>
      <c r="AT580" s="2">
        <f t="shared" ca="1" si="372"/>
        <v>0.40053599557435199</v>
      </c>
      <c r="AU580" s="2">
        <f t="shared" ca="1" si="373"/>
        <v>3.0668099302391108E-4</v>
      </c>
      <c r="AV580" s="2">
        <f t="shared" ca="1" si="374"/>
        <v>0.15329032365500231</v>
      </c>
      <c r="AW580" s="2">
        <f t="shared" ca="1" si="375"/>
        <v>0.70826700318239921</v>
      </c>
      <c r="AX580" s="2">
        <f t="shared" ca="1" si="376"/>
        <v>5.3181319620761398E-2</v>
      </c>
      <c r="AY580" s="9">
        <f t="shared" ca="1" si="377"/>
        <v>0.70826700318239921</v>
      </c>
      <c r="AZ580" s="9">
        <f t="shared" ca="1" si="378"/>
        <v>0.70826700318239921</v>
      </c>
      <c r="BA580" s="9"/>
      <c r="BB580" s="2">
        <f t="shared" ca="1" si="379"/>
        <v>8.6941960014302921</v>
      </c>
      <c r="BC580" s="2">
        <f t="shared" ca="1" si="380"/>
        <v>0.40053599557435199</v>
      </c>
      <c r="BD580" s="2">
        <f t="shared" ca="1" si="381"/>
        <v>3.0668099302391108E-4</v>
      </c>
      <c r="BE580" s="2">
        <f t="shared" ca="1" si="382"/>
        <v>0.15329032365500231</v>
      </c>
      <c r="BF580" s="2">
        <f t="shared" ca="1" si="383"/>
        <v>0.70826700318239921</v>
      </c>
      <c r="BG580" s="2">
        <f t="shared" ca="1" si="384"/>
        <v>5.3181319620761398E-2</v>
      </c>
      <c r="BH580" s="2">
        <f t="shared" ca="1" si="385"/>
        <v>0.70826700318239921</v>
      </c>
      <c r="BI580" s="2">
        <f t="shared" ca="1" si="386"/>
        <v>0.70826700318239921</v>
      </c>
    </row>
    <row r="581" spans="1:61" ht="15" x14ac:dyDescent="0.25">
      <c r="A581" s="66">
        <v>515</v>
      </c>
      <c r="B581" s="66">
        <v>1498730390.8210001</v>
      </c>
      <c r="C581" s="67">
        <v>1.88866383654593E-6</v>
      </c>
      <c r="D581" s="67">
        <v>1.91521122878158E-5</v>
      </c>
      <c r="E581" s="67">
        <v>1.10812518110245E-2</v>
      </c>
      <c r="F581" s="67">
        <v>8.6566956861197002E-4</v>
      </c>
      <c r="G581" s="67">
        <v>7.3456854656758799E-5</v>
      </c>
      <c r="H581" s="67">
        <v>0.201543470676533</v>
      </c>
      <c r="I581" s="67">
        <v>1.91521122878158E-5</v>
      </c>
      <c r="J581" s="67">
        <v>0.14577568187908199</v>
      </c>
      <c r="K581" s="67">
        <v>1.75057136460725</v>
      </c>
      <c r="L581" s="67"/>
      <c r="M581" s="67"/>
      <c r="N581" s="16"/>
      <c r="O581" s="11">
        <f t="shared" ca="1" si="344"/>
        <v>-1.0915266873414097E-5</v>
      </c>
      <c r="P581" s="11">
        <f t="shared" ca="1" si="345"/>
        <v>1.8387012057511058E-5</v>
      </c>
      <c r="Q581" s="11">
        <f t="shared" ca="1" si="346"/>
        <v>1.0244760198756215E-2</v>
      </c>
      <c r="R581" s="11">
        <f t="shared" ca="1" si="347"/>
        <v>8.5402308096562286E-4</v>
      </c>
      <c r="S581" s="11">
        <f t="shared" ca="1" si="348"/>
        <v>6.2529202609788671E-5</v>
      </c>
      <c r="T581" s="11">
        <f t="shared" ca="1" si="349"/>
        <v>0.20040491563795071</v>
      </c>
      <c r="U581" s="11">
        <f t="shared" ca="1" si="350"/>
        <v>1.8387012057511058E-5</v>
      </c>
      <c r="V581" s="11">
        <f t="shared" ca="1" si="351"/>
        <v>0.14512548587338822</v>
      </c>
      <c r="W581" s="11">
        <f t="shared" ca="1" si="352"/>
        <v>1.743448516343745</v>
      </c>
      <c r="X581" s="11"/>
      <c r="Y581" s="2">
        <f t="shared" ca="1" si="353"/>
        <v>-1.0915266873414097E-5</v>
      </c>
      <c r="Z581" s="11">
        <f t="shared" ca="1" si="354"/>
        <v>1.8387012057511058E-5</v>
      </c>
      <c r="AA581" s="2">
        <f t="shared" ca="1" si="355"/>
        <v>1.024461952435483E-2</v>
      </c>
      <c r="AB581" s="2">
        <f t="shared" ca="1" si="356"/>
        <v>8.5061812102303462E-4</v>
      </c>
      <c r="AC581" s="2">
        <f t="shared" ca="1" si="357"/>
        <v>6.2529202609788671E-5</v>
      </c>
      <c r="AD581" s="2">
        <f t="shared" ca="1" si="358"/>
        <v>0.20038015374616167</v>
      </c>
      <c r="AE581" s="2">
        <f t="shared" ca="1" si="359"/>
        <v>1.8387012057511058E-5</v>
      </c>
      <c r="AF581" s="2">
        <f t="shared" ca="1" si="360"/>
        <v>0.14508891852189212</v>
      </c>
      <c r="AG581" s="2">
        <f t="shared" ca="1" si="361"/>
        <v>1.743433678163177</v>
      </c>
      <c r="AI581" s="2">
        <f t="shared" ca="1" si="362"/>
        <v>-1.0915266873414097E-5</v>
      </c>
      <c r="AJ581" s="11">
        <f t="shared" ca="1" si="363"/>
        <v>1.8387012057511058E-5</v>
      </c>
      <c r="AK581" s="2">
        <f t="shared" ca="1" si="364"/>
        <v>1.0222926252211358E-2</v>
      </c>
      <c r="AL581" s="2">
        <f t="shared" ca="1" si="365"/>
        <v>8.4046476352438388E-4</v>
      </c>
      <c r="AM581" s="2">
        <f t="shared" ca="1" si="366"/>
        <v>6.2529202609788671E-5</v>
      </c>
      <c r="AN581" s="2">
        <f t="shared" ca="1" si="367"/>
        <v>0.20038015374616167</v>
      </c>
      <c r="AO581" s="2">
        <f t="shared" ca="1" si="368"/>
        <v>1.8387012057511058E-5</v>
      </c>
      <c r="AP581" s="2">
        <f t="shared" ca="1" si="369"/>
        <v>0.14508891852189212</v>
      </c>
      <c r="AQ581" s="2">
        <f t="shared" ca="1" si="370"/>
        <v>1.743433678163177</v>
      </c>
      <c r="AS581" s="2">
        <f t="shared" ca="1" si="371"/>
        <v>8.6996295015709073</v>
      </c>
      <c r="AT581" s="2">
        <f t="shared" ca="1" si="372"/>
        <v>0.40078935042889652</v>
      </c>
      <c r="AU581" s="2">
        <f t="shared" ca="1" si="373"/>
        <v>3.4228335587149691E-4</v>
      </c>
      <c r="AV581" s="2">
        <f t="shared" ca="1" si="374"/>
        <v>0.14478320251751672</v>
      </c>
      <c r="AW581" s="2">
        <f t="shared" ca="1" si="375"/>
        <v>0.7087579595771627</v>
      </c>
      <c r="AX581" s="2">
        <f t="shared" ca="1" si="376"/>
        <v>5.3147431707517401E-2</v>
      </c>
      <c r="AY581" s="9">
        <f t="shared" ca="1" si="377"/>
        <v>0.7087579595771627</v>
      </c>
      <c r="AZ581" s="9">
        <f t="shared" ca="1" si="378"/>
        <v>0.7087579595771627</v>
      </c>
      <c r="BA581" s="9"/>
      <c r="BB581" s="2">
        <f t="shared" ca="1" si="379"/>
        <v>8.7006305044147769</v>
      </c>
      <c r="BC581" s="2">
        <f t="shared" ca="1" si="380"/>
        <v>0.40083602569549781</v>
      </c>
      <c r="BD581" s="2">
        <f t="shared" ca="1" si="381"/>
        <v>3.3688855554822041E-4</v>
      </c>
      <c r="BE581" s="2">
        <f t="shared" ca="1" si="382"/>
        <v>0.1447520299663439</v>
      </c>
      <c r="BF581" s="2">
        <f t="shared" ca="1" si="383"/>
        <v>0.70865186451048323</v>
      </c>
      <c r="BG581" s="2">
        <f t="shared" ca="1" si="384"/>
        <v>5.3046960862083888E-2</v>
      </c>
      <c r="BH581" s="2">
        <f t="shared" ca="1" si="385"/>
        <v>0.70865186451048323</v>
      </c>
      <c r="BI581" s="2">
        <f t="shared" ca="1" si="386"/>
        <v>0.70865186451048323</v>
      </c>
    </row>
    <row r="582" spans="1:61" ht="15" x14ac:dyDescent="0.25">
      <c r="A582" s="66">
        <v>516</v>
      </c>
      <c r="B582" s="66">
        <v>1498730391.348</v>
      </c>
      <c r="C582" s="67">
        <v>2.33850394356122E-5</v>
      </c>
      <c r="D582" s="67">
        <v>2.9264559710593001E-5</v>
      </c>
      <c r="E582" s="67">
        <v>1.05709951553375E-2</v>
      </c>
      <c r="F582" s="67">
        <v>6.5874602124147905E-4</v>
      </c>
      <c r="G582" s="67">
        <v>-4.7955068153315698E-5</v>
      </c>
      <c r="H582" s="67">
        <v>0.19162388043554299</v>
      </c>
      <c r="I582" s="67">
        <v>2.9264559710593001E-5</v>
      </c>
      <c r="J582" s="67">
        <v>0.138598993812586</v>
      </c>
      <c r="K582" s="67">
        <v>1.66341892265777</v>
      </c>
      <c r="L582" s="67"/>
      <c r="M582" s="67"/>
      <c r="N582" s="16"/>
      <c r="O582" s="11">
        <f t="shared" ca="1" si="344"/>
        <v>1.0581108725652172E-5</v>
      </c>
      <c r="P582" s="11">
        <f t="shared" ca="1" si="345"/>
        <v>2.8499459480288259E-5</v>
      </c>
      <c r="Q582" s="11">
        <f t="shared" ca="1" si="346"/>
        <v>9.7345035430692149E-3</v>
      </c>
      <c r="R582" s="11">
        <f t="shared" ca="1" si="347"/>
        <v>6.4709953359513188E-4</v>
      </c>
      <c r="S582" s="11">
        <f t="shared" ca="1" si="348"/>
        <v>-5.8882720200285819E-5</v>
      </c>
      <c r="T582" s="11">
        <f t="shared" ca="1" si="349"/>
        <v>0.1904853253969607</v>
      </c>
      <c r="U582" s="11">
        <f t="shared" ca="1" si="350"/>
        <v>2.8499459480288259E-5</v>
      </c>
      <c r="V582" s="11">
        <f t="shared" ca="1" si="351"/>
        <v>0.13794879780689223</v>
      </c>
      <c r="W582" s="11">
        <f t="shared" ca="1" si="352"/>
        <v>1.656296074394265</v>
      </c>
      <c r="X582" s="11"/>
      <c r="Y582" s="2">
        <f t="shared" ca="1" si="353"/>
        <v>1.0581108725652172E-5</v>
      </c>
      <c r="Z582" s="11">
        <f t="shared" ca="1" si="354"/>
        <v>2.8499459480288259E-5</v>
      </c>
      <c r="AA582" s="2">
        <f t="shared" ca="1" si="355"/>
        <v>9.7342855008778241E-3</v>
      </c>
      <c r="AB582" s="2">
        <f t="shared" ca="1" si="356"/>
        <v>6.4182192146259632E-4</v>
      </c>
      <c r="AC582" s="2">
        <f t="shared" ca="1" si="357"/>
        <v>-5.8882720200285819E-5</v>
      </c>
      <c r="AD582" s="2">
        <f t="shared" ca="1" si="358"/>
        <v>0.1904469450157715</v>
      </c>
      <c r="AE582" s="2">
        <f t="shared" ca="1" si="359"/>
        <v>2.8499459480288259E-5</v>
      </c>
      <c r="AF582" s="2">
        <f t="shared" ca="1" si="360"/>
        <v>0.1378921192258914</v>
      </c>
      <c r="AG582" s="2">
        <f t="shared" ca="1" si="361"/>
        <v>1.6562730755446129</v>
      </c>
      <c r="AI582" s="2">
        <f t="shared" ca="1" si="362"/>
        <v>1.0581108725652172E-5</v>
      </c>
      <c r="AJ582" s="11">
        <f t="shared" ca="1" si="363"/>
        <v>2.8499459480288259E-5</v>
      </c>
      <c r="AK582" s="2">
        <f t="shared" ca="1" si="364"/>
        <v>9.7006614118461763E-3</v>
      </c>
      <c r="AL582" s="2">
        <f t="shared" ca="1" si="365"/>
        <v>6.260844433059171E-4</v>
      </c>
      <c r="AM582" s="2">
        <f t="shared" ca="1" si="366"/>
        <v>-5.8882720200285819E-5</v>
      </c>
      <c r="AN582" s="2">
        <f t="shared" ca="1" si="367"/>
        <v>0.1904469450157715</v>
      </c>
      <c r="AO582" s="2">
        <f t="shared" ca="1" si="368"/>
        <v>2.8499459480288259E-5</v>
      </c>
      <c r="AP582" s="2">
        <f t="shared" ca="1" si="369"/>
        <v>0.1378921192258914</v>
      </c>
      <c r="AQ582" s="2">
        <f t="shared" ca="1" si="370"/>
        <v>1.6562730755446129</v>
      </c>
      <c r="AS582" s="2">
        <f t="shared" ca="1" si="371"/>
        <v>8.6951373862665644</v>
      </c>
      <c r="AT582" s="2">
        <f t="shared" ca="1" si="372"/>
        <v>0.40057989060793209</v>
      </c>
      <c r="AU582" s="2">
        <f t="shared" ca="1" si="373"/>
        <v>2.5921506037998181E-4</v>
      </c>
      <c r="AV582" s="2">
        <f t="shared" ca="1" si="374"/>
        <v>0.13768958274651225</v>
      </c>
      <c r="AW582" s="2">
        <f t="shared" ca="1" si="375"/>
        <v>0.70931747692349612</v>
      </c>
      <c r="AX582" s="2">
        <f t="shared" ca="1" si="376"/>
        <v>5.310208999491197E-2</v>
      </c>
      <c r="AY582" s="9">
        <f t="shared" ca="1" si="377"/>
        <v>0.70931747692349612</v>
      </c>
      <c r="AZ582" s="9">
        <f t="shared" ca="1" si="378"/>
        <v>0.70931747692349612</v>
      </c>
      <c r="BA582" s="9"/>
      <c r="BB582" s="2">
        <f t="shared" ca="1" si="379"/>
        <v>8.6967689369207353</v>
      </c>
      <c r="BC582" s="2">
        <f t="shared" ca="1" si="380"/>
        <v>0.40065596693347433</v>
      </c>
      <c r="BD582" s="2">
        <f t="shared" ca="1" si="381"/>
        <v>2.508444680147382E-4</v>
      </c>
      <c r="BE582" s="2">
        <f t="shared" ca="1" si="382"/>
        <v>0.13764127475787666</v>
      </c>
      <c r="BF582" s="2">
        <f t="shared" ca="1" si="383"/>
        <v>0.70914450534255291</v>
      </c>
      <c r="BG582" s="2">
        <f t="shared" ca="1" si="384"/>
        <v>5.2938306561697068E-2</v>
      </c>
      <c r="BH582" s="2">
        <f t="shared" ca="1" si="385"/>
        <v>0.70914450534255291</v>
      </c>
      <c r="BI582" s="2">
        <f t="shared" ca="1" si="386"/>
        <v>0.70914450534255291</v>
      </c>
    </row>
    <row r="583" spans="1:61" ht="15" x14ac:dyDescent="0.25">
      <c r="A583" s="66">
        <v>517</v>
      </c>
      <c r="B583" s="66">
        <v>1498730391.875</v>
      </c>
      <c r="C583" s="67">
        <v>-2.5040204466229901E-5</v>
      </c>
      <c r="D583" s="67">
        <v>-2.2444565881720101E-5</v>
      </c>
      <c r="E583" s="67">
        <v>1.06256721069358E-2</v>
      </c>
      <c r="F583" s="67">
        <v>5.0161753005700696E-4</v>
      </c>
      <c r="G583" s="67">
        <v>-2.4541257497248199E-5</v>
      </c>
      <c r="H583" s="67">
        <v>0.193500246215112</v>
      </c>
      <c r="I583" s="67">
        <v>-2.2444565881720101E-5</v>
      </c>
      <c r="J583" s="67">
        <v>0.13988905701615201</v>
      </c>
      <c r="K583" s="67">
        <v>1.68018130426274</v>
      </c>
      <c r="L583" s="67"/>
      <c r="M583" s="67"/>
      <c r="N583" s="16"/>
      <c r="O583" s="11">
        <f t="shared" ca="1" si="344"/>
        <v>-3.7844135176189929E-5</v>
      </c>
      <c r="P583" s="11">
        <f t="shared" ca="1" si="345"/>
        <v>-2.3209666112024843E-5</v>
      </c>
      <c r="Q583" s="11">
        <f t="shared" ca="1" si="346"/>
        <v>9.789180494667515E-3</v>
      </c>
      <c r="R583" s="11">
        <f t="shared" ca="1" si="347"/>
        <v>4.899710424106598E-4</v>
      </c>
      <c r="S583" s="11">
        <f t="shared" ca="1" si="348"/>
        <v>-3.5468909544218323E-5</v>
      </c>
      <c r="T583" s="11">
        <f t="shared" ca="1" si="349"/>
        <v>0.19236169117652971</v>
      </c>
      <c r="U583" s="11">
        <f t="shared" ca="1" si="350"/>
        <v>-2.3209666112024843E-5</v>
      </c>
      <c r="V583" s="11">
        <f t="shared" ca="1" si="351"/>
        <v>0.13923886101045824</v>
      </c>
      <c r="W583" s="11">
        <f t="shared" ca="1" si="352"/>
        <v>1.673058455999235</v>
      </c>
      <c r="X583" s="11"/>
      <c r="Y583" s="2">
        <f t="shared" ca="1" si="353"/>
        <v>-3.7844135176189929E-5</v>
      </c>
      <c r="Z583" s="11">
        <f t="shared" ca="1" si="354"/>
        <v>-2.3209666112024843E-5</v>
      </c>
      <c r="AA583" s="2">
        <f t="shared" ca="1" si="355"/>
        <v>9.789180494667515E-3</v>
      </c>
      <c r="AB583" s="2">
        <f t="shared" ca="1" si="356"/>
        <v>4.899710424106598E-4</v>
      </c>
      <c r="AC583" s="2">
        <f t="shared" ca="1" si="357"/>
        <v>-3.5468909544218323E-5</v>
      </c>
      <c r="AD583" s="2">
        <f t="shared" ca="1" si="358"/>
        <v>0.19236169117652971</v>
      </c>
      <c r="AE583" s="2">
        <f t="shared" ca="1" si="359"/>
        <v>-2.3209666112024843E-5</v>
      </c>
      <c r="AF583" s="2">
        <f t="shared" ca="1" si="360"/>
        <v>0.13923886101045824</v>
      </c>
      <c r="AG583" s="2">
        <f t="shared" ca="1" si="361"/>
        <v>1.673058455999235</v>
      </c>
      <c r="AI583" s="2">
        <f t="shared" ca="1" si="362"/>
        <v>-3.7844135176189929E-5</v>
      </c>
      <c r="AJ583" s="11">
        <f t="shared" ca="1" si="363"/>
        <v>-2.3209666112024843E-5</v>
      </c>
      <c r="AK583" s="2">
        <f t="shared" ca="1" si="364"/>
        <v>9.789180494667515E-3</v>
      </c>
      <c r="AL583" s="2">
        <f t="shared" ca="1" si="365"/>
        <v>4.899710424106598E-4</v>
      </c>
      <c r="AM583" s="2">
        <f t="shared" ca="1" si="366"/>
        <v>-3.5468909544218323E-5</v>
      </c>
      <c r="AN583" s="2">
        <f t="shared" ca="1" si="367"/>
        <v>0.19236169117652971</v>
      </c>
      <c r="AO583" s="2">
        <f t="shared" ca="1" si="368"/>
        <v>-2.3209666112024843E-5</v>
      </c>
      <c r="AP583" s="2">
        <f t="shared" ca="1" si="369"/>
        <v>0.13923886101045824</v>
      </c>
      <c r="AQ583" s="2">
        <f t="shared" ca="1" si="370"/>
        <v>1.673058455999235</v>
      </c>
      <c r="AS583" s="2">
        <f t="shared" ca="1" si="371"/>
        <v>8.6974617750884438</v>
      </c>
      <c r="AT583" s="2">
        <f t="shared" ca="1" si="372"/>
        <v>0.40068827280598573</v>
      </c>
      <c r="AU583" s="2">
        <f t="shared" ca="1" si="373"/>
        <v>1.9632565070847567E-4</v>
      </c>
      <c r="AV583" s="2">
        <f t="shared" ca="1" si="374"/>
        <v>0.13904253535974975</v>
      </c>
      <c r="AW583" s="2">
        <f t="shared" ca="1" si="375"/>
        <v>0.70920491267378194</v>
      </c>
      <c r="AX583" s="2">
        <f t="shared" ca="1" si="376"/>
        <v>5.2893932887875646E-2</v>
      </c>
      <c r="AY583" s="9">
        <f t="shared" ca="1" si="377"/>
        <v>0.70920491267378194</v>
      </c>
      <c r="AZ583" s="9">
        <f t="shared" ca="1" si="378"/>
        <v>0.70920491267378194</v>
      </c>
      <c r="BA583" s="9"/>
      <c r="BB583" s="2">
        <f t="shared" ca="1" si="379"/>
        <v>8.6974617750884438</v>
      </c>
      <c r="BC583" s="2">
        <f t="shared" ca="1" si="380"/>
        <v>0.40068827280598573</v>
      </c>
      <c r="BD583" s="2">
        <f t="shared" ca="1" si="381"/>
        <v>1.9632565070847567E-4</v>
      </c>
      <c r="BE583" s="2">
        <f t="shared" ca="1" si="382"/>
        <v>0.13904253535974975</v>
      </c>
      <c r="BF583" s="2">
        <f t="shared" ca="1" si="383"/>
        <v>0.70920491267378194</v>
      </c>
      <c r="BG583" s="2">
        <f t="shared" ca="1" si="384"/>
        <v>5.2893932887875646E-2</v>
      </c>
      <c r="BH583" s="2">
        <f t="shared" ca="1" si="385"/>
        <v>0.70920491267378194</v>
      </c>
      <c r="BI583" s="2">
        <f t="shared" ca="1" si="386"/>
        <v>0.70920491267378194</v>
      </c>
    </row>
    <row r="584" spans="1:61" ht="15" x14ac:dyDescent="0.25">
      <c r="A584" s="66">
        <v>518</v>
      </c>
      <c r="B584" s="66">
        <v>1498730392.402</v>
      </c>
      <c r="C584" s="67">
        <v>7.9372291636713204E-5</v>
      </c>
      <c r="D584" s="67">
        <v>5.3179401282339599E-5</v>
      </c>
      <c r="E584" s="67">
        <v>1.1275615104226901E-2</v>
      </c>
      <c r="F584" s="67">
        <v>6.5422227975217996E-4</v>
      </c>
      <c r="G584" s="67">
        <v>2.6729639852658499E-5</v>
      </c>
      <c r="H584" s="67">
        <v>0.20698495211527501</v>
      </c>
      <c r="I584" s="67">
        <v>5.3179401282339599E-5</v>
      </c>
      <c r="J584" s="67">
        <v>0.14951049213086301</v>
      </c>
      <c r="K584" s="67">
        <v>1.7949206357854699</v>
      </c>
      <c r="L584" s="67"/>
      <c r="M584" s="67"/>
      <c r="N584" s="16"/>
      <c r="O584" s="11">
        <f t="shared" ca="1" si="344"/>
        <v>6.6568360926753169E-5</v>
      </c>
      <c r="P584" s="11">
        <f t="shared" ca="1" si="345"/>
        <v>5.241430105203486E-5</v>
      </c>
      <c r="Q584" s="11">
        <f t="shared" ca="1" si="346"/>
        <v>1.0439123491958616E-2</v>
      </c>
      <c r="R584" s="11">
        <f t="shared" ca="1" si="347"/>
        <v>6.425757921058328E-4</v>
      </c>
      <c r="S584" s="11">
        <f t="shared" ca="1" si="348"/>
        <v>1.5801987805688375E-5</v>
      </c>
      <c r="T584" s="11">
        <f t="shared" ca="1" si="349"/>
        <v>0.20584639707669272</v>
      </c>
      <c r="U584" s="11">
        <f t="shared" ca="1" si="350"/>
        <v>5.241430105203486E-5</v>
      </c>
      <c r="V584" s="11">
        <f t="shared" ca="1" si="351"/>
        <v>0.14886029612516924</v>
      </c>
      <c r="W584" s="11">
        <f t="shared" ca="1" si="352"/>
        <v>1.7877977875219648</v>
      </c>
      <c r="X584" s="11"/>
      <c r="Y584" s="2">
        <f t="shared" ca="1" si="353"/>
        <v>6.6568360926753169E-5</v>
      </c>
      <c r="Z584" s="11">
        <f t="shared" ca="1" si="354"/>
        <v>5.241430105203486E-5</v>
      </c>
      <c r="AA584" s="2">
        <f t="shared" ca="1" si="355"/>
        <v>1.0438722483333539E-2</v>
      </c>
      <c r="AB584" s="2">
        <f t="shared" ca="1" si="356"/>
        <v>6.3286956061249814E-4</v>
      </c>
      <c r="AC584" s="2">
        <f t="shared" ca="1" si="357"/>
        <v>1.5801987805688375E-5</v>
      </c>
      <c r="AD584" s="2">
        <f t="shared" ca="1" si="358"/>
        <v>0.20577581044484683</v>
      </c>
      <c r="AE584" s="2">
        <f t="shared" ca="1" si="359"/>
        <v>5.241430105203486E-5</v>
      </c>
      <c r="AF584" s="2">
        <f t="shared" ca="1" si="360"/>
        <v>0.14875605666723027</v>
      </c>
      <c r="AG584" s="2">
        <f t="shared" ca="1" si="361"/>
        <v>1.7877554895748635</v>
      </c>
      <c r="AI584" s="2">
        <f t="shared" ca="1" si="362"/>
        <v>6.6568360926753169E-5</v>
      </c>
      <c r="AJ584" s="11">
        <f t="shared" ca="1" si="363"/>
        <v>5.241430105203486E-5</v>
      </c>
      <c r="AK584" s="2">
        <f t="shared" ca="1" si="364"/>
        <v>1.0376883306126539E-2</v>
      </c>
      <c r="AL584" s="2">
        <f t="shared" ca="1" si="365"/>
        <v>6.0392624263572983E-4</v>
      </c>
      <c r="AM584" s="2">
        <f t="shared" ca="1" si="366"/>
        <v>1.5801987805688375E-5</v>
      </c>
      <c r="AN584" s="2">
        <f t="shared" ca="1" si="367"/>
        <v>0.20577581044484683</v>
      </c>
      <c r="AO584" s="2">
        <f t="shared" ca="1" si="368"/>
        <v>5.241430105203486E-5</v>
      </c>
      <c r="AP584" s="2">
        <f t="shared" ca="1" si="369"/>
        <v>0.14875605666723027</v>
      </c>
      <c r="AQ584" s="2">
        <f t="shared" ca="1" si="370"/>
        <v>1.7877554895748635</v>
      </c>
      <c r="AS584" s="2">
        <f t="shared" ca="1" si="371"/>
        <v>8.685106044658534</v>
      </c>
      <c r="AT584" s="2">
        <f t="shared" ca="1" si="372"/>
        <v>0.4001121506709282</v>
      </c>
      <c r="AU584" s="2">
        <f t="shared" ca="1" si="373"/>
        <v>2.5710238214854002E-4</v>
      </c>
      <c r="AV584" s="2">
        <f t="shared" ca="1" si="374"/>
        <v>0.1486031937430207</v>
      </c>
      <c r="AW584" s="2">
        <f t="shared" ca="1" si="375"/>
        <v>0.70882403781320868</v>
      </c>
      <c r="AX584" s="2">
        <f t="shared" ca="1" si="376"/>
        <v>5.2634089836220928E-2</v>
      </c>
      <c r="AY584" s="9">
        <f t="shared" ca="1" si="377"/>
        <v>0.70882403781320868</v>
      </c>
      <c r="AZ584" s="9">
        <f t="shared" ca="1" si="378"/>
        <v>0.70882403781320868</v>
      </c>
      <c r="BA584" s="9"/>
      <c r="BB584" s="2">
        <f t="shared" ca="1" si="379"/>
        <v>8.6878797158426337</v>
      </c>
      <c r="BC584" s="2">
        <f t="shared" ca="1" si="380"/>
        <v>0.40024148035226659</v>
      </c>
      <c r="BD584" s="2">
        <f t="shared" ca="1" si="381"/>
        <v>2.4171633337610664E-4</v>
      </c>
      <c r="BE584" s="2">
        <f t="shared" ca="1" si="382"/>
        <v>0.14851434033385416</v>
      </c>
      <c r="BF584" s="2">
        <f t="shared" ca="1" si="383"/>
        <v>0.70852927342604588</v>
      </c>
      <c r="BG584" s="2">
        <f t="shared" ca="1" si="384"/>
        <v>5.2355325302219861E-2</v>
      </c>
      <c r="BH584" s="2">
        <f t="shared" ca="1" si="385"/>
        <v>0.70852927342604588</v>
      </c>
      <c r="BI584" s="2">
        <f t="shared" ca="1" si="386"/>
        <v>0.70852927342604588</v>
      </c>
    </row>
    <row r="585" spans="1:61" ht="15" x14ac:dyDescent="0.25">
      <c r="A585" s="66">
        <v>519</v>
      </c>
      <c r="B585" s="66">
        <v>1498730392.9289999</v>
      </c>
      <c r="C585" s="67">
        <v>-8.9774587008769295E-6</v>
      </c>
      <c r="D585" s="67">
        <v>-5.0331260974789301E-5</v>
      </c>
      <c r="E585" s="67">
        <v>1.18054929935045E-2</v>
      </c>
      <c r="F585" s="67">
        <v>5.9565358164263903E-4</v>
      </c>
      <c r="G585" s="67">
        <v>1.9242148806681099E-5</v>
      </c>
      <c r="H585" s="67">
        <v>0.217218670158004</v>
      </c>
      <c r="I585" s="67">
        <v>-5.0331260974789301E-5</v>
      </c>
      <c r="J585" s="67">
        <v>0.15710288420302501</v>
      </c>
      <c r="K585" s="67">
        <v>1.88508559201951</v>
      </c>
      <c r="L585" s="67"/>
      <c r="M585" s="67"/>
      <c r="N585" s="16"/>
      <c r="O585" s="11">
        <f t="shared" ca="1" si="344"/>
        <v>-2.1781389410836957E-5</v>
      </c>
      <c r="P585" s="11">
        <f t="shared" ca="1" si="345"/>
        <v>-5.109636120509404E-5</v>
      </c>
      <c r="Q585" s="11">
        <f t="shared" ca="1" si="346"/>
        <v>1.0969001381236215E-2</v>
      </c>
      <c r="R585" s="11">
        <f t="shared" ca="1" si="347"/>
        <v>5.8400709399629186E-4</v>
      </c>
      <c r="S585" s="11">
        <f t="shared" ca="1" si="348"/>
        <v>8.3144967597109761E-6</v>
      </c>
      <c r="T585" s="11">
        <f t="shared" ca="1" si="349"/>
        <v>0.21608011511942171</v>
      </c>
      <c r="U585" s="11">
        <f t="shared" ca="1" si="350"/>
        <v>-5.109636120509404E-5</v>
      </c>
      <c r="V585" s="11">
        <f t="shared" ca="1" si="351"/>
        <v>0.15645268819733124</v>
      </c>
      <c r="W585" s="11">
        <f t="shared" ca="1" si="352"/>
        <v>1.8779627437560049</v>
      </c>
      <c r="X585" s="11"/>
      <c r="Y585" s="2">
        <f t="shared" ca="1" si="353"/>
        <v>-2.1781389410836957E-5</v>
      </c>
      <c r="Z585" s="11">
        <f t="shared" ca="1" si="354"/>
        <v>-5.109636120509404E-5</v>
      </c>
      <c r="AA585" s="2">
        <f t="shared" ca="1" si="355"/>
        <v>1.0969001381236215E-2</v>
      </c>
      <c r="AB585" s="2">
        <f t="shared" ca="1" si="356"/>
        <v>5.8400709399629186E-4</v>
      </c>
      <c r="AC585" s="2">
        <f t="shared" ca="1" si="357"/>
        <v>8.3144967597109761E-6</v>
      </c>
      <c r="AD585" s="2">
        <f t="shared" ca="1" si="358"/>
        <v>0.21608011511942171</v>
      </c>
      <c r="AE585" s="2">
        <f t="shared" ca="1" si="359"/>
        <v>-5.109636120509404E-5</v>
      </c>
      <c r="AF585" s="2">
        <f t="shared" ca="1" si="360"/>
        <v>0.15645268819733124</v>
      </c>
      <c r="AG585" s="2">
        <f t="shared" ca="1" si="361"/>
        <v>1.8779627437560049</v>
      </c>
      <c r="AI585" s="2">
        <f t="shared" ca="1" si="362"/>
        <v>-2.1781389410836957E-5</v>
      </c>
      <c r="AJ585" s="11">
        <f t="shared" ca="1" si="363"/>
        <v>-5.109636120509404E-5</v>
      </c>
      <c r="AK585" s="2">
        <f t="shared" ca="1" si="364"/>
        <v>1.0969001381236215E-2</v>
      </c>
      <c r="AL585" s="2">
        <f t="shared" ca="1" si="365"/>
        <v>5.8400709399629186E-4</v>
      </c>
      <c r="AM585" s="2">
        <f t="shared" ca="1" si="366"/>
        <v>8.3144967597109761E-6</v>
      </c>
      <c r="AN585" s="2">
        <f t="shared" ca="1" si="367"/>
        <v>0.21608011511942171</v>
      </c>
      <c r="AO585" s="2">
        <f t="shared" ca="1" si="368"/>
        <v>-5.109636120509404E-5</v>
      </c>
      <c r="AP585" s="2">
        <f t="shared" ca="1" si="369"/>
        <v>0.15645268819733124</v>
      </c>
      <c r="AQ585" s="2">
        <f t="shared" ca="1" si="370"/>
        <v>1.8779627437560049</v>
      </c>
      <c r="AS585" s="2">
        <f t="shared" ca="1" si="371"/>
        <v>8.6910484230263627</v>
      </c>
      <c r="AT585" s="2">
        <f t="shared" ca="1" si="372"/>
        <v>0.40038923023427037</v>
      </c>
      <c r="AU585" s="2">
        <f t="shared" ca="1" si="373"/>
        <v>2.3383015081652848E-4</v>
      </c>
      <c r="AV585" s="2">
        <f t="shared" ca="1" si="374"/>
        <v>0.15621885804651472</v>
      </c>
      <c r="AW585" s="2">
        <f t="shared" ca="1" si="375"/>
        <v>0.7096147441279852</v>
      </c>
      <c r="AX585" s="2">
        <f t="shared" ca="1" si="376"/>
        <v>5.2723300724242882E-2</v>
      </c>
      <c r="AY585" s="9" t="str">
        <f t="shared" ca="1" si="377"/>
        <v>rejected</v>
      </c>
      <c r="AZ585" s="9" t="e">
        <f t="shared" ca="1" si="378"/>
        <v>#N/A</v>
      </c>
      <c r="BA585" s="9"/>
      <c r="BB585" s="2">
        <f t="shared" ca="1" si="379"/>
        <v>8.6910484230263627</v>
      </c>
      <c r="BC585" s="2">
        <f t="shared" ca="1" si="380"/>
        <v>0.40038923023427037</v>
      </c>
      <c r="BD585" s="2">
        <f t="shared" ca="1" si="381"/>
        <v>2.3383015081652848E-4</v>
      </c>
      <c r="BE585" s="2">
        <f t="shared" ca="1" si="382"/>
        <v>0.15621885804651472</v>
      </c>
      <c r="BF585" s="2">
        <f t="shared" ca="1" si="383"/>
        <v>0.7096147441279852</v>
      </c>
      <c r="BG585" s="2">
        <f t="shared" ca="1" si="384"/>
        <v>5.2723300724242882E-2</v>
      </c>
      <c r="BH585" s="2" t="str">
        <f t="shared" ca="1" si="385"/>
        <v>rejected</v>
      </c>
      <c r="BI585" s="2" t="e">
        <f t="shared" ca="1" si="386"/>
        <v>#N/A</v>
      </c>
    </row>
    <row r="586" spans="1:61" ht="15" x14ac:dyDescent="0.25">
      <c r="A586" s="66">
        <v>520</v>
      </c>
      <c r="B586" s="66">
        <v>1498730393.4560001</v>
      </c>
      <c r="C586" s="67">
        <v>6.0473287883610703E-5</v>
      </c>
      <c r="D586" s="67">
        <v>-1.01398133101262E-5</v>
      </c>
      <c r="E586" s="67">
        <v>1.20129958840497E-2</v>
      </c>
      <c r="F586" s="67">
        <v>5.9136820196804298E-4</v>
      </c>
      <c r="G586" s="67">
        <v>-1.6774648405934301E-5</v>
      </c>
      <c r="H586" s="67">
        <v>0.22062318106988499</v>
      </c>
      <c r="I586" s="67">
        <v>-1.01398133101262E-5</v>
      </c>
      <c r="J586" s="67">
        <v>0.15950117345842399</v>
      </c>
      <c r="K586" s="67">
        <v>1.9151370616985299</v>
      </c>
      <c r="L586" s="67"/>
      <c r="M586" s="67"/>
      <c r="N586" s="16"/>
      <c r="O586" s="11">
        <f t="shared" ca="1" si="344"/>
        <v>4.7669357173650676E-5</v>
      </c>
      <c r="P586" s="11">
        <f t="shared" ca="1" si="345"/>
        <v>-1.0904913540430941E-5</v>
      </c>
      <c r="Q586" s="11">
        <f t="shared" ca="1" si="346"/>
        <v>1.1176504271781415E-2</v>
      </c>
      <c r="R586" s="11">
        <f t="shared" ca="1" si="347"/>
        <v>5.7972171432169582E-4</v>
      </c>
      <c r="S586" s="11">
        <f t="shared" ca="1" si="348"/>
        <v>-2.7702300452904425E-5</v>
      </c>
      <c r="T586" s="11">
        <f t="shared" ca="1" si="349"/>
        <v>0.2194846260313027</v>
      </c>
      <c r="U586" s="11">
        <f t="shared" ca="1" si="350"/>
        <v>-1.0904913540430941E-5</v>
      </c>
      <c r="V586" s="11">
        <f t="shared" ca="1" si="351"/>
        <v>0.15885097745273022</v>
      </c>
      <c r="W586" s="11">
        <f t="shared" ca="1" si="352"/>
        <v>1.9080142134350249</v>
      </c>
      <c r="X586" s="11"/>
      <c r="Y586" s="2">
        <f t="shared" ca="1" si="353"/>
        <v>4.7669357173650676E-5</v>
      </c>
      <c r="Z586" s="11">
        <f t="shared" ca="1" si="354"/>
        <v>-1.0904913540430941E-5</v>
      </c>
      <c r="AA586" s="2">
        <f t="shared" ca="1" si="355"/>
        <v>1.1176504271781415E-2</v>
      </c>
      <c r="AB586" s="2">
        <f t="shared" ca="1" si="356"/>
        <v>5.7972171432169582E-4</v>
      </c>
      <c r="AC586" s="2">
        <f t="shared" ca="1" si="357"/>
        <v>-2.7702300452904425E-5</v>
      </c>
      <c r="AD586" s="2">
        <f t="shared" ca="1" si="358"/>
        <v>0.2194846260313027</v>
      </c>
      <c r="AE586" s="2">
        <f t="shared" ca="1" si="359"/>
        <v>-1.0904913540430941E-5</v>
      </c>
      <c r="AF586" s="2">
        <f t="shared" ca="1" si="360"/>
        <v>0.15885097745273022</v>
      </c>
      <c r="AG586" s="2">
        <f t="shared" ca="1" si="361"/>
        <v>1.9080142134350249</v>
      </c>
      <c r="AI586" s="2">
        <f t="shared" ca="1" si="362"/>
        <v>4.7669357173650676E-5</v>
      </c>
      <c r="AJ586" s="11">
        <f t="shared" ca="1" si="363"/>
        <v>-1.0904913540430941E-5</v>
      </c>
      <c r="AK586" s="2">
        <f t="shared" ca="1" si="364"/>
        <v>1.1176504271781415E-2</v>
      </c>
      <c r="AL586" s="2">
        <f t="shared" ca="1" si="365"/>
        <v>5.7972171432169582E-4</v>
      </c>
      <c r="AM586" s="2">
        <f t="shared" ca="1" si="366"/>
        <v>-2.7702300452904425E-5</v>
      </c>
      <c r="AN586" s="2">
        <f t="shared" ca="1" si="367"/>
        <v>0.2194846260313027</v>
      </c>
      <c r="AO586" s="2">
        <f t="shared" ca="1" si="368"/>
        <v>-1.0904913540430941E-5</v>
      </c>
      <c r="AP586" s="2">
        <f t="shared" ca="1" si="369"/>
        <v>0.15885097745273022</v>
      </c>
      <c r="AQ586" s="2">
        <f t="shared" ca="1" si="370"/>
        <v>1.9080142134350249</v>
      </c>
      <c r="AS586" s="2">
        <f t="shared" ca="1" si="371"/>
        <v>8.6931565455655448</v>
      </c>
      <c r="AT586" s="2">
        <f t="shared" ca="1" si="372"/>
        <v>0.40048752773708918</v>
      </c>
      <c r="AU586" s="2">
        <f t="shared" ca="1" si="373"/>
        <v>2.3217131614420303E-4</v>
      </c>
      <c r="AV586" s="2">
        <f t="shared" ca="1" si="374"/>
        <v>0.15861880613658602</v>
      </c>
      <c r="AW586" s="2">
        <f t="shared" ca="1" si="375"/>
        <v>0.70925352355633864</v>
      </c>
      <c r="AX586" s="2">
        <f t="shared" ca="1" si="376"/>
        <v>5.2900523005810662E-2</v>
      </c>
      <c r="AY586" s="9">
        <f t="shared" ca="1" si="377"/>
        <v>0.70925352355633864</v>
      </c>
      <c r="AZ586" s="9">
        <f t="shared" ca="1" si="378"/>
        <v>0.70925352355633864</v>
      </c>
      <c r="BA586" s="9"/>
      <c r="BB586" s="2">
        <f t="shared" ca="1" si="379"/>
        <v>8.6931565455655448</v>
      </c>
      <c r="BC586" s="2">
        <f t="shared" ca="1" si="380"/>
        <v>0.40048752773708918</v>
      </c>
      <c r="BD586" s="2">
        <f t="shared" ca="1" si="381"/>
        <v>2.3217131614420303E-4</v>
      </c>
      <c r="BE586" s="2">
        <f t="shared" ca="1" si="382"/>
        <v>0.15861880613658602</v>
      </c>
      <c r="BF586" s="2">
        <f t="shared" ca="1" si="383"/>
        <v>0.70925352355633864</v>
      </c>
      <c r="BG586" s="2">
        <f t="shared" ca="1" si="384"/>
        <v>5.2900523005810662E-2</v>
      </c>
      <c r="BH586" s="2">
        <f t="shared" ca="1" si="385"/>
        <v>0.70925352355633864</v>
      </c>
      <c r="BI586" s="2">
        <f t="shared" ca="1" si="386"/>
        <v>0.70925352355633864</v>
      </c>
    </row>
    <row r="587" spans="1:61" ht="15" x14ac:dyDescent="0.25">
      <c r="A587" s="66">
        <v>521</v>
      </c>
      <c r="B587" s="66">
        <v>1498730393.983</v>
      </c>
      <c r="C587" s="67">
        <v>-3.9449211014029703E-5</v>
      </c>
      <c r="D587" s="67">
        <v>-3.2008626035132801E-5</v>
      </c>
      <c r="E587" s="67">
        <v>1.21210972079054E-2</v>
      </c>
      <c r="F587" s="67">
        <v>6.7565071021969195E-4</v>
      </c>
      <c r="G587" s="67">
        <v>-2.91773969684325E-5</v>
      </c>
      <c r="H587" s="67">
        <v>0.22216436540895201</v>
      </c>
      <c r="I587" s="67">
        <v>-3.2008626035132801E-5</v>
      </c>
      <c r="J587" s="67">
        <v>0.16040615670809799</v>
      </c>
      <c r="K587" s="67">
        <v>1.9277756260698899</v>
      </c>
      <c r="L587" s="67"/>
      <c r="M587" s="67"/>
      <c r="N587" s="16"/>
      <c r="O587" s="11">
        <f t="shared" ca="1" si="344"/>
        <v>-5.2253141723989731E-5</v>
      </c>
      <c r="P587" s="11">
        <f t="shared" ca="1" si="345"/>
        <v>-3.2773726265437539E-5</v>
      </c>
      <c r="Q587" s="11">
        <f t="shared" ca="1" si="346"/>
        <v>1.1284605595637116E-2</v>
      </c>
      <c r="R587" s="11">
        <f t="shared" ca="1" si="347"/>
        <v>6.6400422257334479E-4</v>
      </c>
      <c r="S587" s="11">
        <f t="shared" ca="1" si="348"/>
        <v>-4.010504901540262E-5</v>
      </c>
      <c r="T587" s="11">
        <f t="shared" ca="1" si="349"/>
        <v>0.22102581037036972</v>
      </c>
      <c r="U587" s="11">
        <f t="shared" ca="1" si="350"/>
        <v>-3.2773726265437539E-5</v>
      </c>
      <c r="V587" s="11">
        <f t="shared" ca="1" si="351"/>
        <v>0.15975596070240422</v>
      </c>
      <c r="W587" s="11">
        <f t="shared" ca="1" si="352"/>
        <v>1.9206527778063849</v>
      </c>
      <c r="X587" s="11"/>
      <c r="Y587" s="2">
        <f t="shared" ca="1" si="353"/>
        <v>-5.2253141723989731E-5</v>
      </c>
      <c r="Z587" s="11">
        <f t="shared" ca="1" si="354"/>
        <v>-3.2773726265437539E-5</v>
      </c>
      <c r="AA587" s="2">
        <f t="shared" ca="1" si="355"/>
        <v>1.1284605595637116E-2</v>
      </c>
      <c r="AB587" s="2">
        <f t="shared" ca="1" si="356"/>
        <v>6.6400422257334479E-4</v>
      </c>
      <c r="AC587" s="2">
        <f t="shared" ca="1" si="357"/>
        <v>-4.010504901540262E-5</v>
      </c>
      <c r="AD587" s="2">
        <f t="shared" ca="1" si="358"/>
        <v>0.22102581037036972</v>
      </c>
      <c r="AE587" s="2">
        <f t="shared" ca="1" si="359"/>
        <v>-3.2773726265437539E-5</v>
      </c>
      <c r="AF587" s="2">
        <f t="shared" ca="1" si="360"/>
        <v>0.15975596070240422</v>
      </c>
      <c r="AG587" s="2">
        <f t="shared" ca="1" si="361"/>
        <v>1.9206527778063849</v>
      </c>
      <c r="AI587" s="2">
        <f t="shared" ca="1" si="362"/>
        <v>-5.2253141723989731E-5</v>
      </c>
      <c r="AJ587" s="11">
        <f t="shared" ca="1" si="363"/>
        <v>-3.2773726265437539E-5</v>
      </c>
      <c r="AK587" s="2">
        <f t="shared" ca="1" si="364"/>
        <v>1.1284605595637116E-2</v>
      </c>
      <c r="AL587" s="2">
        <f t="shared" ca="1" si="365"/>
        <v>6.6400422257334479E-4</v>
      </c>
      <c r="AM587" s="2">
        <f t="shared" ca="1" si="366"/>
        <v>-4.010504901540262E-5</v>
      </c>
      <c r="AN587" s="2">
        <f t="shared" ca="1" si="367"/>
        <v>0.22102581037036972</v>
      </c>
      <c r="AO587" s="2">
        <f t="shared" ca="1" si="368"/>
        <v>-3.2773726265437539E-5</v>
      </c>
      <c r="AP587" s="2">
        <f t="shared" ca="1" si="369"/>
        <v>0.15975596070240422</v>
      </c>
      <c r="AQ587" s="2">
        <f t="shared" ca="1" si="370"/>
        <v>1.9206527778063849</v>
      </c>
      <c r="AS587" s="2">
        <f t="shared" ca="1" si="371"/>
        <v>8.6897216872001284</v>
      </c>
      <c r="AT587" s="2">
        <f t="shared" ca="1" si="372"/>
        <v>0.40032736736641888</v>
      </c>
      <c r="AU587" s="2">
        <f t="shared" ca="1" si="373"/>
        <v>2.6581906234297278E-4</v>
      </c>
      <c r="AV587" s="2">
        <f t="shared" ca="1" si="374"/>
        <v>0.15949014164006126</v>
      </c>
      <c r="AW587" s="2">
        <f t="shared" ca="1" si="375"/>
        <v>0.70831789821357682</v>
      </c>
      <c r="AX587" s="2">
        <f t="shared" ca="1" si="376"/>
        <v>5.3018306551968708E-2</v>
      </c>
      <c r="AY587" s="9">
        <f t="shared" ca="1" si="377"/>
        <v>0.70831789821357682</v>
      </c>
      <c r="AZ587" s="9">
        <f t="shared" ca="1" si="378"/>
        <v>0.70831789821357682</v>
      </c>
      <c r="BA587" s="9"/>
      <c r="BB587" s="2">
        <f t="shared" ca="1" si="379"/>
        <v>8.6897216872001284</v>
      </c>
      <c r="BC587" s="2">
        <f t="shared" ca="1" si="380"/>
        <v>0.40032736736641888</v>
      </c>
      <c r="BD587" s="2">
        <f t="shared" ca="1" si="381"/>
        <v>2.6581906234297278E-4</v>
      </c>
      <c r="BE587" s="2">
        <f t="shared" ca="1" si="382"/>
        <v>0.15949014164006126</v>
      </c>
      <c r="BF587" s="2">
        <f t="shared" ca="1" si="383"/>
        <v>0.70831789821357682</v>
      </c>
      <c r="BG587" s="2">
        <f t="shared" ca="1" si="384"/>
        <v>5.3018306551968708E-2</v>
      </c>
      <c r="BH587" s="2">
        <f t="shared" ca="1" si="385"/>
        <v>0.70831789821357682</v>
      </c>
      <c r="BI587" s="2">
        <f t="shared" ca="1" si="386"/>
        <v>0.70831789821357682</v>
      </c>
    </row>
    <row r="588" spans="1:61" ht="15" x14ac:dyDescent="0.25">
      <c r="A588" s="66">
        <v>522</v>
      </c>
      <c r="B588" s="66">
        <v>1498730394.51</v>
      </c>
      <c r="C588" s="67">
        <v>-9.14143816104181E-5</v>
      </c>
      <c r="D588" s="67">
        <v>-5.2977934340703503E-6</v>
      </c>
      <c r="E588" s="67">
        <v>1.2069813847154101E-2</v>
      </c>
      <c r="F588" s="67">
        <v>7.5255875140903901E-4</v>
      </c>
      <c r="G588" s="67">
        <v>-8.5923067634638E-5</v>
      </c>
      <c r="H588" s="67">
        <v>0.22054202794774799</v>
      </c>
      <c r="I588" s="67">
        <v>-5.2977934340703503E-6</v>
      </c>
      <c r="J588" s="67">
        <v>0.15960696374206501</v>
      </c>
      <c r="K588" s="67">
        <v>1.91545620155152</v>
      </c>
      <c r="L588" s="67"/>
      <c r="M588" s="67"/>
      <c r="N588" s="16"/>
      <c r="O588" s="11">
        <f t="shared" ca="1" si="344"/>
        <v>-1.0421831232037813E-4</v>
      </c>
      <c r="P588" s="11">
        <f t="shared" ca="1" si="345"/>
        <v>-6.0628936643750906E-6</v>
      </c>
      <c r="Q588" s="11">
        <f t="shared" ca="1" si="346"/>
        <v>1.1233322234885816E-2</v>
      </c>
      <c r="R588" s="11">
        <f t="shared" ca="1" si="347"/>
        <v>7.4091226376269185E-4</v>
      </c>
      <c r="S588" s="11">
        <f t="shared" ca="1" si="348"/>
        <v>-9.6850719681608127E-5</v>
      </c>
      <c r="T588" s="11">
        <f t="shared" ca="1" si="349"/>
        <v>0.2194034729091657</v>
      </c>
      <c r="U588" s="11">
        <f t="shared" ca="1" si="350"/>
        <v>-6.0628936643750906E-6</v>
      </c>
      <c r="V588" s="11">
        <f t="shared" ca="1" si="351"/>
        <v>0.15895676773637124</v>
      </c>
      <c r="W588" s="11">
        <f t="shared" ca="1" si="352"/>
        <v>1.9083333532880149</v>
      </c>
      <c r="X588" s="11"/>
      <c r="Y588" s="2">
        <f t="shared" ca="1" si="353"/>
        <v>-1.0421831232037813E-4</v>
      </c>
      <c r="Z588" s="11">
        <f t="shared" ca="1" si="354"/>
        <v>-6.0628936643750906E-6</v>
      </c>
      <c r="AA588" s="2">
        <f t="shared" ca="1" si="355"/>
        <v>1.1233322234885816E-2</v>
      </c>
      <c r="AB588" s="2">
        <f t="shared" ca="1" si="356"/>
        <v>7.4091226376269185E-4</v>
      </c>
      <c r="AC588" s="2">
        <f t="shared" ca="1" si="357"/>
        <v>-9.6850719681608127E-5</v>
      </c>
      <c r="AD588" s="2">
        <f t="shared" ca="1" si="358"/>
        <v>0.2194034729091657</v>
      </c>
      <c r="AE588" s="2">
        <f t="shared" ca="1" si="359"/>
        <v>-6.0628936643750906E-6</v>
      </c>
      <c r="AF588" s="2">
        <f t="shared" ca="1" si="360"/>
        <v>0.15895676773637124</v>
      </c>
      <c r="AG588" s="2">
        <f t="shared" ca="1" si="361"/>
        <v>1.9083333532880149</v>
      </c>
      <c r="AI588" s="2">
        <f t="shared" ca="1" si="362"/>
        <v>-1.0421831232037813E-4</v>
      </c>
      <c r="AJ588" s="11">
        <f t="shared" ca="1" si="363"/>
        <v>-6.0628936643750906E-6</v>
      </c>
      <c r="AK588" s="2">
        <f t="shared" ca="1" si="364"/>
        <v>1.1233322234885816E-2</v>
      </c>
      <c r="AL588" s="2">
        <f t="shared" ca="1" si="365"/>
        <v>7.4091226376269185E-4</v>
      </c>
      <c r="AM588" s="2">
        <f t="shared" ca="1" si="366"/>
        <v>-9.6850719681608127E-5</v>
      </c>
      <c r="AN588" s="2">
        <f t="shared" ca="1" si="367"/>
        <v>0.2194034729091657</v>
      </c>
      <c r="AO588" s="2">
        <f t="shared" ca="1" si="368"/>
        <v>-6.0628936643750906E-6</v>
      </c>
      <c r="AP588" s="2">
        <f t="shared" ca="1" si="369"/>
        <v>0.15895676773637124</v>
      </c>
      <c r="AQ588" s="2">
        <f t="shared" ca="1" si="370"/>
        <v>1.9083333532880149</v>
      </c>
      <c r="AS588" s="2">
        <f t="shared" ca="1" si="371"/>
        <v>8.6978265566383079</v>
      </c>
      <c r="AT588" s="2">
        <f t="shared" ca="1" si="372"/>
        <v>0.4007052819655329</v>
      </c>
      <c r="AU588" s="2">
        <f t="shared" ca="1" si="373"/>
        <v>2.9688745756275073E-4</v>
      </c>
      <c r="AV588" s="2">
        <f t="shared" ca="1" si="374"/>
        <v>0.15865988027880848</v>
      </c>
      <c r="AW588" s="2">
        <f t="shared" ca="1" si="375"/>
        <v>0.7095076713373667</v>
      </c>
      <c r="AX588" s="2">
        <f t="shared" ca="1" si="376"/>
        <v>5.3218357616629214E-2</v>
      </c>
      <c r="AY588" s="9">
        <f t="shared" ca="1" si="377"/>
        <v>0.7095076713373667</v>
      </c>
      <c r="AZ588" s="9">
        <f t="shared" ca="1" si="378"/>
        <v>0.7095076713373667</v>
      </c>
      <c r="BA588" s="9"/>
      <c r="BB588" s="2">
        <f t="shared" ca="1" si="379"/>
        <v>8.6978265566383079</v>
      </c>
      <c r="BC588" s="2">
        <f t="shared" ca="1" si="380"/>
        <v>0.4007052819655329</v>
      </c>
      <c r="BD588" s="2">
        <f t="shared" ca="1" si="381"/>
        <v>2.9688745756275073E-4</v>
      </c>
      <c r="BE588" s="2">
        <f t="shared" ca="1" si="382"/>
        <v>0.15865988027880848</v>
      </c>
      <c r="BF588" s="2">
        <f t="shared" ca="1" si="383"/>
        <v>0.7095076713373667</v>
      </c>
      <c r="BG588" s="2">
        <f t="shared" ca="1" si="384"/>
        <v>5.3218357616629214E-2</v>
      </c>
      <c r="BH588" s="2" t="str">
        <f t="shared" ca="1" si="385"/>
        <v>rejected</v>
      </c>
      <c r="BI588" s="2" t="e">
        <f t="shared" ca="1" si="386"/>
        <v>#N/A</v>
      </c>
    </row>
    <row r="589" spans="1:61" ht="15" x14ac:dyDescent="0.25">
      <c r="A589" s="66">
        <v>523</v>
      </c>
      <c r="B589" s="66">
        <v>1498730395.0369999</v>
      </c>
      <c r="C589" s="67">
        <v>8.5514545364799796E-5</v>
      </c>
      <c r="D589" s="67">
        <v>2.3924680970805301E-5</v>
      </c>
      <c r="E589" s="67">
        <v>1.15070716403831E-2</v>
      </c>
      <c r="F589" s="67">
        <v>6.8707939441789499E-4</v>
      </c>
      <c r="G589" s="67">
        <v>3.4877050862030501E-5</v>
      </c>
      <c r="H589" s="67">
        <v>0.20774295153769201</v>
      </c>
      <c r="I589" s="67">
        <v>2.3924680970805301E-5</v>
      </c>
      <c r="J589" s="67">
        <v>0.15032005464136899</v>
      </c>
      <c r="K589" s="67">
        <v>1.8063425725532101</v>
      </c>
      <c r="L589" s="67"/>
      <c r="M589" s="67"/>
      <c r="N589" s="16"/>
      <c r="O589" s="11">
        <f t="shared" ca="1" si="344"/>
        <v>7.2710614654839775E-5</v>
      </c>
      <c r="P589" s="11">
        <f t="shared" ca="1" si="345"/>
        <v>2.3159580740500559E-5</v>
      </c>
      <c r="Q589" s="11">
        <f t="shared" ca="1" si="346"/>
        <v>1.0670580028114815E-2</v>
      </c>
      <c r="R589" s="11">
        <f t="shared" ca="1" si="347"/>
        <v>6.7543290677154783E-4</v>
      </c>
      <c r="S589" s="11">
        <f t="shared" ca="1" si="348"/>
        <v>2.394939881506038E-5</v>
      </c>
      <c r="T589" s="11">
        <f t="shared" ca="1" si="349"/>
        <v>0.20660439649910972</v>
      </c>
      <c r="U589" s="11">
        <f t="shared" ca="1" si="350"/>
        <v>2.3159580740500559E-5</v>
      </c>
      <c r="V589" s="11">
        <f t="shared" ca="1" si="351"/>
        <v>0.14966985863567522</v>
      </c>
      <c r="W589" s="11">
        <f t="shared" ca="1" si="352"/>
        <v>1.799219724289705</v>
      </c>
      <c r="X589" s="11"/>
      <c r="Y589" s="2">
        <f t="shared" ca="1" si="353"/>
        <v>7.2710614654839775E-5</v>
      </c>
      <c r="Z589" s="11">
        <f t="shared" ca="1" si="354"/>
        <v>2.3159580740500559E-5</v>
      </c>
      <c r="AA589" s="2">
        <f t="shared" ca="1" si="355"/>
        <v>1.0670402839991657E-2</v>
      </c>
      <c r="AB589" s="2">
        <f t="shared" ca="1" si="356"/>
        <v>6.7114414879053982E-4</v>
      </c>
      <c r="AC589" s="2">
        <f t="shared" ca="1" si="357"/>
        <v>2.394939881506038E-5</v>
      </c>
      <c r="AD589" s="2">
        <f t="shared" ca="1" si="358"/>
        <v>0.20657320736243093</v>
      </c>
      <c r="AE589" s="2">
        <f t="shared" ca="1" si="359"/>
        <v>2.3159580740500559E-5</v>
      </c>
      <c r="AF589" s="2">
        <f t="shared" ca="1" si="360"/>
        <v>0.14962379979116089</v>
      </c>
      <c r="AG589" s="2">
        <f t="shared" ca="1" si="361"/>
        <v>1.7992010346820715</v>
      </c>
      <c r="AI589" s="2">
        <f t="shared" ca="1" si="362"/>
        <v>7.2710614654839775E-5</v>
      </c>
      <c r="AJ589" s="11">
        <f t="shared" ca="1" si="363"/>
        <v>2.3159580740500559E-5</v>
      </c>
      <c r="AK589" s="2">
        <f t="shared" ca="1" si="364"/>
        <v>1.0643078819853912E-2</v>
      </c>
      <c r="AL589" s="2">
        <f t="shared" ca="1" si="365"/>
        <v>6.5835536603227156E-4</v>
      </c>
      <c r="AM589" s="2">
        <f t="shared" ca="1" si="366"/>
        <v>2.394939881506038E-5</v>
      </c>
      <c r="AN589" s="2">
        <f t="shared" ca="1" si="367"/>
        <v>0.20657320736243093</v>
      </c>
      <c r="AO589" s="2">
        <f t="shared" ca="1" si="368"/>
        <v>2.3159580740500559E-5</v>
      </c>
      <c r="AP589" s="2">
        <f t="shared" ca="1" si="369"/>
        <v>0.14962379979116089</v>
      </c>
      <c r="AQ589" s="2">
        <f t="shared" ca="1" si="370"/>
        <v>1.7992010346820715</v>
      </c>
      <c r="AS589" s="2">
        <f t="shared" ca="1" si="371"/>
        <v>8.7085258338026605</v>
      </c>
      <c r="AT589" s="2">
        <f t="shared" ca="1" si="372"/>
        <v>0.4012041753874232</v>
      </c>
      <c r="AU589" s="2">
        <f t="shared" ca="1" si="373"/>
        <v>2.7098650239080915E-4</v>
      </c>
      <c r="AV589" s="2">
        <f t="shared" ca="1" si="374"/>
        <v>0.14939887213328443</v>
      </c>
      <c r="AW589" s="2">
        <f t="shared" ca="1" si="375"/>
        <v>0.70904265361340957</v>
      </c>
      <c r="AX589" s="2">
        <f t="shared" ca="1" si="376"/>
        <v>5.3751616720696595E-2</v>
      </c>
      <c r="AY589" s="9">
        <f t="shared" ca="1" si="377"/>
        <v>0.70904265361340957</v>
      </c>
      <c r="AZ589" s="9">
        <f t="shared" ca="1" si="378"/>
        <v>0.70904265361340957</v>
      </c>
      <c r="BA589" s="9"/>
      <c r="BB589" s="2">
        <f t="shared" ca="1" si="379"/>
        <v>8.7097502026261751</v>
      </c>
      <c r="BC589" s="2">
        <f t="shared" ca="1" si="380"/>
        <v>0.40126126659240891</v>
      </c>
      <c r="BD589" s="2">
        <f t="shared" ca="1" si="381"/>
        <v>2.6417250804201825E-4</v>
      </c>
      <c r="BE589" s="2">
        <f t="shared" ca="1" si="382"/>
        <v>0.14935962728311886</v>
      </c>
      <c r="BF589" s="2">
        <f t="shared" ca="1" si="383"/>
        <v>0.70891323333928447</v>
      </c>
      <c r="BG589" s="2">
        <f t="shared" ca="1" si="384"/>
        <v>5.3628891882827427E-2</v>
      </c>
      <c r="BH589" s="2">
        <f t="shared" ca="1" si="385"/>
        <v>0.70891323333928447</v>
      </c>
      <c r="BI589" s="2">
        <f t="shared" ca="1" si="386"/>
        <v>0.70891323333928447</v>
      </c>
    </row>
    <row r="590" spans="1:61" ht="15" x14ac:dyDescent="0.25">
      <c r="A590" s="66">
        <v>524</v>
      </c>
      <c r="B590" s="66">
        <v>1498730395.5639999</v>
      </c>
      <c r="C590" s="67">
        <v>1.3936025761658499E-5</v>
      </c>
      <c r="D590" s="67">
        <v>-4.5891853299982204E-6</v>
      </c>
      <c r="E590" s="67">
        <v>1.0476582011621801E-2</v>
      </c>
      <c r="F590" s="67">
        <v>5.8827321696944604E-4</v>
      </c>
      <c r="G590" s="67">
        <v>-2.64945813403433E-5</v>
      </c>
      <c r="H590" s="67">
        <v>0.18935587842304699</v>
      </c>
      <c r="I590" s="67">
        <v>-4.5891853299982204E-6</v>
      </c>
      <c r="J590" s="67">
        <v>0.13707039112361799</v>
      </c>
      <c r="K590" s="67">
        <v>1.6458177694729099</v>
      </c>
      <c r="L590" s="67"/>
      <c r="M590" s="67"/>
      <c r="N590" s="16"/>
      <c r="O590" s="11">
        <f t="shared" ca="1" si="344"/>
        <v>1.1320950516984715E-6</v>
      </c>
      <c r="P590" s="11">
        <f t="shared" ca="1" si="345"/>
        <v>-5.3542855603029607E-6</v>
      </c>
      <c r="Q590" s="11">
        <f t="shared" ca="1" si="346"/>
        <v>9.640090399353516E-3</v>
      </c>
      <c r="R590" s="11">
        <f t="shared" ca="1" si="347"/>
        <v>5.7662672932309888E-4</v>
      </c>
      <c r="S590" s="11">
        <f t="shared" ca="1" si="348"/>
        <v>-3.7422233387313424E-5</v>
      </c>
      <c r="T590" s="11">
        <f t="shared" ca="1" si="349"/>
        <v>0.1882173233844647</v>
      </c>
      <c r="U590" s="11">
        <f t="shared" ca="1" si="350"/>
        <v>-5.3542855603029607E-6</v>
      </c>
      <c r="V590" s="11">
        <f t="shared" ca="1" si="351"/>
        <v>0.13642019511792422</v>
      </c>
      <c r="W590" s="11">
        <f t="shared" ca="1" si="352"/>
        <v>1.6386949212094049</v>
      </c>
      <c r="X590" s="11"/>
      <c r="Y590" s="2">
        <f t="shared" ca="1" si="353"/>
        <v>1.1320950516984715E-6</v>
      </c>
      <c r="Z590" s="11">
        <f t="shared" ca="1" si="354"/>
        <v>-5.3542855603029607E-6</v>
      </c>
      <c r="AA590" s="2">
        <f t="shared" ca="1" si="355"/>
        <v>9.640090399353516E-3</v>
      </c>
      <c r="AB590" s="2">
        <f t="shared" ca="1" si="356"/>
        <v>5.7662672932309888E-4</v>
      </c>
      <c r="AC590" s="2">
        <f t="shared" ca="1" si="357"/>
        <v>-3.7422233387313424E-5</v>
      </c>
      <c r="AD590" s="2">
        <f t="shared" ca="1" si="358"/>
        <v>0.1882173233844647</v>
      </c>
      <c r="AE590" s="2">
        <f t="shared" ca="1" si="359"/>
        <v>-5.3542855603029607E-6</v>
      </c>
      <c r="AF590" s="2">
        <f t="shared" ca="1" si="360"/>
        <v>0.13642019511792422</v>
      </c>
      <c r="AG590" s="2">
        <f t="shared" ca="1" si="361"/>
        <v>1.6386949212094049</v>
      </c>
      <c r="AI590" s="2">
        <f t="shared" ca="1" si="362"/>
        <v>1.1320950516984715E-6</v>
      </c>
      <c r="AJ590" s="11">
        <f t="shared" ca="1" si="363"/>
        <v>-5.3542855603029607E-6</v>
      </c>
      <c r="AK590" s="2">
        <f t="shared" ca="1" si="364"/>
        <v>9.640090399353516E-3</v>
      </c>
      <c r="AL590" s="2">
        <f t="shared" ca="1" si="365"/>
        <v>5.7662672932309888E-4</v>
      </c>
      <c r="AM590" s="2">
        <f t="shared" ca="1" si="366"/>
        <v>-3.7422233387313424E-5</v>
      </c>
      <c r="AN590" s="2">
        <f t="shared" ca="1" si="367"/>
        <v>0.1882173233844647</v>
      </c>
      <c r="AO590" s="2">
        <f t="shared" ca="1" si="368"/>
        <v>-5.3542855603029607E-6</v>
      </c>
      <c r="AP590" s="2">
        <f t="shared" ca="1" si="369"/>
        <v>0.13642019511792422</v>
      </c>
      <c r="AQ590" s="2">
        <f t="shared" ca="1" si="370"/>
        <v>1.6386949212094049</v>
      </c>
      <c r="AS590" s="2">
        <f t="shared" ca="1" si="371"/>
        <v>8.7063979645598408</v>
      </c>
      <c r="AT590" s="2">
        <f t="shared" ca="1" si="372"/>
        <v>0.40110495501102078</v>
      </c>
      <c r="AU590" s="2">
        <f t="shared" ca="1" si="373"/>
        <v>2.3128783832329365E-4</v>
      </c>
      <c r="AV590" s="2">
        <f t="shared" ca="1" si="374"/>
        <v>0.13618890727960092</v>
      </c>
      <c r="AW590" s="2">
        <f t="shared" ca="1" si="375"/>
        <v>0.70957807891717173</v>
      </c>
      <c r="AX590" s="2">
        <f t="shared" ca="1" si="376"/>
        <v>5.32912588088294E-2</v>
      </c>
      <c r="AY590" s="9" t="str">
        <f t="shared" ca="1" si="377"/>
        <v>rejected</v>
      </c>
      <c r="AZ590" s="9" t="e">
        <f t="shared" ca="1" si="378"/>
        <v>#N/A</v>
      </c>
      <c r="BA590" s="9"/>
      <c r="BB590" s="2">
        <f t="shared" ca="1" si="379"/>
        <v>8.7063979645598408</v>
      </c>
      <c r="BC590" s="2">
        <f t="shared" ca="1" si="380"/>
        <v>0.40110495501102078</v>
      </c>
      <c r="BD590" s="2">
        <f t="shared" ca="1" si="381"/>
        <v>2.3128783832329365E-4</v>
      </c>
      <c r="BE590" s="2">
        <f t="shared" ca="1" si="382"/>
        <v>0.13618890727960092</v>
      </c>
      <c r="BF590" s="2">
        <f t="shared" ca="1" si="383"/>
        <v>0.70957807891717173</v>
      </c>
      <c r="BG590" s="2">
        <f t="shared" ca="1" si="384"/>
        <v>5.32912588088294E-2</v>
      </c>
      <c r="BH590" s="2" t="str">
        <f t="shared" ca="1" si="385"/>
        <v>rejected</v>
      </c>
      <c r="BI590" s="2" t="e">
        <f t="shared" ca="1" si="386"/>
        <v>#N/A</v>
      </c>
    </row>
    <row r="591" spans="1:61" ht="15" x14ac:dyDescent="0.25">
      <c r="A591" s="66">
        <v>525</v>
      </c>
      <c r="B591" s="66">
        <v>1498730396.092</v>
      </c>
      <c r="C591" s="67">
        <v>8.7168235557629205E-5</v>
      </c>
      <c r="D591" s="67">
        <v>-3.0119502074179501E-5</v>
      </c>
      <c r="E591" s="67">
        <v>9.9040301029907907E-3</v>
      </c>
      <c r="F591" s="67">
        <v>5.3661219100235695E-4</v>
      </c>
      <c r="G591" s="67">
        <v>-1.84456976312391E-5</v>
      </c>
      <c r="H591" s="67">
        <v>0.17823665493386401</v>
      </c>
      <c r="I591" s="67">
        <v>-3.0119502074179501E-5</v>
      </c>
      <c r="J591" s="67">
        <v>0.12887279864925</v>
      </c>
      <c r="K591" s="67">
        <v>1.5478986551262901</v>
      </c>
      <c r="L591" s="67"/>
      <c r="M591" s="67"/>
      <c r="N591" s="16"/>
      <c r="O591" s="11">
        <f t="shared" ca="1" si="344"/>
        <v>7.4364304847669184E-5</v>
      </c>
      <c r="P591" s="11">
        <f t="shared" ca="1" si="345"/>
        <v>-3.0884602304484239E-5</v>
      </c>
      <c r="Q591" s="11">
        <f t="shared" ca="1" si="346"/>
        <v>9.067538490722506E-3</v>
      </c>
      <c r="R591" s="11">
        <f t="shared" ca="1" si="347"/>
        <v>5.2496570335600979E-4</v>
      </c>
      <c r="S591" s="11">
        <f t="shared" ca="1" si="348"/>
        <v>-2.9373349678209224E-5</v>
      </c>
      <c r="T591" s="11">
        <f t="shared" ca="1" si="349"/>
        <v>0.17709809989528172</v>
      </c>
      <c r="U591" s="11">
        <f t="shared" ca="1" si="350"/>
        <v>-3.0884602304484239E-5</v>
      </c>
      <c r="V591" s="11">
        <f t="shared" ca="1" si="351"/>
        <v>0.12822260264355623</v>
      </c>
      <c r="W591" s="11">
        <f t="shared" ca="1" si="352"/>
        <v>1.540775806862785</v>
      </c>
      <c r="X591" s="11"/>
      <c r="Y591" s="2">
        <f t="shared" ca="1" si="353"/>
        <v>7.4364304847669184E-5</v>
      </c>
      <c r="Z591" s="11">
        <f t="shared" ca="1" si="354"/>
        <v>-3.0884602304484239E-5</v>
      </c>
      <c r="AA591" s="2">
        <f t="shared" ca="1" si="355"/>
        <v>9.067538490722506E-3</v>
      </c>
      <c r="AB591" s="2">
        <f t="shared" ca="1" si="356"/>
        <v>5.2496570335600979E-4</v>
      </c>
      <c r="AC591" s="2">
        <f t="shared" ca="1" si="357"/>
        <v>-2.9373349678209224E-5</v>
      </c>
      <c r="AD591" s="2">
        <f t="shared" ca="1" si="358"/>
        <v>0.17709809989528172</v>
      </c>
      <c r="AE591" s="2">
        <f t="shared" ca="1" si="359"/>
        <v>-3.0884602304484239E-5</v>
      </c>
      <c r="AF591" s="2">
        <f t="shared" ca="1" si="360"/>
        <v>0.12822260264355623</v>
      </c>
      <c r="AG591" s="2">
        <f t="shared" ca="1" si="361"/>
        <v>1.540775806862785</v>
      </c>
      <c r="AI591" s="2">
        <f t="shared" ca="1" si="362"/>
        <v>7.4364304847669184E-5</v>
      </c>
      <c r="AJ591" s="11">
        <f t="shared" ca="1" si="363"/>
        <v>-3.0884602304484239E-5</v>
      </c>
      <c r="AK591" s="2">
        <f t="shared" ca="1" si="364"/>
        <v>9.067538490722506E-3</v>
      </c>
      <c r="AL591" s="2">
        <f t="shared" ca="1" si="365"/>
        <v>5.2496570335600979E-4</v>
      </c>
      <c r="AM591" s="2">
        <f t="shared" ca="1" si="366"/>
        <v>-2.9373349678209224E-5</v>
      </c>
      <c r="AN591" s="2">
        <f t="shared" ca="1" si="367"/>
        <v>0.17709809989528172</v>
      </c>
      <c r="AO591" s="2">
        <f t="shared" ca="1" si="368"/>
        <v>-3.0884602304484239E-5</v>
      </c>
      <c r="AP591" s="2">
        <f t="shared" ca="1" si="369"/>
        <v>0.12822260264355623</v>
      </c>
      <c r="AQ591" s="2">
        <f t="shared" ca="1" si="370"/>
        <v>1.540775806862785</v>
      </c>
      <c r="AS591" s="2">
        <f t="shared" ca="1" si="371"/>
        <v>8.7001261322049608</v>
      </c>
      <c r="AT591" s="2">
        <f t="shared" ca="1" si="372"/>
        <v>0.40081250756500181</v>
      </c>
      <c r="AU591" s="2">
        <f t="shared" ca="1" si="373"/>
        <v>2.1041281994774717E-4</v>
      </c>
      <c r="AV591" s="2">
        <f t="shared" ca="1" si="374"/>
        <v>0.12801218982360849</v>
      </c>
      <c r="AW591" s="2">
        <f t="shared" ca="1" si="375"/>
        <v>0.70910913594414038</v>
      </c>
      <c r="AX591" s="2">
        <f t="shared" ca="1" si="376"/>
        <v>5.3234077121709203E-2</v>
      </c>
      <c r="AY591" s="9">
        <f t="shared" ca="1" si="377"/>
        <v>0.70910913594414038</v>
      </c>
      <c r="AZ591" s="9">
        <f t="shared" ca="1" si="378"/>
        <v>0.70910913594414038</v>
      </c>
      <c r="BA591" s="9"/>
      <c r="BB591" s="2">
        <f t="shared" ca="1" si="379"/>
        <v>8.7001261322049608</v>
      </c>
      <c r="BC591" s="2">
        <f t="shared" ca="1" si="380"/>
        <v>0.40081250756500181</v>
      </c>
      <c r="BD591" s="2">
        <f t="shared" ca="1" si="381"/>
        <v>2.1041281994774717E-4</v>
      </c>
      <c r="BE591" s="2">
        <f t="shared" ca="1" si="382"/>
        <v>0.12801218982360849</v>
      </c>
      <c r="BF591" s="2">
        <f t="shared" ca="1" si="383"/>
        <v>0.70910913594414038</v>
      </c>
      <c r="BG591" s="2">
        <f t="shared" ca="1" si="384"/>
        <v>5.3234077121709203E-2</v>
      </c>
      <c r="BH591" s="2">
        <f t="shared" ca="1" si="385"/>
        <v>0.70910913594414038</v>
      </c>
      <c r="BI591" s="2">
        <f t="shared" ca="1" si="386"/>
        <v>0.70910913594414038</v>
      </c>
    </row>
    <row r="592" spans="1:61" ht="15" x14ac:dyDescent="0.25">
      <c r="A592" s="66">
        <v>526</v>
      </c>
      <c r="B592" s="66">
        <v>1498730396.619</v>
      </c>
      <c r="C592" s="67">
        <v>-2.0552110505113001E-5</v>
      </c>
      <c r="D592" s="67">
        <v>1.6364282376518399E-5</v>
      </c>
      <c r="E592" s="67">
        <v>1.00349805506492E-2</v>
      </c>
      <c r="F592" s="67">
        <v>5.0423613571765503E-4</v>
      </c>
      <c r="G592" s="67">
        <v>3.0709071777217898E-5</v>
      </c>
      <c r="H592" s="67">
        <v>0.18227318767237799</v>
      </c>
      <c r="I592" s="67">
        <v>1.6364282376518399E-5</v>
      </c>
      <c r="J592" s="67">
        <v>0.13154554889978101</v>
      </c>
      <c r="K592" s="67">
        <v>1.57920198641965</v>
      </c>
      <c r="L592" s="67"/>
      <c r="M592" s="67"/>
      <c r="N592" s="16"/>
      <c r="O592" s="11">
        <f t="shared" ca="1" si="344"/>
        <v>-3.3356041215073032E-5</v>
      </c>
      <c r="P592" s="11">
        <f t="shared" ca="1" si="345"/>
        <v>1.5599182146213657E-5</v>
      </c>
      <c r="Q592" s="11">
        <f t="shared" ca="1" si="346"/>
        <v>9.1984889383809158E-3</v>
      </c>
      <c r="R592" s="11">
        <f t="shared" ca="1" si="347"/>
        <v>4.9258964807130786E-4</v>
      </c>
      <c r="S592" s="11">
        <f t="shared" ca="1" si="348"/>
        <v>1.9781419730247777E-5</v>
      </c>
      <c r="T592" s="11">
        <f t="shared" ca="1" si="349"/>
        <v>0.1811346326337957</v>
      </c>
      <c r="U592" s="11">
        <f t="shared" ca="1" si="350"/>
        <v>1.5599182146213657E-5</v>
      </c>
      <c r="V592" s="11">
        <f t="shared" ca="1" si="351"/>
        <v>0.13089535289408724</v>
      </c>
      <c r="W592" s="11">
        <f t="shared" ca="1" si="352"/>
        <v>1.572079138156145</v>
      </c>
      <c r="X592" s="11"/>
      <c r="Y592" s="2">
        <f t="shared" ca="1" si="353"/>
        <v>-3.3356041215073032E-5</v>
      </c>
      <c r="Z592" s="11">
        <f t="shared" ca="1" si="354"/>
        <v>1.5599182146213657E-5</v>
      </c>
      <c r="AA592" s="2">
        <f t="shared" ca="1" si="355"/>
        <v>9.1983695929645087E-3</v>
      </c>
      <c r="AB592" s="2">
        <f t="shared" ca="1" si="356"/>
        <v>4.8970094651507555E-4</v>
      </c>
      <c r="AC592" s="2">
        <f t="shared" ca="1" si="357"/>
        <v>1.9781419730247777E-5</v>
      </c>
      <c r="AD592" s="2">
        <f t="shared" ca="1" si="358"/>
        <v>0.1811136251281121</v>
      </c>
      <c r="AE592" s="2">
        <f t="shared" ca="1" si="359"/>
        <v>1.5599182146213657E-5</v>
      </c>
      <c r="AF592" s="2">
        <f t="shared" ca="1" si="360"/>
        <v>0.13086432986681079</v>
      </c>
      <c r="AG592" s="2">
        <f t="shared" ca="1" si="361"/>
        <v>1.5720665497333672</v>
      </c>
      <c r="AI592" s="2">
        <f t="shared" ca="1" si="362"/>
        <v>-3.3356041215073032E-5</v>
      </c>
      <c r="AJ592" s="11">
        <f t="shared" ca="1" si="363"/>
        <v>1.5599182146213657E-5</v>
      </c>
      <c r="AK592" s="2">
        <f t="shared" ca="1" si="364"/>
        <v>9.1799654442939714E-3</v>
      </c>
      <c r="AL592" s="2">
        <f t="shared" ca="1" si="365"/>
        <v>4.8108703618958702E-4</v>
      </c>
      <c r="AM592" s="2">
        <f t="shared" ca="1" si="366"/>
        <v>1.9781419730247777E-5</v>
      </c>
      <c r="AN592" s="2">
        <f t="shared" ca="1" si="367"/>
        <v>0.1811136251281121</v>
      </c>
      <c r="AO592" s="2">
        <f t="shared" ca="1" si="368"/>
        <v>1.5599182146213657E-5</v>
      </c>
      <c r="AP592" s="2">
        <f t="shared" ca="1" si="369"/>
        <v>0.13086432986681079</v>
      </c>
      <c r="AQ592" s="2">
        <f t="shared" ca="1" si="370"/>
        <v>1.5720665497333672</v>
      </c>
      <c r="AS592" s="2">
        <f t="shared" ca="1" si="371"/>
        <v>8.6790643804404635</v>
      </c>
      <c r="AT592" s="2">
        <f t="shared" ca="1" si="372"/>
        <v>0.39983044399192352</v>
      </c>
      <c r="AU592" s="2">
        <f t="shared" ca="1" si="373"/>
        <v>1.9695233769417638E-4</v>
      </c>
      <c r="AV592" s="2">
        <f t="shared" ca="1" si="374"/>
        <v>0.13069840055639306</v>
      </c>
      <c r="AW592" s="2">
        <f t="shared" ca="1" si="375"/>
        <v>0.70871975035773527</v>
      </c>
      <c r="AX592" s="2">
        <f t="shared" ca="1" si="376"/>
        <v>5.2668640179603252E-2</v>
      </c>
      <c r="AY592" s="9">
        <f t="shared" ca="1" si="377"/>
        <v>0.70871975035773527</v>
      </c>
      <c r="AZ592" s="9">
        <f t="shared" ca="1" si="378"/>
        <v>0.70871975035773527</v>
      </c>
      <c r="BA592" s="9"/>
      <c r="BB592" s="2">
        <f t="shared" ca="1" si="379"/>
        <v>8.680001565985739</v>
      </c>
      <c r="BC592" s="2">
        <f t="shared" ca="1" si="380"/>
        <v>0.39987414229700086</v>
      </c>
      <c r="BD592" s="2">
        <f t="shared" ca="1" si="381"/>
        <v>1.9237426596651732E-4</v>
      </c>
      <c r="BE592" s="2">
        <f t="shared" ca="1" si="382"/>
        <v>0.13067195560084427</v>
      </c>
      <c r="BF592" s="2">
        <f t="shared" ca="1" si="383"/>
        <v>0.7086200061997654</v>
      </c>
      <c r="BG592" s="2">
        <f t="shared" ca="1" si="384"/>
        <v>5.2574483742731187E-2</v>
      </c>
      <c r="BH592" s="2">
        <f t="shared" ca="1" si="385"/>
        <v>0.7086200061997654</v>
      </c>
      <c r="BI592" s="2">
        <f t="shared" ca="1" si="386"/>
        <v>0.7086200061997654</v>
      </c>
    </row>
    <row r="593" spans="1:61" ht="15" x14ac:dyDescent="0.25">
      <c r="A593" s="66">
        <v>527</v>
      </c>
      <c r="B593" s="66">
        <v>1498730397.145</v>
      </c>
      <c r="C593" s="67">
        <v>-7.1809659700429405E-5</v>
      </c>
      <c r="D593" s="67">
        <v>9.1379484527632094E-5</v>
      </c>
      <c r="E593" s="67">
        <v>1.03660431406459E-2</v>
      </c>
      <c r="F593" s="67">
        <v>7.3612898213407498E-4</v>
      </c>
      <c r="G593" s="67">
        <v>1.20206153391307E-4</v>
      </c>
      <c r="H593" s="67">
        <v>0.187980923596997</v>
      </c>
      <c r="I593" s="67">
        <v>9.1379484527632094E-5</v>
      </c>
      <c r="J593" s="67">
        <v>0.13584032484988701</v>
      </c>
      <c r="K593" s="67">
        <v>1.62994211594861</v>
      </c>
      <c r="L593" s="67"/>
      <c r="M593" s="67"/>
      <c r="N593" s="16"/>
      <c r="O593" s="11">
        <f t="shared" ca="1" si="344"/>
        <v>-8.4613590410389426E-5</v>
      </c>
      <c r="P593" s="11">
        <f t="shared" ca="1" si="345"/>
        <v>9.0614384297327356E-5</v>
      </c>
      <c r="Q593" s="11">
        <f t="shared" ca="1" si="346"/>
        <v>9.5295515283776149E-3</v>
      </c>
      <c r="R593" s="11">
        <f t="shared" ca="1" si="347"/>
        <v>7.2448249448772782E-4</v>
      </c>
      <c r="S593" s="11">
        <f t="shared" ca="1" si="348"/>
        <v>1.0927850134433687E-4</v>
      </c>
      <c r="T593" s="11">
        <f t="shared" ca="1" si="349"/>
        <v>0.18684236855841471</v>
      </c>
      <c r="U593" s="11">
        <f t="shared" ca="1" si="350"/>
        <v>9.0614384297327356E-5</v>
      </c>
      <c r="V593" s="11">
        <f t="shared" ca="1" si="351"/>
        <v>0.13519012884419324</v>
      </c>
      <c r="W593" s="11">
        <f t="shared" ca="1" si="352"/>
        <v>1.622819267685105</v>
      </c>
      <c r="X593" s="11"/>
      <c r="Y593" s="2">
        <f t="shared" ca="1" si="353"/>
        <v>-8.4613590410389426E-5</v>
      </c>
      <c r="Z593" s="11">
        <f t="shared" ca="1" si="354"/>
        <v>9.0614384297327356E-5</v>
      </c>
      <c r="AA593" s="2">
        <f t="shared" ca="1" si="355"/>
        <v>9.5288582605302929E-3</v>
      </c>
      <c r="AB593" s="2">
        <f t="shared" ca="1" si="356"/>
        <v>7.0770226136504077E-4</v>
      </c>
      <c r="AC593" s="2">
        <f t="shared" ca="1" si="357"/>
        <v>1.0927850134433687E-4</v>
      </c>
      <c r="AD593" s="2">
        <f t="shared" ca="1" si="358"/>
        <v>0.18672033766119855</v>
      </c>
      <c r="AE593" s="2">
        <f t="shared" ca="1" si="359"/>
        <v>9.0614384297327356E-5</v>
      </c>
      <c r="AF593" s="2">
        <f t="shared" ca="1" si="360"/>
        <v>0.13500991859410805</v>
      </c>
      <c r="AG593" s="2">
        <f t="shared" ca="1" si="361"/>
        <v>1.6227461425578651</v>
      </c>
      <c r="AI593" s="2">
        <f t="shared" ca="1" si="362"/>
        <v>-8.4613590410389426E-5</v>
      </c>
      <c r="AJ593" s="11">
        <f t="shared" ca="1" si="363"/>
        <v>9.0614384297327356E-5</v>
      </c>
      <c r="AK593" s="2">
        <f t="shared" ca="1" si="364"/>
        <v>9.4219500531213529E-3</v>
      </c>
      <c r="AL593" s="2">
        <f t="shared" ca="1" si="365"/>
        <v>6.5766475470473195E-4</v>
      </c>
      <c r="AM593" s="2">
        <f t="shared" ca="1" si="366"/>
        <v>1.0927850134433687E-4</v>
      </c>
      <c r="AN593" s="2">
        <f t="shared" ca="1" si="367"/>
        <v>0.18672033766119855</v>
      </c>
      <c r="AO593" s="2">
        <f t="shared" ca="1" si="368"/>
        <v>9.0614384297327356E-5</v>
      </c>
      <c r="AP593" s="2">
        <f t="shared" ca="1" si="369"/>
        <v>0.13500991859410805</v>
      </c>
      <c r="AQ593" s="2">
        <f t="shared" ca="1" si="370"/>
        <v>1.6227461425578651</v>
      </c>
      <c r="AS593" s="2">
        <f t="shared" ca="1" si="371"/>
        <v>8.6854993340428788</v>
      </c>
      <c r="AT593" s="2">
        <f t="shared" ca="1" si="372"/>
        <v>0.40013048878775742</v>
      </c>
      <c r="AU593" s="2">
        <f t="shared" ca="1" si="373"/>
        <v>2.8988753463754833E-4</v>
      </c>
      <c r="AV593" s="2">
        <f t="shared" ca="1" si="374"/>
        <v>0.13490024130955569</v>
      </c>
      <c r="AW593" s="2">
        <f t="shared" ca="1" si="375"/>
        <v>0.70889354628102386</v>
      </c>
      <c r="AX593" s="2">
        <f t="shared" ca="1" si="376"/>
        <v>5.2937517812202579E-2</v>
      </c>
      <c r="AY593" s="9">
        <f t="shared" ca="1" si="377"/>
        <v>0.70889354628102386</v>
      </c>
      <c r="AZ593" s="9">
        <f t="shared" ca="1" si="378"/>
        <v>0.70889354628102386</v>
      </c>
      <c r="BA593" s="9"/>
      <c r="BB593" s="2">
        <f t="shared" ca="1" si="379"/>
        <v>8.6907841046341474</v>
      </c>
      <c r="BC593" s="2">
        <f t="shared" ca="1" si="380"/>
        <v>0.40037690562105982</v>
      </c>
      <c r="BD593" s="2">
        <f t="shared" ca="1" si="381"/>
        <v>2.6331377942471394E-4</v>
      </c>
      <c r="BE593" s="2">
        <f t="shared" ca="1" si="382"/>
        <v>0.13474660481468334</v>
      </c>
      <c r="BF593" s="2">
        <f t="shared" ca="1" si="383"/>
        <v>0.70833195237868096</v>
      </c>
      <c r="BG593" s="2">
        <f t="shared" ca="1" si="384"/>
        <v>5.2406597121248247E-2</v>
      </c>
      <c r="BH593" s="2">
        <f t="shared" ca="1" si="385"/>
        <v>0.70833195237868096</v>
      </c>
      <c r="BI593" s="2">
        <f t="shared" ca="1" si="386"/>
        <v>0.70833195237868096</v>
      </c>
    </row>
    <row r="594" spans="1:61" ht="15" x14ac:dyDescent="0.25">
      <c r="A594" s="66">
        <v>528</v>
      </c>
      <c r="B594" s="66">
        <v>1498730397.6719999</v>
      </c>
      <c r="C594" s="67">
        <v>9.8271655373390602E-5</v>
      </c>
      <c r="D594" s="67">
        <v>7.2466713902782695E-5</v>
      </c>
      <c r="E594" s="67">
        <v>1.14719407292979E-2</v>
      </c>
      <c r="F594" s="67">
        <v>8.4661842889735301E-4</v>
      </c>
      <c r="G594" s="67">
        <v>3.5206729020683198E-5</v>
      </c>
      <c r="H594" s="67">
        <v>0.20703964109610601</v>
      </c>
      <c r="I594" s="67">
        <v>7.2466713902782695E-5</v>
      </c>
      <c r="J594" s="67">
        <v>0.14969227125485901</v>
      </c>
      <c r="K594" s="67">
        <v>1.79382171039339</v>
      </c>
      <c r="L594" s="67"/>
      <c r="M594" s="67"/>
      <c r="N594" s="16"/>
      <c r="O594" s="11">
        <f t="shared" ca="1" si="344"/>
        <v>8.5467724663430567E-5</v>
      </c>
      <c r="P594" s="11">
        <f t="shared" ca="1" si="345"/>
        <v>7.1701613672477956E-5</v>
      </c>
      <c r="Q594" s="11">
        <f t="shared" ca="1" si="346"/>
        <v>1.0635449117029615E-2</v>
      </c>
      <c r="R594" s="11">
        <f t="shared" ca="1" si="347"/>
        <v>8.3497194125100585E-4</v>
      </c>
      <c r="S594" s="11">
        <f t="shared" ca="1" si="348"/>
        <v>2.4279076973713078E-5</v>
      </c>
      <c r="T594" s="11">
        <f t="shared" ca="1" si="349"/>
        <v>0.20590108605752372</v>
      </c>
      <c r="U594" s="11">
        <f t="shared" ca="1" si="350"/>
        <v>7.1701613672477956E-5</v>
      </c>
      <c r="V594" s="11">
        <f t="shared" ca="1" si="351"/>
        <v>0.14904207524916524</v>
      </c>
      <c r="W594" s="11">
        <f t="shared" ca="1" si="352"/>
        <v>1.7866988621298849</v>
      </c>
      <c r="X594" s="11"/>
      <c r="Y594" s="2">
        <f t="shared" ca="1" si="353"/>
        <v>8.5467724663430567E-5</v>
      </c>
      <c r="Z594" s="11">
        <f t="shared" ca="1" si="354"/>
        <v>7.1701613672477956E-5</v>
      </c>
      <c r="AA594" s="2">
        <f t="shared" ca="1" si="355"/>
        <v>1.0634900546030146E-2</v>
      </c>
      <c r="AB594" s="2">
        <f t="shared" ca="1" si="356"/>
        <v>8.2169402955931299E-4</v>
      </c>
      <c r="AC594" s="2">
        <f t="shared" ca="1" si="357"/>
        <v>2.4279076973713078E-5</v>
      </c>
      <c r="AD594" s="2">
        <f t="shared" ca="1" si="358"/>
        <v>0.20580452509409447</v>
      </c>
      <c r="AE594" s="2">
        <f t="shared" ca="1" si="359"/>
        <v>7.1701613672477956E-5</v>
      </c>
      <c r="AF594" s="2">
        <f t="shared" ca="1" si="360"/>
        <v>0.14889947795811009</v>
      </c>
      <c r="AG594" s="2">
        <f t="shared" ca="1" si="361"/>
        <v>1.7866409994664263</v>
      </c>
      <c r="AI594" s="2">
        <f t="shared" ca="1" si="362"/>
        <v>8.5467724663430567E-5</v>
      </c>
      <c r="AJ594" s="11">
        <f t="shared" ca="1" si="363"/>
        <v>7.1701613672477956E-5</v>
      </c>
      <c r="AK594" s="2">
        <f t="shared" ca="1" si="364"/>
        <v>1.0550305908594872E-2</v>
      </c>
      <c r="AL594" s="2">
        <f t="shared" ca="1" si="365"/>
        <v>7.8210020569224154E-4</v>
      </c>
      <c r="AM594" s="2">
        <f t="shared" ca="1" si="366"/>
        <v>2.4279076973713078E-5</v>
      </c>
      <c r="AN594" s="2">
        <f t="shared" ca="1" si="367"/>
        <v>0.20580452509409447</v>
      </c>
      <c r="AO594" s="2">
        <f t="shared" ca="1" si="368"/>
        <v>7.1701613672477956E-5</v>
      </c>
      <c r="AP594" s="2">
        <f t="shared" ca="1" si="369"/>
        <v>0.14889947795811009</v>
      </c>
      <c r="AQ594" s="2">
        <f t="shared" ca="1" si="370"/>
        <v>1.7866409994664263</v>
      </c>
      <c r="AS594" s="2">
        <f t="shared" ca="1" si="371"/>
        <v>8.6774620588000442</v>
      </c>
      <c r="AT594" s="2">
        <f t="shared" ca="1" si="372"/>
        <v>0.39975573240895018</v>
      </c>
      <c r="AU594" s="2">
        <f t="shared" ca="1" si="373"/>
        <v>3.3378481991571876E-4</v>
      </c>
      <c r="AV594" s="2">
        <f t="shared" ca="1" si="374"/>
        <v>0.14870829042924952</v>
      </c>
      <c r="AW594" s="2">
        <f t="shared" ca="1" si="375"/>
        <v>0.70945145282976529</v>
      </c>
      <c r="AX594" s="2">
        <f t="shared" ca="1" si="376"/>
        <v>5.3561441393426688E-2</v>
      </c>
      <c r="AY594" s="9">
        <f t="shared" ca="1" si="377"/>
        <v>0.70945145282976529</v>
      </c>
      <c r="AZ594" s="9">
        <f t="shared" ca="1" si="378"/>
        <v>0.70945145282976529</v>
      </c>
      <c r="BA594" s="9"/>
      <c r="BB594" s="2">
        <f t="shared" ca="1" si="379"/>
        <v>8.6812522642520538</v>
      </c>
      <c r="BC594" s="2">
        <f t="shared" ca="1" si="380"/>
        <v>0.39993245890060025</v>
      </c>
      <c r="BD594" s="2">
        <f t="shared" ca="1" si="381"/>
        <v>3.1278725836916338E-4</v>
      </c>
      <c r="BE594" s="2">
        <f t="shared" ca="1" si="382"/>
        <v>0.14858669069974093</v>
      </c>
      <c r="BF594" s="2">
        <f t="shared" ca="1" si="383"/>
        <v>0.70904797600938529</v>
      </c>
      <c r="BG594" s="2">
        <f t="shared" ca="1" si="384"/>
        <v>5.3181337339576036E-2</v>
      </c>
      <c r="BH594" s="2">
        <f t="shared" ca="1" si="385"/>
        <v>0.70904797600938529</v>
      </c>
      <c r="BI594" s="2">
        <f t="shared" ca="1" si="386"/>
        <v>0.70904797600938529</v>
      </c>
    </row>
    <row r="595" spans="1:61" ht="15" x14ac:dyDescent="0.25">
      <c r="A595" s="66">
        <v>529</v>
      </c>
      <c r="B595" s="66">
        <v>1498730398.1989999</v>
      </c>
      <c r="C595" s="67">
        <v>-8.0325832045211807E-6</v>
      </c>
      <c r="D595" s="67">
        <v>-6.7021745411024702E-5</v>
      </c>
      <c r="E595" s="67">
        <v>1.16697484876832E-2</v>
      </c>
      <c r="F595" s="67">
        <v>7.4327232687864103E-4</v>
      </c>
      <c r="G595" s="67">
        <v>-2.1340547050900699E-5</v>
      </c>
      <c r="H595" s="67">
        <v>0.21292795393007499</v>
      </c>
      <c r="I595" s="67">
        <v>-6.7021745411024702E-5</v>
      </c>
      <c r="J595" s="67">
        <v>0.153987687203641</v>
      </c>
      <c r="K595" s="67">
        <v>1.8491789397735201</v>
      </c>
      <c r="L595" s="67"/>
      <c r="M595" s="67"/>
      <c r="N595" s="16"/>
      <c r="O595" s="11">
        <f t="shared" ca="1" si="344"/>
        <v>-2.083651391448121E-5</v>
      </c>
      <c r="P595" s="11">
        <f t="shared" ca="1" si="345"/>
        <v>-6.778684564132944E-5</v>
      </c>
      <c r="Q595" s="11">
        <f t="shared" ca="1" si="346"/>
        <v>1.0833256875414915E-2</v>
      </c>
      <c r="R595" s="11">
        <f t="shared" ca="1" si="347"/>
        <v>7.3162583923229386E-4</v>
      </c>
      <c r="S595" s="11">
        <f t="shared" ca="1" si="348"/>
        <v>-3.2268199097870823E-5</v>
      </c>
      <c r="T595" s="11">
        <f t="shared" ca="1" si="349"/>
        <v>0.2117893988914927</v>
      </c>
      <c r="U595" s="11">
        <f t="shared" ca="1" si="350"/>
        <v>-6.778684564132944E-5</v>
      </c>
      <c r="V595" s="11">
        <f t="shared" ca="1" si="351"/>
        <v>0.15333749119794723</v>
      </c>
      <c r="W595" s="11">
        <f t="shared" ca="1" si="352"/>
        <v>1.842056091510015</v>
      </c>
      <c r="X595" s="11"/>
      <c r="Y595" s="2">
        <f t="shared" ca="1" si="353"/>
        <v>-2.083651391448121E-5</v>
      </c>
      <c r="Z595" s="11">
        <f t="shared" ca="1" si="354"/>
        <v>-6.778684564132944E-5</v>
      </c>
      <c r="AA595" s="2">
        <f t="shared" ca="1" si="355"/>
        <v>1.0833256875414915E-2</v>
      </c>
      <c r="AB595" s="2">
        <f t="shared" ca="1" si="356"/>
        <v>7.3162583923229386E-4</v>
      </c>
      <c r="AC595" s="2">
        <f t="shared" ca="1" si="357"/>
        <v>-3.2268199097870823E-5</v>
      </c>
      <c r="AD595" s="2">
        <f t="shared" ca="1" si="358"/>
        <v>0.2117893988914927</v>
      </c>
      <c r="AE595" s="2">
        <f t="shared" ca="1" si="359"/>
        <v>-6.778684564132944E-5</v>
      </c>
      <c r="AF595" s="2">
        <f t="shared" ca="1" si="360"/>
        <v>0.15333749119794723</v>
      </c>
      <c r="AG595" s="2">
        <f t="shared" ca="1" si="361"/>
        <v>1.842056091510015</v>
      </c>
      <c r="AI595" s="2">
        <f t="shared" ca="1" si="362"/>
        <v>-2.083651391448121E-5</v>
      </c>
      <c r="AJ595" s="11">
        <f t="shared" ca="1" si="363"/>
        <v>-6.778684564132944E-5</v>
      </c>
      <c r="AK595" s="2">
        <f t="shared" ca="1" si="364"/>
        <v>1.0833256875414915E-2</v>
      </c>
      <c r="AL595" s="2">
        <f t="shared" ca="1" si="365"/>
        <v>7.3162583923229386E-4</v>
      </c>
      <c r="AM595" s="2">
        <f t="shared" ca="1" si="366"/>
        <v>-3.2268199097870823E-5</v>
      </c>
      <c r="AN595" s="2">
        <f t="shared" ca="1" si="367"/>
        <v>0.2117893988914927</v>
      </c>
      <c r="AO595" s="2">
        <f t="shared" ca="1" si="368"/>
        <v>-6.778684564132944E-5</v>
      </c>
      <c r="AP595" s="2">
        <f t="shared" ca="1" si="369"/>
        <v>0.15333749119794723</v>
      </c>
      <c r="AQ595" s="2">
        <f t="shared" ca="1" si="370"/>
        <v>1.842056091510015</v>
      </c>
      <c r="AS595" s="2">
        <f t="shared" ca="1" si="371"/>
        <v>8.6975840205003188</v>
      </c>
      <c r="AT595" s="2">
        <f t="shared" ca="1" si="372"/>
        <v>0.40069397290612419</v>
      </c>
      <c r="AU595" s="2">
        <f t="shared" ca="1" si="373"/>
        <v>2.9315806420276513E-4</v>
      </c>
      <c r="AV595" s="2">
        <f t="shared" ca="1" si="374"/>
        <v>0.15304433313374446</v>
      </c>
      <c r="AW595" s="2">
        <f t="shared" ca="1" si="375"/>
        <v>0.7090103994031719</v>
      </c>
      <c r="AX595" s="2">
        <f t="shared" ca="1" si="376"/>
        <v>5.3166635697041775E-2</v>
      </c>
      <c r="AY595" s="9">
        <f t="shared" ca="1" si="377"/>
        <v>0.7090103994031719</v>
      </c>
      <c r="AZ595" s="9">
        <f t="shared" ca="1" si="378"/>
        <v>0.7090103994031719</v>
      </c>
      <c r="BA595" s="9"/>
      <c r="BB595" s="2">
        <f t="shared" ca="1" si="379"/>
        <v>8.6975840205003188</v>
      </c>
      <c r="BC595" s="2">
        <f t="shared" ca="1" si="380"/>
        <v>0.40069397290612419</v>
      </c>
      <c r="BD595" s="2">
        <f t="shared" ca="1" si="381"/>
        <v>2.9315806420276513E-4</v>
      </c>
      <c r="BE595" s="2">
        <f t="shared" ca="1" si="382"/>
        <v>0.15304433313374446</v>
      </c>
      <c r="BF595" s="2">
        <f t="shared" ca="1" si="383"/>
        <v>0.7090103994031719</v>
      </c>
      <c r="BG595" s="2">
        <f t="shared" ca="1" si="384"/>
        <v>5.3166635697041775E-2</v>
      </c>
      <c r="BH595" s="2">
        <f t="shared" ca="1" si="385"/>
        <v>0.7090103994031719</v>
      </c>
      <c r="BI595" s="2">
        <f t="shared" ca="1" si="386"/>
        <v>0.7090103994031719</v>
      </c>
    </row>
    <row r="596" spans="1:61" ht="15" x14ac:dyDescent="0.25">
      <c r="A596" s="66">
        <v>530</v>
      </c>
      <c r="B596" s="66">
        <v>1498730398.7260001</v>
      </c>
      <c r="C596" s="67">
        <v>-4.96062538171466E-5</v>
      </c>
      <c r="D596" s="67">
        <v>3.14147690564619E-5</v>
      </c>
      <c r="E596" s="67">
        <v>1.1771795848001599E-2</v>
      </c>
      <c r="F596" s="67">
        <v>6.6731737708511797E-4</v>
      </c>
      <c r="G596" s="67">
        <v>6.3044948862067601E-5</v>
      </c>
      <c r="H596" s="67">
        <v>0.21462599572468199</v>
      </c>
      <c r="I596" s="67">
        <v>3.14147690564619E-5</v>
      </c>
      <c r="J596" s="67">
        <v>0.15518801426687701</v>
      </c>
      <c r="K596" s="67">
        <v>1.8635284102316501</v>
      </c>
      <c r="L596" s="67"/>
      <c r="M596" s="67"/>
      <c r="N596" s="16"/>
      <c r="O596" s="11">
        <f t="shared" ca="1" si="344"/>
        <v>-6.2410184527106628E-5</v>
      </c>
      <c r="P596" s="11">
        <f t="shared" ca="1" si="345"/>
        <v>3.0649668826157161E-5</v>
      </c>
      <c r="Q596" s="11">
        <f t="shared" ca="1" si="346"/>
        <v>1.0935304235733315E-2</v>
      </c>
      <c r="R596" s="11">
        <f t="shared" ca="1" si="347"/>
        <v>6.5567088943877081E-4</v>
      </c>
      <c r="S596" s="11">
        <f t="shared" ca="1" si="348"/>
        <v>5.211729681509748E-5</v>
      </c>
      <c r="T596" s="11">
        <f t="shared" ca="1" si="349"/>
        <v>0.21348744068609971</v>
      </c>
      <c r="U596" s="11">
        <f t="shared" ca="1" si="350"/>
        <v>3.0649668826157161E-5</v>
      </c>
      <c r="V596" s="11">
        <f t="shared" ca="1" si="351"/>
        <v>0.15453781826118324</v>
      </c>
      <c r="W596" s="11">
        <f t="shared" ca="1" si="352"/>
        <v>1.856405561968145</v>
      </c>
      <c r="X596" s="11"/>
      <c r="Y596" s="2">
        <f t="shared" ca="1" si="353"/>
        <v>-6.2410184527106628E-5</v>
      </c>
      <c r="Z596" s="11">
        <f t="shared" ca="1" si="354"/>
        <v>3.0649668826157161E-5</v>
      </c>
      <c r="AA596" s="2">
        <f t="shared" ca="1" si="355"/>
        <v>1.093506974283141E-2</v>
      </c>
      <c r="AB596" s="2">
        <f t="shared" ca="1" si="356"/>
        <v>6.4999509533583341E-4</v>
      </c>
      <c r="AC596" s="2">
        <f t="shared" ca="1" si="357"/>
        <v>5.211729681509748E-5</v>
      </c>
      <c r="AD596" s="2">
        <f t="shared" ca="1" si="358"/>
        <v>0.21344616460598023</v>
      </c>
      <c r="AE596" s="2">
        <f t="shared" ca="1" si="359"/>
        <v>3.0649668826157161E-5</v>
      </c>
      <c r="AF596" s="2">
        <f t="shared" ca="1" si="360"/>
        <v>0.15447686343014816</v>
      </c>
      <c r="AG596" s="2">
        <f t="shared" ca="1" si="361"/>
        <v>1.8563808279157079</v>
      </c>
      <c r="AI596" s="2">
        <f t="shared" ca="1" si="362"/>
        <v>-6.2410184527106628E-5</v>
      </c>
      <c r="AJ596" s="11">
        <f t="shared" ca="1" si="363"/>
        <v>3.0649668826157161E-5</v>
      </c>
      <c r="AK596" s="2">
        <f t="shared" ca="1" si="364"/>
        <v>1.0898908804617335E-2</v>
      </c>
      <c r="AL596" s="2">
        <f t="shared" ca="1" si="365"/>
        <v>6.3307026579670768E-4</v>
      </c>
      <c r="AM596" s="2">
        <f t="shared" ca="1" si="366"/>
        <v>5.211729681509748E-5</v>
      </c>
      <c r="AN596" s="2">
        <f t="shared" ca="1" si="367"/>
        <v>0.21344616460598023</v>
      </c>
      <c r="AO596" s="2">
        <f t="shared" ca="1" si="368"/>
        <v>3.0649668826157161E-5</v>
      </c>
      <c r="AP596" s="2">
        <f t="shared" ca="1" si="369"/>
        <v>0.15447686343014816</v>
      </c>
      <c r="AQ596" s="2">
        <f t="shared" ca="1" si="370"/>
        <v>1.8563808279157079</v>
      </c>
      <c r="AS596" s="2">
        <f t="shared" ca="1" si="371"/>
        <v>8.6956195455905174</v>
      </c>
      <c r="AT596" s="2">
        <f t="shared" ca="1" si="372"/>
        <v>0.40060237282765104</v>
      </c>
      <c r="AU596" s="2">
        <f t="shared" ca="1" si="373"/>
        <v>2.6266331410318801E-4</v>
      </c>
      <c r="AV596" s="2">
        <f t="shared" ca="1" si="374"/>
        <v>0.15427515494708005</v>
      </c>
      <c r="AW596" s="2">
        <f t="shared" ca="1" si="375"/>
        <v>0.70910840638455586</v>
      </c>
      <c r="AX596" s="2">
        <f t="shared" ca="1" si="376"/>
        <v>5.3228289704043537E-2</v>
      </c>
      <c r="AY596" s="9">
        <f t="shared" ca="1" si="377"/>
        <v>0.70910840638455586</v>
      </c>
      <c r="AZ596" s="9">
        <f t="shared" ca="1" si="378"/>
        <v>0.70910840638455586</v>
      </c>
      <c r="BA596" s="9"/>
      <c r="BB596" s="2">
        <f t="shared" ca="1" si="379"/>
        <v>8.6971852192451937</v>
      </c>
      <c r="BC596" s="2">
        <f t="shared" ca="1" si="380"/>
        <v>0.40067537747079185</v>
      </c>
      <c r="BD596" s="2">
        <f t="shared" ca="1" si="381"/>
        <v>2.5365566771363035E-4</v>
      </c>
      <c r="BE596" s="2">
        <f t="shared" ca="1" si="382"/>
        <v>0.15422320776243453</v>
      </c>
      <c r="BF596" s="2">
        <f t="shared" ca="1" si="383"/>
        <v>0.70894243827840842</v>
      </c>
      <c r="BG596" s="2">
        <f t="shared" ca="1" si="384"/>
        <v>5.3071167641844108E-2</v>
      </c>
      <c r="BH596" s="2">
        <f t="shared" ca="1" si="385"/>
        <v>0.70894243827840842</v>
      </c>
      <c r="BI596" s="2">
        <f t="shared" ca="1" si="386"/>
        <v>0.70894243827840842</v>
      </c>
    </row>
    <row r="597" spans="1:61" ht="15" x14ac:dyDescent="0.25">
      <c r="A597" s="66">
        <v>531</v>
      </c>
      <c r="B597" s="66">
        <v>1498730399.253</v>
      </c>
      <c r="C597" s="67">
        <v>1.8188070778796499E-5</v>
      </c>
      <c r="D597" s="67">
        <v>1.6624161514133701E-5</v>
      </c>
      <c r="E597" s="67">
        <v>1.2189479068710899E-2</v>
      </c>
      <c r="F597" s="67">
        <v>8.2113809740969198E-4</v>
      </c>
      <c r="G597" s="67">
        <v>1.64831807209058E-4</v>
      </c>
      <c r="H597" s="67">
        <v>0.22286423872257399</v>
      </c>
      <c r="I597" s="67">
        <v>1.6624161514133701E-5</v>
      </c>
      <c r="J597" s="67">
        <v>0.16118087640235301</v>
      </c>
      <c r="K597" s="67">
        <v>1.93421285695125</v>
      </c>
      <c r="L597" s="67"/>
      <c r="M597" s="67"/>
      <c r="N597" s="16"/>
      <c r="O597" s="11">
        <f t="shared" ca="1" si="344"/>
        <v>5.3841400688364712E-6</v>
      </c>
      <c r="P597" s="11">
        <f t="shared" ca="1" si="345"/>
        <v>1.5859061283828959E-5</v>
      </c>
      <c r="Q597" s="11">
        <f t="shared" ca="1" si="346"/>
        <v>1.1352987456442615E-2</v>
      </c>
      <c r="R597" s="11">
        <f t="shared" ca="1" si="347"/>
        <v>8.0949160976334482E-4</v>
      </c>
      <c r="S597" s="11">
        <f t="shared" ca="1" si="348"/>
        <v>1.5390415516208789E-4</v>
      </c>
      <c r="T597" s="11">
        <f t="shared" ca="1" si="349"/>
        <v>0.2217256836839917</v>
      </c>
      <c r="U597" s="11">
        <f t="shared" ca="1" si="350"/>
        <v>1.5859061283828959E-5</v>
      </c>
      <c r="V597" s="11">
        <f t="shared" ca="1" si="351"/>
        <v>0.16053068039665924</v>
      </c>
      <c r="W597" s="11">
        <f t="shared" ca="1" si="352"/>
        <v>1.9270900086877449</v>
      </c>
      <c r="X597" s="11"/>
      <c r="Y597" s="2">
        <f t="shared" ca="1" si="353"/>
        <v>5.3841400688364712E-6</v>
      </c>
      <c r="Z597" s="11">
        <f t="shared" ca="1" si="354"/>
        <v>1.5859061283828959E-5</v>
      </c>
      <c r="AA597" s="2">
        <f t="shared" ca="1" si="355"/>
        <v>1.1352866122756334E-2</v>
      </c>
      <c r="AB597" s="2">
        <f t="shared" ca="1" si="356"/>
        <v>8.0655478303861162E-4</v>
      </c>
      <c r="AC597" s="2">
        <f t="shared" ca="1" si="357"/>
        <v>1.5390415516208789E-4</v>
      </c>
      <c r="AD597" s="2">
        <f t="shared" ca="1" si="358"/>
        <v>0.22170432619762265</v>
      </c>
      <c r="AE597" s="2">
        <f t="shared" ca="1" si="359"/>
        <v>1.5859061283828959E-5</v>
      </c>
      <c r="AF597" s="2">
        <f t="shared" ca="1" si="360"/>
        <v>0.16049914053218586</v>
      </c>
      <c r="AG597" s="2">
        <f t="shared" ca="1" si="361"/>
        <v>1.9270772105444558</v>
      </c>
      <c r="AI597" s="2">
        <f t="shared" ca="1" si="362"/>
        <v>5.3841400688364712E-6</v>
      </c>
      <c r="AJ597" s="11">
        <f t="shared" ca="1" si="363"/>
        <v>1.5859061283828959E-5</v>
      </c>
      <c r="AK597" s="2">
        <f t="shared" ca="1" si="364"/>
        <v>1.1334155364787936E-2</v>
      </c>
      <c r="AL597" s="2">
        <f t="shared" ca="1" si="365"/>
        <v>7.9779736675454778E-4</v>
      </c>
      <c r="AM597" s="2">
        <f t="shared" ca="1" si="366"/>
        <v>1.5390415516208789E-4</v>
      </c>
      <c r="AN597" s="2">
        <f t="shared" ca="1" si="367"/>
        <v>0.22170432619762265</v>
      </c>
      <c r="AO597" s="2">
        <f t="shared" ca="1" si="368"/>
        <v>1.5859061283828959E-5</v>
      </c>
      <c r="AP597" s="2">
        <f t="shared" ca="1" si="369"/>
        <v>0.16049914053218586</v>
      </c>
      <c r="AQ597" s="2">
        <f t="shared" ca="1" si="370"/>
        <v>1.9270772105444558</v>
      </c>
      <c r="AS597" s="2">
        <f t="shared" ca="1" si="371"/>
        <v>8.6913251395552162</v>
      </c>
      <c r="AT597" s="2">
        <f t="shared" ca="1" si="372"/>
        <v>0.40040213295150467</v>
      </c>
      <c r="AU597" s="2">
        <f t="shared" ca="1" si="373"/>
        <v>3.2412216715559035E-4</v>
      </c>
      <c r="AV597" s="2">
        <f t="shared" ca="1" si="374"/>
        <v>0.16020655822950366</v>
      </c>
      <c r="AW597" s="2">
        <f t="shared" ca="1" si="375"/>
        <v>0.70918786973605508</v>
      </c>
      <c r="AX597" s="2">
        <f t="shared" ca="1" si="376"/>
        <v>5.318125806702069E-2</v>
      </c>
      <c r="AY597" s="9">
        <f t="shared" ca="1" si="377"/>
        <v>0.70918786973605508</v>
      </c>
      <c r="AZ597" s="9">
        <f t="shared" ca="1" si="378"/>
        <v>0.70918786973605508</v>
      </c>
      <c r="BA597" s="9"/>
      <c r="BB597" s="2">
        <f t="shared" ca="1" si="379"/>
        <v>8.6921046765082028</v>
      </c>
      <c r="BC597" s="2">
        <f t="shared" ca="1" si="380"/>
        <v>0.40043848116797193</v>
      </c>
      <c r="BD597" s="2">
        <f t="shared" ca="1" si="381"/>
        <v>3.194687658229986E-4</v>
      </c>
      <c r="BE597" s="2">
        <f t="shared" ca="1" si="382"/>
        <v>0.16017967176636286</v>
      </c>
      <c r="BF597" s="2">
        <f t="shared" ca="1" si="383"/>
        <v>0.7091051299151937</v>
      </c>
      <c r="BG597" s="2">
        <f t="shared" ca="1" si="384"/>
        <v>5.3103029942479126E-2</v>
      </c>
      <c r="BH597" s="2">
        <f t="shared" ca="1" si="385"/>
        <v>0.7091051299151937</v>
      </c>
      <c r="BI597" s="2">
        <f t="shared" ca="1" si="386"/>
        <v>0.7091051299151937</v>
      </c>
    </row>
    <row r="598" spans="1:61" ht="15" x14ac:dyDescent="0.25">
      <c r="A598" s="66">
        <v>532</v>
      </c>
      <c r="B598" s="66">
        <v>1498730399.78</v>
      </c>
      <c r="C598" s="67">
        <v>5.9764582245735999E-5</v>
      </c>
      <c r="D598" s="67">
        <v>3.7605741969123297E-5</v>
      </c>
      <c r="E598" s="67">
        <v>1.23435959922918E-2</v>
      </c>
      <c r="F598" s="67">
        <v>7.9065780687705796E-4</v>
      </c>
      <c r="G598" s="67">
        <v>1.1315935624783699E-4</v>
      </c>
      <c r="H598" s="67">
        <v>0.22612675725522999</v>
      </c>
      <c r="I598" s="67">
        <v>3.7605741969123297E-5</v>
      </c>
      <c r="J598" s="67">
        <v>0.16332702671118399</v>
      </c>
      <c r="K598" s="67">
        <v>1.96177356809459</v>
      </c>
      <c r="L598" s="67"/>
      <c r="M598" s="67"/>
      <c r="N598" s="16"/>
      <c r="O598" s="11">
        <f t="shared" ca="1" si="344"/>
        <v>4.6960651535775971E-5</v>
      </c>
      <c r="P598" s="11">
        <f t="shared" ca="1" si="345"/>
        <v>3.6840641738818559E-5</v>
      </c>
      <c r="Q598" s="11">
        <f t="shared" ca="1" si="346"/>
        <v>1.1507104380023515E-2</v>
      </c>
      <c r="R598" s="11">
        <f t="shared" ca="1" si="347"/>
        <v>7.7901131923071079E-4</v>
      </c>
      <c r="S598" s="11">
        <f t="shared" ca="1" si="348"/>
        <v>1.0223170420086687E-4</v>
      </c>
      <c r="T598" s="11">
        <f t="shared" ca="1" si="349"/>
        <v>0.2249882022166477</v>
      </c>
      <c r="U598" s="11">
        <f t="shared" ca="1" si="350"/>
        <v>3.6840641738818559E-5</v>
      </c>
      <c r="V598" s="11">
        <f t="shared" ca="1" si="351"/>
        <v>0.16267683070549022</v>
      </c>
      <c r="W598" s="11">
        <f t="shared" ca="1" si="352"/>
        <v>1.954650719831085</v>
      </c>
      <c r="X598" s="11"/>
      <c r="Y598" s="2">
        <f t="shared" ca="1" si="353"/>
        <v>4.6960651535775971E-5</v>
      </c>
      <c r="Z598" s="11">
        <f t="shared" ca="1" si="354"/>
        <v>3.6840641738818559E-5</v>
      </c>
      <c r="AA598" s="2">
        <f t="shared" ca="1" si="355"/>
        <v>1.1506822521546075E-2</v>
      </c>
      <c r="AB598" s="2">
        <f t="shared" ca="1" si="356"/>
        <v>7.7218906290175613E-4</v>
      </c>
      <c r="AC598" s="2">
        <f t="shared" ca="1" si="357"/>
        <v>1.0223170420086687E-4</v>
      </c>
      <c r="AD598" s="2">
        <f t="shared" ca="1" si="358"/>
        <v>0.2249385887187437</v>
      </c>
      <c r="AE598" s="2">
        <f t="shared" ca="1" si="359"/>
        <v>3.6840641738818559E-5</v>
      </c>
      <c r="AF598" s="2">
        <f t="shared" ca="1" si="360"/>
        <v>0.16260356351604194</v>
      </c>
      <c r="AG598" s="2">
        <f t="shared" ca="1" si="361"/>
        <v>1.9546209897100271</v>
      </c>
      <c r="AI598" s="2">
        <f t="shared" ca="1" si="362"/>
        <v>4.6960651535775971E-5</v>
      </c>
      <c r="AJ598" s="11">
        <f t="shared" ca="1" si="363"/>
        <v>3.6840641738818559E-5</v>
      </c>
      <c r="AK598" s="2">
        <f t="shared" ca="1" si="364"/>
        <v>1.1463357380789078E-2</v>
      </c>
      <c r="AL598" s="2">
        <f t="shared" ca="1" si="365"/>
        <v>7.5184556147346745E-4</v>
      </c>
      <c r="AM598" s="2">
        <f t="shared" ca="1" si="366"/>
        <v>1.0223170420086687E-4</v>
      </c>
      <c r="AN598" s="2">
        <f t="shared" ca="1" si="367"/>
        <v>0.2249385887187437</v>
      </c>
      <c r="AO598" s="2">
        <f t="shared" ca="1" si="368"/>
        <v>3.6840641738818559E-5</v>
      </c>
      <c r="AP598" s="2">
        <f t="shared" ca="1" si="369"/>
        <v>0.16260356351604194</v>
      </c>
      <c r="AQ598" s="2">
        <f t="shared" ca="1" si="370"/>
        <v>1.9546209897100271</v>
      </c>
      <c r="AS598" s="2">
        <f t="shared" ca="1" si="371"/>
        <v>8.6877920734212317</v>
      </c>
      <c r="AT598" s="2">
        <f t="shared" ca="1" si="372"/>
        <v>0.40023739378722933</v>
      </c>
      <c r="AU598" s="2">
        <f t="shared" ca="1" si="373"/>
        <v>3.1178946013965102E-4</v>
      </c>
      <c r="AV598" s="2">
        <f t="shared" ca="1" si="374"/>
        <v>0.16236504124535056</v>
      </c>
      <c r="AW598" s="2">
        <f t="shared" ca="1" si="375"/>
        <v>0.70846551655214851</v>
      </c>
      <c r="AX598" s="2">
        <f t="shared" ca="1" si="376"/>
        <v>5.3099456320438727E-2</v>
      </c>
      <c r="AY598" s="9">
        <f t="shared" ca="1" si="377"/>
        <v>0.70846551655214851</v>
      </c>
      <c r="AZ598" s="9">
        <f t="shared" ca="1" si="378"/>
        <v>0.70846551655214851</v>
      </c>
      <c r="BA598" s="9"/>
      <c r="BB598" s="2">
        <f t="shared" ca="1" si="379"/>
        <v>8.6895761231703332</v>
      </c>
      <c r="BC598" s="2">
        <f t="shared" ca="1" si="380"/>
        <v>0.40032058003249077</v>
      </c>
      <c r="BD598" s="2">
        <f t="shared" ca="1" si="381"/>
        <v>3.0097925126391218E-4</v>
      </c>
      <c r="BE598" s="2">
        <f t="shared" ca="1" si="382"/>
        <v>0.16230258426477803</v>
      </c>
      <c r="BF598" s="2">
        <f t="shared" ca="1" si="383"/>
        <v>0.70827595175982472</v>
      </c>
      <c r="BG598" s="2">
        <f t="shared" ca="1" si="384"/>
        <v>5.2920371050084021E-2</v>
      </c>
      <c r="BH598" s="2">
        <f t="shared" ca="1" si="385"/>
        <v>0.70827595175982472</v>
      </c>
      <c r="BI598" s="2">
        <f t="shared" ca="1" si="386"/>
        <v>0.70827595175982472</v>
      </c>
    </row>
    <row r="599" spans="1:61" ht="15" x14ac:dyDescent="0.25">
      <c r="A599" s="66">
        <v>533</v>
      </c>
      <c r="B599" s="66">
        <v>1498730400.3069999</v>
      </c>
      <c r="C599" s="67">
        <v>-8.7412399112025102E-6</v>
      </c>
      <c r="D599" s="67">
        <v>-6.3716922078836894E-5</v>
      </c>
      <c r="E599" s="67">
        <v>1.23874272824698E-2</v>
      </c>
      <c r="F599" s="67">
        <v>8.3590232245365798E-4</v>
      </c>
      <c r="G599" s="67">
        <v>6.8348819089012096E-6</v>
      </c>
      <c r="H599" s="67">
        <v>0.225986205553698</v>
      </c>
      <c r="I599" s="67">
        <v>-6.3716922078836894E-5</v>
      </c>
      <c r="J599" s="67">
        <v>0.16342323061515501</v>
      </c>
      <c r="K599" s="67">
        <v>1.9616820522966301</v>
      </c>
      <c r="L599" s="67"/>
      <c r="M599" s="67"/>
      <c r="N599" s="16"/>
      <c r="O599" s="11">
        <f t="shared" ca="1" si="344"/>
        <v>-2.1545170621162538E-5</v>
      </c>
      <c r="P599" s="11">
        <f t="shared" ca="1" si="345"/>
        <v>-6.4482022309141632E-5</v>
      </c>
      <c r="Q599" s="11">
        <f t="shared" ca="1" si="346"/>
        <v>1.1550935670201516E-2</v>
      </c>
      <c r="R599" s="11">
        <f t="shared" ca="1" si="347"/>
        <v>8.2425583480731082E-4</v>
      </c>
      <c r="S599" s="11">
        <f t="shared" ca="1" si="348"/>
        <v>-4.0927701380689128E-6</v>
      </c>
      <c r="T599" s="11">
        <f t="shared" ca="1" si="349"/>
        <v>0.22484765051511571</v>
      </c>
      <c r="U599" s="11">
        <f t="shared" ca="1" si="350"/>
        <v>-6.4482022309141632E-5</v>
      </c>
      <c r="V599" s="11">
        <f t="shared" ca="1" si="351"/>
        <v>0.16277303460946124</v>
      </c>
      <c r="W599" s="11">
        <f t="shared" ca="1" si="352"/>
        <v>1.954559204033125</v>
      </c>
      <c r="X599" s="11"/>
      <c r="Y599" s="2">
        <f t="shared" ca="1" si="353"/>
        <v>-2.1545170621162538E-5</v>
      </c>
      <c r="Z599" s="11">
        <f t="shared" ca="1" si="354"/>
        <v>-6.4482022309141632E-5</v>
      </c>
      <c r="AA599" s="2">
        <f t="shared" ca="1" si="355"/>
        <v>1.1550935670201516E-2</v>
      </c>
      <c r="AB599" s="2">
        <f t="shared" ca="1" si="356"/>
        <v>8.2425583480731082E-4</v>
      </c>
      <c r="AC599" s="2">
        <f t="shared" ca="1" si="357"/>
        <v>-4.0927701380689128E-6</v>
      </c>
      <c r="AD599" s="2">
        <f t="shared" ca="1" si="358"/>
        <v>0.22484765051511571</v>
      </c>
      <c r="AE599" s="2">
        <f t="shared" ca="1" si="359"/>
        <v>-6.4482022309141632E-5</v>
      </c>
      <c r="AF599" s="2">
        <f t="shared" ca="1" si="360"/>
        <v>0.16277303460946124</v>
      </c>
      <c r="AG599" s="2">
        <f t="shared" ca="1" si="361"/>
        <v>1.954559204033125</v>
      </c>
      <c r="AI599" s="2">
        <f t="shared" ca="1" si="362"/>
        <v>-2.1545170621162538E-5</v>
      </c>
      <c r="AJ599" s="11">
        <f t="shared" ca="1" si="363"/>
        <v>-6.4482022309141632E-5</v>
      </c>
      <c r="AK599" s="2">
        <f t="shared" ca="1" si="364"/>
        <v>1.1550935670201516E-2</v>
      </c>
      <c r="AL599" s="2">
        <f t="shared" ca="1" si="365"/>
        <v>8.2425583480731082E-4</v>
      </c>
      <c r="AM599" s="2">
        <f t="shared" ca="1" si="366"/>
        <v>-4.0927701380689128E-6</v>
      </c>
      <c r="AN599" s="2">
        <f t="shared" ca="1" si="367"/>
        <v>0.22484765051511571</v>
      </c>
      <c r="AO599" s="2">
        <f t="shared" ca="1" si="368"/>
        <v>-6.4482022309141632E-5</v>
      </c>
      <c r="AP599" s="2">
        <f t="shared" ca="1" si="369"/>
        <v>0.16277303460946124</v>
      </c>
      <c r="AQ599" s="2">
        <f t="shared" ca="1" si="370"/>
        <v>1.954559204033125</v>
      </c>
      <c r="AS599" s="2">
        <f t="shared" ca="1" si="371"/>
        <v>8.6928157779515107</v>
      </c>
      <c r="AT599" s="2">
        <f t="shared" ca="1" si="372"/>
        <v>0.4004716384108376</v>
      </c>
      <c r="AU599" s="2">
        <f t="shared" ca="1" si="373"/>
        <v>3.3009108463497646E-4</v>
      </c>
      <c r="AV599" s="2">
        <f t="shared" ca="1" si="374"/>
        <v>0.16244294352482627</v>
      </c>
      <c r="AW599" s="2">
        <f t="shared" ca="1" si="375"/>
        <v>0.70904206380304624</v>
      </c>
      <c r="AX599" s="2">
        <f t="shared" ca="1" si="376"/>
        <v>5.3366592477147395E-2</v>
      </c>
      <c r="AY599" s="9">
        <f t="shared" ca="1" si="377"/>
        <v>0.70904206380304624</v>
      </c>
      <c r="AZ599" s="9">
        <f t="shared" ca="1" si="378"/>
        <v>0.70904206380304624</v>
      </c>
      <c r="BA599" s="9"/>
      <c r="BB599" s="2">
        <f t="shared" ca="1" si="379"/>
        <v>8.6928157779515107</v>
      </c>
      <c r="BC599" s="2">
        <f t="shared" ca="1" si="380"/>
        <v>0.4004716384108376</v>
      </c>
      <c r="BD599" s="2">
        <f t="shared" ca="1" si="381"/>
        <v>3.3009108463497646E-4</v>
      </c>
      <c r="BE599" s="2">
        <f t="shared" ca="1" si="382"/>
        <v>0.16244294352482627</v>
      </c>
      <c r="BF599" s="2">
        <f t="shared" ca="1" si="383"/>
        <v>0.70904206380304624</v>
      </c>
      <c r="BG599" s="2">
        <f t="shared" ca="1" si="384"/>
        <v>5.3366592477147395E-2</v>
      </c>
      <c r="BH599" s="2">
        <f t="shared" ca="1" si="385"/>
        <v>0.70904206380304624</v>
      </c>
      <c r="BI599" s="2">
        <f t="shared" ca="1" si="386"/>
        <v>0.70904206380304624</v>
      </c>
    </row>
    <row r="600" spans="1:61" ht="15" x14ac:dyDescent="0.25">
      <c r="A600" s="66">
        <v>534</v>
      </c>
      <c r="B600" s="66">
        <v>1498730400.8340001</v>
      </c>
      <c r="C600" s="67">
        <v>-3.0709346766088297E-5</v>
      </c>
      <c r="D600" s="67">
        <v>7.9818625161821399E-5</v>
      </c>
      <c r="E600" s="67">
        <v>1.28583722479429E-2</v>
      </c>
      <c r="F600" s="67">
        <v>8.1399419587967203E-4</v>
      </c>
      <c r="G600" s="67">
        <v>3.1403937418333698E-7</v>
      </c>
      <c r="H600" s="67">
        <v>0.23692099138423101</v>
      </c>
      <c r="I600" s="67">
        <v>7.9818625161821399E-5</v>
      </c>
      <c r="J600" s="67">
        <v>0.17129959212006601</v>
      </c>
      <c r="K600" s="67">
        <v>2.0559617450657601</v>
      </c>
      <c r="L600" s="67"/>
      <c r="M600" s="67"/>
      <c r="N600" s="16"/>
      <c r="O600" s="11">
        <f t="shared" ca="1" si="344"/>
        <v>-4.3513277476048325E-5</v>
      </c>
      <c r="P600" s="11">
        <f t="shared" ca="1" si="345"/>
        <v>7.9053524931516661E-5</v>
      </c>
      <c r="Q600" s="11">
        <f t="shared" ca="1" si="346"/>
        <v>1.2021880635674616E-2</v>
      </c>
      <c r="R600" s="11">
        <f t="shared" ca="1" si="347"/>
        <v>8.0234770823332487E-4</v>
      </c>
      <c r="S600" s="11">
        <f t="shared" ca="1" si="348"/>
        <v>-1.0613612672786785E-5</v>
      </c>
      <c r="T600" s="11">
        <f t="shared" ca="1" si="349"/>
        <v>0.23578243634564872</v>
      </c>
      <c r="U600" s="11">
        <f t="shared" ca="1" si="350"/>
        <v>7.9053524931516661E-5</v>
      </c>
      <c r="V600" s="11">
        <f t="shared" ca="1" si="351"/>
        <v>0.17064939611437224</v>
      </c>
      <c r="W600" s="11">
        <f t="shared" ca="1" si="352"/>
        <v>2.0488388968022551</v>
      </c>
      <c r="X600" s="11"/>
      <c r="Y600" s="2">
        <f t="shared" ca="1" si="353"/>
        <v>-4.3513277476048325E-5</v>
      </c>
      <c r="Z600" s="11">
        <f t="shared" ca="1" si="354"/>
        <v>7.9053524931516661E-5</v>
      </c>
      <c r="AA600" s="2">
        <f t="shared" ca="1" si="355"/>
        <v>1.2021275817052523E-2</v>
      </c>
      <c r="AB600" s="2">
        <f t="shared" ca="1" si="356"/>
        <v>7.877083484031204E-4</v>
      </c>
      <c r="AC600" s="2">
        <f t="shared" ca="1" si="357"/>
        <v>-1.0613612672786785E-5</v>
      </c>
      <c r="AD600" s="2">
        <f t="shared" ca="1" si="358"/>
        <v>0.23567597452228259</v>
      </c>
      <c r="AE600" s="2">
        <f t="shared" ca="1" si="359"/>
        <v>7.9053524931516661E-5</v>
      </c>
      <c r="AF600" s="2">
        <f t="shared" ca="1" si="360"/>
        <v>0.17049217763732252</v>
      </c>
      <c r="AG600" s="2">
        <f t="shared" ca="1" si="361"/>
        <v>2.0487751012016537</v>
      </c>
      <c r="AI600" s="2">
        <f t="shared" ca="1" si="362"/>
        <v>-4.3513277476048325E-5</v>
      </c>
      <c r="AJ600" s="11">
        <f t="shared" ca="1" si="363"/>
        <v>7.9053524931516661E-5</v>
      </c>
      <c r="AK600" s="2">
        <f t="shared" ca="1" si="364"/>
        <v>1.1928007284629954E-2</v>
      </c>
      <c r="AL600" s="2">
        <f t="shared" ca="1" si="365"/>
        <v>7.4405477937039099E-4</v>
      </c>
      <c r="AM600" s="2">
        <f t="shared" ca="1" si="366"/>
        <v>-1.0613612672786785E-5</v>
      </c>
      <c r="AN600" s="2">
        <f t="shared" ca="1" si="367"/>
        <v>0.23567597452228259</v>
      </c>
      <c r="AO600" s="2">
        <f t="shared" ca="1" si="368"/>
        <v>7.9053524931516661E-5</v>
      </c>
      <c r="AP600" s="2">
        <f t="shared" ca="1" si="369"/>
        <v>0.17049217763732252</v>
      </c>
      <c r="AQ600" s="2">
        <f t="shared" ca="1" si="370"/>
        <v>2.0487751012016537</v>
      </c>
      <c r="AS600" s="2">
        <f t="shared" ca="1" si="371"/>
        <v>8.6895314534740393</v>
      </c>
      <c r="AT600" s="2">
        <f t="shared" ca="1" si="372"/>
        <v>0.40031849718204082</v>
      </c>
      <c r="AU600" s="2">
        <f t="shared" ca="1" si="373"/>
        <v>3.211946287774192E-4</v>
      </c>
      <c r="AV600" s="2">
        <f t="shared" ca="1" si="374"/>
        <v>0.17032820148559483</v>
      </c>
      <c r="AW600" s="2">
        <f t="shared" ca="1" si="375"/>
        <v>0.70911596219026307</v>
      </c>
      <c r="AX600" s="2">
        <f t="shared" ca="1" si="376"/>
        <v>5.294606525904777E-2</v>
      </c>
      <c r="AY600" s="9">
        <f t="shared" ca="1" si="377"/>
        <v>0.70911596219026307</v>
      </c>
      <c r="AZ600" s="9">
        <f t="shared" ca="1" si="378"/>
        <v>0.70911596219026307</v>
      </c>
      <c r="BA600" s="9"/>
      <c r="BB600" s="2">
        <f t="shared" ca="1" si="379"/>
        <v>8.6931860803993288</v>
      </c>
      <c r="BC600" s="2">
        <f t="shared" ca="1" si="380"/>
        <v>0.40048890488888317</v>
      </c>
      <c r="BD600" s="2">
        <f t="shared" ca="1" si="381"/>
        <v>2.9798568376738745E-4</v>
      </c>
      <c r="BE600" s="2">
        <f t="shared" ca="1" si="382"/>
        <v>0.17019419195355515</v>
      </c>
      <c r="BF600" s="2">
        <f t="shared" ca="1" si="383"/>
        <v>0.70872803281555885</v>
      </c>
      <c r="BG600" s="2">
        <f t="shared" ca="1" si="384"/>
        <v>5.2578982369226854E-2</v>
      </c>
      <c r="BH600" s="2">
        <f t="shared" ca="1" si="385"/>
        <v>0.70872803281555885</v>
      </c>
      <c r="BI600" s="2">
        <f t="shared" ca="1" si="386"/>
        <v>0.70872803281555885</v>
      </c>
    </row>
    <row r="601" spans="1:61" ht="15" x14ac:dyDescent="0.25">
      <c r="A601" s="66">
        <v>535</v>
      </c>
      <c r="B601" s="66">
        <v>1498730401.3610001</v>
      </c>
      <c r="C601" s="67">
        <v>-3.2599053667619201E-5</v>
      </c>
      <c r="D601" s="67">
        <v>-3.5668701297089897E-5</v>
      </c>
      <c r="E601" s="67">
        <v>1.3049221590252401E-2</v>
      </c>
      <c r="F601" s="67">
        <v>8.06374090553416E-4</v>
      </c>
      <c r="G601" s="67">
        <v>-3.2824968103726798E-5</v>
      </c>
      <c r="H601" s="67">
        <v>0.24002699635732899</v>
      </c>
      <c r="I601" s="67">
        <v>-3.5668701297089897E-5</v>
      </c>
      <c r="J601" s="67">
        <v>0.17342137714250799</v>
      </c>
      <c r="K601" s="67">
        <v>2.08424463281299</v>
      </c>
      <c r="L601" s="67"/>
      <c r="M601" s="67"/>
      <c r="N601" s="16"/>
      <c r="O601" s="11">
        <f t="shared" ca="1" si="344"/>
        <v>-4.5402984377579229E-5</v>
      </c>
      <c r="P601" s="11">
        <f t="shared" ca="1" si="345"/>
        <v>-3.6433801527394635E-5</v>
      </c>
      <c r="Q601" s="11">
        <f t="shared" ca="1" si="346"/>
        <v>1.2212729977984116E-2</v>
      </c>
      <c r="R601" s="11">
        <f t="shared" ca="1" si="347"/>
        <v>7.9472760290706884E-4</v>
      </c>
      <c r="S601" s="11">
        <f t="shared" ca="1" si="348"/>
        <v>-4.3752620150696919E-5</v>
      </c>
      <c r="T601" s="11">
        <f t="shared" ca="1" si="349"/>
        <v>0.2388884413187467</v>
      </c>
      <c r="U601" s="11">
        <f t="shared" ca="1" si="350"/>
        <v>-3.6433801527394635E-5</v>
      </c>
      <c r="V601" s="11">
        <f t="shared" ca="1" si="351"/>
        <v>0.17277118113681422</v>
      </c>
      <c r="W601" s="11">
        <f t="shared" ca="1" si="352"/>
        <v>2.0771217845494849</v>
      </c>
      <c r="X601" s="11"/>
      <c r="Y601" s="2">
        <f t="shared" ca="1" si="353"/>
        <v>-4.5402984377579229E-5</v>
      </c>
      <c r="Z601" s="11">
        <f t="shared" ca="1" si="354"/>
        <v>-3.6433801527394635E-5</v>
      </c>
      <c r="AA601" s="2">
        <f t="shared" ca="1" si="355"/>
        <v>1.2212729977984116E-2</v>
      </c>
      <c r="AB601" s="2">
        <f t="shared" ca="1" si="356"/>
        <v>7.9472760290706884E-4</v>
      </c>
      <c r="AC601" s="2">
        <f t="shared" ca="1" si="357"/>
        <v>-4.3752620150696919E-5</v>
      </c>
      <c r="AD601" s="2">
        <f t="shared" ca="1" si="358"/>
        <v>0.2388884413187467</v>
      </c>
      <c r="AE601" s="2">
        <f t="shared" ca="1" si="359"/>
        <v>-3.6433801527394635E-5</v>
      </c>
      <c r="AF601" s="2">
        <f t="shared" ca="1" si="360"/>
        <v>0.17277118113681422</v>
      </c>
      <c r="AG601" s="2">
        <f t="shared" ca="1" si="361"/>
        <v>2.0771217845494849</v>
      </c>
      <c r="AI601" s="2">
        <f t="shared" ca="1" si="362"/>
        <v>-4.5402984377579229E-5</v>
      </c>
      <c r="AJ601" s="11">
        <f t="shared" ca="1" si="363"/>
        <v>-3.6433801527394635E-5</v>
      </c>
      <c r="AK601" s="2">
        <f t="shared" ca="1" si="364"/>
        <v>1.2212729977984116E-2</v>
      </c>
      <c r="AL601" s="2">
        <f t="shared" ca="1" si="365"/>
        <v>7.9472760290706884E-4</v>
      </c>
      <c r="AM601" s="2">
        <f t="shared" ca="1" si="366"/>
        <v>-4.3752620150696919E-5</v>
      </c>
      <c r="AN601" s="2">
        <f t="shared" ca="1" si="367"/>
        <v>0.2388884413187467</v>
      </c>
      <c r="AO601" s="2">
        <f t="shared" ca="1" si="368"/>
        <v>-3.6433801527394635E-5</v>
      </c>
      <c r="AP601" s="2">
        <f t="shared" ca="1" si="369"/>
        <v>0.17277118113681422</v>
      </c>
      <c r="AQ601" s="2">
        <f t="shared" ca="1" si="370"/>
        <v>2.0771217845494849</v>
      </c>
      <c r="AS601" s="2">
        <f t="shared" ca="1" si="371"/>
        <v>8.6949446908483949</v>
      </c>
      <c r="AT601" s="2">
        <f t="shared" ca="1" si="372"/>
        <v>0.40057090557233099</v>
      </c>
      <c r="AU601" s="2">
        <f t="shared" ca="1" si="373"/>
        <v>3.1834475557981245E-4</v>
      </c>
      <c r="AV601" s="2">
        <f t="shared" ca="1" si="374"/>
        <v>0.1724528363812344</v>
      </c>
      <c r="AW601" s="2">
        <f t="shared" ca="1" si="375"/>
        <v>0.70840424130032043</v>
      </c>
      <c r="AX601" s="2">
        <f t="shared" ca="1" si="376"/>
        <v>5.3121105044773062E-2</v>
      </c>
      <c r="AY601" s="9">
        <f t="shared" ca="1" si="377"/>
        <v>0.70840424130032043</v>
      </c>
      <c r="AZ601" s="9">
        <f t="shared" ca="1" si="378"/>
        <v>0.70840424130032043</v>
      </c>
      <c r="BA601" s="9"/>
      <c r="BB601" s="2">
        <f t="shared" ca="1" si="379"/>
        <v>8.6949446908483949</v>
      </c>
      <c r="BC601" s="2">
        <f t="shared" ca="1" si="380"/>
        <v>0.40057090557233099</v>
      </c>
      <c r="BD601" s="2">
        <f t="shared" ca="1" si="381"/>
        <v>3.1834475557981245E-4</v>
      </c>
      <c r="BE601" s="2">
        <f t="shared" ca="1" si="382"/>
        <v>0.1724528363812344</v>
      </c>
      <c r="BF601" s="2">
        <f t="shared" ca="1" si="383"/>
        <v>0.70840424130032043</v>
      </c>
      <c r="BG601" s="2">
        <f t="shared" ca="1" si="384"/>
        <v>5.3121105044773062E-2</v>
      </c>
      <c r="BH601" s="2">
        <f t="shared" ca="1" si="385"/>
        <v>0.70840424130032043</v>
      </c>
      <c r="BI601" s="2">
        <f t="shared" ca="1" si="386"/>
        <v>0.70840424130032043</v>
      </c>
    </row>
    <row r="602" spans="1:61" ht="15" x14ac:dyDescent="0.25">
      <c r="A602" s="66">
        <v>536</v>
      </c>
      <c r="B602" s="66">
        <v>1498730401.888</v>
      </c>
      <c r="C602" s="67">
        <v>8.7404477238627298E-5</v>
      </c>
      <c r="D602" s="67">
        <v>-4.6553675168121701E-5</v>
      </c>
      <c r="E602" s="67">
        <v>1.2238842088806601E-2</v>
      </c>
      <c r="F602" s="67">
        <v>7.6517890260084805E-4</v>
      </c>
      <c r="G602" s="67">
        <v>-8.2042249900803703E-5</v>
      </c>
      <c r="H602" s="67">
        <v>0.224785875081665</v>
      </c>
      <c r="I602" s="67">
        <v>-4.6553675168121701E-5</v>
      </c>
      <c r="J602" s="67">
        <v>0.162534314199791</v>
      </c>
      <c r="K602" s="67">
        <v>1.9534246365222401</v>
      </c>
      <c r="L602" s="67"/>
      <c r="M602" s="67"/>
      <c r="N602" s="16"/>
      <c r="O602" s="11">
        <f t="shared" ca="1" si="344"/>
        <v>7.4600546528667263E-5</v>
      </c>
      <c r="P602" s="11">
        <f t="shared" ca="1" si="345"/>
        <v>-4.731877539842644E-5</v>
      </c>
      <c r="Q602" s="11">
        <f t="shared" ca="1" si="346"/>
        <v>1.1402350476538316E-2</v>
      </c>
      <c r="R602" s="11">
        <f t="shared" ca="1" si="347"/>
        <v>7.5353241495450089E-4</v>
      </c>
      <c r="S602" s="11">
        <f t="shared" ca="1" si="348"/>
        <v>-9.296990194777383E-5</v>
      </c>
      <c r="T602" s="11">
        <f t="shared" ca="1" si="349"/>
        <v>0.22364732004308271</v>
      </c>
      <c r="U602" s="11">
        <f t="shared" ca="1" si="350"/>
        <v>-4.731877539842644E-5</v>
      </c>
      <c r="V602" s="11">
        <f t="shared" ca="1" si="351"/>
        <v>0.16188411819409723</v>
      </c>
      <c r="W602" s="11">
        <f t="shared" ca="1" si="352"/>
        <v>1.946301788258735</v>
      </c>
      <c r="X602" s="11"/>
      <c r="Y602" s="2">
        <f t="shared" ca="1" si="353"/>
        <v>7.4600546528667263E-5</v>
      </c>
      <c r="Z602" s="11">
        <f t="shared" ca="1" si="354"/>
        <v>-4.731877539842644E-5</v>
      </c>
      <c r="AA602" s="2">
        <f t="shared" ca="1" si="355"/>
        <v>1.1402350476538316E-2</v>
      </c>
      <c r="AB602" s="2">
        <f t="shared" ca="1" si="356"/>
        <v>7.5353241495450089E-4</v>
      </c>
      <c r="AC602" s="2">
        <f t="shared" ca="1" si="357"/>
        <v>-9.296990194777383E-5</v>
      </c>
      <c r="AD602" s="2">
        <f t="shared" ca="1" si="358"/>
        <v>0.22364732004308271</v>
      </c>
      <c r="AE602" s="2">
        <f t="shared" ca="1" si="359"/>
        <v>-4.731877539842644E-5</v>
      </c>
      <c r="AF602" s="2">
        <f t="shared" ca="1" si="360"/>
        <v>0.16188411819409723</v>
      </c>
      <c r="AG602" s="2">
        <f t="shared" ca="1" si="361"/>
        <v>1.946301788258735</v>
      </c>
      <c r="AI602" s="2">
        <f t="shared" ca="1" si="362"/>
        <v>7.4600546528667263E-5</v>
      </c>
      <c r="AJ602" s="11">
        <f t="shared" ca="1" si="363"/>
        <v>-4.731877539842644E-5</v>
      </c>
      <c r="AK602" s="2">
        <f t="shared" ca="1" si="364"/>
        <v>1.1402350476538316E-2</v>
      </c>
      <c r="AL602" s="2">
        <f t="shared" ca="1" si="365"/>
        <v>7.5353241495450089E-4</v>
      </c>
      <c r="AM602" s="2">
        <f t="shared" ca="1" si="366"/>
        <v>-9.296990194777383E-5</v>
      </c>
      <c r="AN602" s="2">
        <f t="shared" ca="1" si="367"/>
        <v>0.22364732004308271</v>
      </c>
      <c r="AO602" s="2">
        <f t="shared" ca="1" si="368"/>
        <v>-4.731877539842644E-5</v>
      </c>
      <c r="AP602" s="2">
        <f t="shared" ca="1" si="369"/>
        <v>0.16188411819409723</v>
      </c>
      <c r="AQ602" s="2">
        <f t="shared" ca="1" si="370"/>
        <v>1.946301788258735</v>
      </c>
      <c r="AS602" s="2">
        <f t="shared" ca="1" si="371"/>
        <v>8.7025491201227254</v>
      </c>
      <c r="AT602" s="2">
        <f t="shared" ca="1" si="372"/>
        <v>0.40092548806061845</v>
      </c>
      <c r="AU602" s="2">
        <f t="shared" ca="1" si="373"/>
        <v>3.0211035123512976E-4</v>
      </c>
      <c r="AV602" s="2">
        <f t="shared" ca="1" si="374"/>
        <v>0.16158200784286211</v>
      </c>
      <c r="AW602" s="2">
        <f t="shared" ca="1" si="375"/>
        <v>0.70867001238351235</v>
      </c>
      <c r="AX602" s="2">
        <f t="shared" ca="1" si="376"/>
        <v>5.3023532400410273E-2</v>
      </c>
      <c r="AY602" s="9">
        <f t="shared" ca="1" si="377"/>
        <v>0.70867001238351235</v>
      </c>
      <c r="AZ602" s="9">
        <f t="shared" ca="1" si="378"/>
        <v>0.70867001238351235</v>
      </c>
      <c r="BA602" s="9"/>
      <c r="BB602" s="2">
        <f t="shared" ca="1" si="379"/>
        <v>8.7025491201227254</v>
      </c>
      <c r="BC602" s="2">
        <f t="shared" ca="1" si="380"/>
        <v>0.40092548806061845</v>
      </c>
      <c r="BD602" s="2">
        <f t="shared" ca="1" si="381"/>
        <v>3.0211035123512976E-4</v>
      </c>
      <c r="BE602" s="2">
        <f t="shared" ca="1" si="382"/>
        <v>0.16158200784286211</v>
      </c>
      <c r="BF602" s="2">
        <f t="shared" ca="1" si="383"/>
        <v>0.70867001238351235</v>
      </c>
      <c r="BG602" s="2">
        <f t="shared" ca="1" si="384"/>
        <v>5.3023532400410273E-2</v>
      </c>
      <c r="BH602" s="2">
        <f t="shared" ca="1" si="385"/>
        <v>0.70867001238351235</v>
      </c>
      <c r="BI602" s="2">
        <f t="shared" ca="1" si="386"/>
        <v>0.70867001238351235</v>
      </c>
    </row>
    <row r="603" spans="1:61" ht="15" x14ac:dyDescent="0.25">
      <c r="A603" s="66">
        <v>537</v>
      </c>
      <c r="B603" s="66">
        <v>1498730402.415</v>
      </c>
      <c r="C603" s="67">
        <v>-2.71661366248269E-5</v>
      </c>
      <c r="D603" s="67">
        <v>-4.25162212314566E-5</v>
      </c>
      <c r="E603" s="67">
        <v>1.2133617484441601E-2</v>
      </c>
      <c r="F603" s="67">
        <v>7.0684180269517697E-4</v>
      </c>
      <c r="G603" s="67">
        <v>-8.8486766055750104E-5</v>
      </c>
      <c r="H603" s="67">
        <v>0.220575863056029</v>
      </c>
      <c r="I603" s="67">
        <v>-4.25162212314566E-5</v>
      </c>
      <c r="J603" s="67">
        <v>0.15946111965482801</v>
      </c>
      <c r="K603" s="67">
        <v>1.9151650543402301</v>
      </c>
      <c r="L603" s="67"/>
      <c r="M603" s="67"/>
      <c r="N603" s="16"/>
      <c r="O603" s="11">
        <f t="shared" ca="1" si="344"/>
        <v>-3.9970067334786928E-5</v>
      </c>
      <c r="P603" s="11">
        <f t="shared" ca="1" si="345"/>
        <v>-4.3281321461761339E-5</v>
      </c>
      <c r="Q603" s="11">
        <f t="shared" ca="1" si="346"/>
        <v>1.1297125872173316E-2</v>
      </c>
      <c r="R603" s="11">
        <f t="shared" ca="1" si="347"/>
        <v>6.9519531504882981E-4</v>
      </c>
      <c r="S603" s="11">
        <f t="shared" ca="1" si="348"/>
        <v>-9.9414418102720232E-5</v>
      </c>
      <c r="T603" s="11">
        <f t="shared" ca="1" si="349"/>
        <v>0.21943730801744671</v>
      </c>
      <c r="U603" s="11">
        <f t="shared" ca="1" si="350"/>
        <v>-4.3281321461761339E-5</v>
      </c>
      <c r="V603" s="11">
        <f t="shared" ca="1" si="351"/>
        <v>0.15881092364913424</v>
      </c>
      <c r="W603" s="11">
        <f t="shared" ca="1" si="352"/>
        <v>1.908042206076725</v>
      </c>
      <c r="X603" s="11"/>
      <c r="Y603" s="2">
        <f t="shared" ca="1" si="353"/>
        <v>-3.9970067334786928E-5</v>
      </c>
      <c r="Z603" s="11">
        <f t="shared" ca="1" si="354"/>
        <v>-4.3281321461761339E-5</v>
      </c>
      <c r="AA603" s="2">
        <f t="shared" ca="1" si="355"/>
        <v>1.1297125872173316E-2</v>
      </c>
      <c r="AB603" s="2">
        <f t="shared" ca="1" si="356"/>
        <v>6.9519531504882981E-4</v>
      </c>
      <c r="AC603" s="2">
        <f t="shared" ca="1" si="357"/>
        <v>-9.9414418102720232E-5</v>
      </c>
      <c r="AD603" s="2">
        <f t="shared" ca="1" si="358"/>
        <v>0.21943730801744671</v>
      </c>
      <c r="AE603" s="2">
        <f t="shared" ca="1" si="359"/>
        <v>-4.3281321461761339E-5</v>
      </c>
      <c r="AF603" s="2">
        <f t="shared" ca="1" si="360"/>
        <v>0.15881092364913424</v>
      </c>
      <c r="AG603" s="2">
        <f t="shared" ca="1" si="361"/>
        <v>1.908042206076725</v>
      </c>
      <c r="AI603" s="2">
        <f t="shared" ca="1" si="362"/>
        <v>-3.9970067334786928E-5</v>
      </c>
      <c r="AJ603" s="11">
        <f t="shared" ca="1" si="363"/>
        <v>-4.3281321461761339E-5</v>
      </c>
      <c r="AK603" s="2">
        <f t="shared" ca="1" si="364"/>
        <v>1.1297125872173316E-2</v>
      </c>
      <c r="AL603" s="2">
        <f t="shared" ca="1" si="365"/>
        <v>6.9519531504882981E-4</v>
      </c>
      <c r="AM603" s="2">
        <f t="shared" ca="1" si="366"/>
        <v>-9.9414418102720232E-5</v>
      </c>
      <c r="AN603" s="2">
        <f t="shared" ca="1" si="367"/>
        <v>0.21943730801744671</v>
      </c>
      <c r="AO603" s="2">
        <f t="shared" ca="1" si="368"/>
        <v>-4.3281321461761339E-5</v>
      </c>
      <c r="AP603" s="2">
        <f t="shared" ca="1" si="369"/>
        <v>0.15881092364913424</v>
      </c>
      <c r="AQ603" s="2">
        <f t="shared" ca="1" si="370"/>
        <v>1.908042206076725</v>
      </c>
      <c r="AS603" s="2">
        <f t="shared" ca="1" si="371"/>
        <v>8.6951586460631525</v>
      </c>
      <c r="AT603" s="2">
        <f t="shared" ca="1" si="372"/>
        <v>0.40058088191358704</v>
      </c>
      <c r="AU603" s="2">
        <f t="shared" ca="1" si="373"/>
        <v>2.7848195240445426E-4</v>
      </c>
      <c r="AV603" s="2">
        <f t="shared" ca="1" si="374"/>
        <v>0.15853244169672978</v>
      </c>
      <c r="AW603" s="2">
        <f t="shared" ca="1" si="375"/>
        <v>0.70893798722966328</v>
      </c>
      <c r="AX603" s="2">
        <f t="shared" ca="1" si="376"/>
        <v>5.3495582201834715E-2</v>
      </c>
      <c r="AY603" s="9">
        <f t="shared" ca="1" si="377"/>
        <v>0.70893798722966328</v>
      </c>
      <c r="AZ603" s="9">
        <f t="shared" ca="1" si="378"/>
        <v>0.70893798722966328</v>
      </c>
      <c r="BA603" s="9"/>
      <c r="BB603" s="2">
        <f t="shared" ca="1" si="379"/>
        <v>8.6951586460631525</v>
      </c>
      <c r="BC603" s="2">
        <f t="shared" ca="1" si="380"/>
        <v>0.40058088191358704</v>
      </c>
      <c r="BD603" s="2">
        <f t="shared" ca="1" si="381"/>
        <v>2.7848195240445426E-4</v>
      </c>
      <c r="BE603" s="2">
        <f t="shared" ca="1" si="382"/>
        <v>0.15853244169672978</v>
      </c>
      <c r="BF603" s="2">
        <f t="shared" ca="1" si="383"/>
        <v>0.70893798722966328</v>
      </c>
      <c r="BG603" s="2">
        <f t="shared" ca="1" si="384"/>
        <v>5.3495582201834715E-2</v>
      </c>
      <c r="BH603" s="2">
        <f t="shared" ca="1" si="385"/>
        <v>0.70893798722966328</v>
      </c>
      <c r="BI603" s="2">
        <f t="shared" ca="1" si="386"/>
        <v>0.70893798722966328</v>
      </c>
    </row>
    <row r="604" spans="1:61" ht="15" x14ac:dyDescent="0.25">
      <c r="A604" s="66">
        <v>538</v>
      </c>
      <c r="B604" s="66">
        <v>1498730402.9419999</v>
      </c>
      <c r="C604" s="67">
        <v>3.77843642565374E-6</v>
      </c>
      <c r="D604" s="67">
        <v>3.8432809592117901E-5</v>
      </c>
      <c r="E604" s="67">
        <v>1.1962921682346301E-2</v>
      </c>
      <c r="F604" s="67">
        <v>7.8375224526404104E-4</v>
      </c>
      <c r="G604" s="67">
        <v>-3.5601738488573997E-5</v>
      </c>
      <c r="H604" s="67">
        <v>0.21911419373281699</v>
      </c>
      <c r="I604" s="67">
        <v>3.8432809592117901E-5</v>
      </c>
      <c r="J604" s="67">
        <v>0.158193262632326</v>
      </c>
      <c r="K604" s="67">
        <v>1.9023942778742799</v>
      </c>
      <c r="L604" s="67"/>
      <c r="M604" s="67"/>
      <c r="N604" s="16"/>
      <c r="O604" s="11">
        <f t="shared" ca="1" si="344"/>
        <v>-9.0254942843062874E-6</v>
      </c>
      <c r="P604" s="11">
        <f t="shared" ca="1" si="345"/>
        <v>3.7667709361813162E-5</v>
      </c>
      <c r="Q604" s="11">
        <f t="shared" ca="1" si="346"/>
        <v>1.1126430070078016E-2</v>
      </c>
      <c r="R604" s="11">
        <f t="shared" ca="1" si="347"/>
        <v>7.7210575761769388E-4</v>
      </c>
      <c r="S604" s="11">
        <f t="shared" ca="1" si="348"/>
        <v>-4.6529390535544118E-5</v>
      </c>
      <c r="T604" s="11">
        <f t="shared" ca="1" si="349"/>
        <v>0.2179756386942347</v>
      </c>
      <c r="U604" s="11">
        <f t="shared" ca="1" si="350"/>
        <v>3.7667709361813162E-5</v>
      </c>
      <c r="V604" s="11">
        <f t="shared" ca="1" si="351"/>
        <v>0.15754306662663223</v>
      </c>
      <c r="W604" s="11">
        <f t="shared" ca="1" si="352"/>
        <v>1.8952714296107749</v>
      </c>
      <c r="X604" s="11"/>
      <c r="Y604" s="2">
        <f t="shared" ca="1" si="353"/>
        <v>-9.0254942843062874E-6</v>
      </c>
      <c r="Z604" s="11">
        <f t="shared" ca="1" si="354"/>
        <v>3.7667709361813162E-5</v>
      </c>
      <c r="AA604" s="2">
        <f t="shared" ca="1" si="355"/>
        <v>1.1126141883914359E-2</v>
      </c>
      <c r="AB604" s="2">
        <f t="shared" ca="1" si="356"/>
        <v>7.651303425200769E-4</v>
      </c>
      <c r="AC604" s="2">
        <f t="shared" ca="1" si="357"/>
        <v>-4.6529390535544118E-5</v>
      </c>
      <c r="AD604" s="2">
        <f t="shared" ca="1" si="358"/>
        <v>0.21792491137974546</v>
      </c>
      <c r="AE604" s="2">
        <f t="shared" ca="1" si="359"/>
        <v>3.7667709361813162E-5</v>
      </c>
      <c r="AF604" s="2">
        <f t="shared" ca="1" si="360"/>
        <v>0.15746815459829513</v>
      </c>
      <c r="AG604" s="2">
        <f t="shared" ca="1" si="361"/>
        <v>1.8952410320523598</v>
      </c>
      <c r="AI604" s="2">
        <f t="shared" ca="1" si="362"/>
        <v>-9.0254942843062874E-6</v>
      </c>
      <c r="AJ604" s="11">
        <f t="shared" ca="1" si="363"/>
        <v>3.7667709361813162E-5</v>
      </c>
      <c r="AK604" s="2">
        <f t="shared" ca="1" si="364"/>
        <v>1.108170095639165E-2</v>
      </c>
      <c r="AL604" s="2">
        <f t="shared" ca="1" si="365"/>
        <v>7.4433013212648388E-4</v>
      </c>
      <c r="AM604" s="2">
        <f t="shared" ca="1" si="366"/>
        <v>-4.6529390535544118E-5</v>
      </c>
      <c r="AN604" s="2">
        <f t="shared" ca="1" si="367"/>
        <v>0.21792491137974546</v>
      </c>
      <c r="AO604" s="2">
        <f t="shared" ca="1" si="368"/>
        <v>3.7667709361813162E-5</v>
      </c>
      <c r="AP604" s="2">
        <f t="shared" ca="1" si="369"/>
        <v>0.15746815459829513</v>
      </c>
      <c r="AQ604" s="2">
        <f t="shared" ca="1" si="370"/>
        <v>1.8952410320523598</v>
      </c>
      <c r="AS604" s="2">
        <f t="shared" ca="1" si="371"/>
        <v>8.694877285206017</v>
      </c>
      <c r="AT604" s="2">
        <f t="shared" ca="1" si="372"/>
        <v>0.40056776257084004</v>
      </c>
      <c r="AU604" s="2">
        <f t="shared" ca="1" si="373"/>
        <v>3.0928067579698298E-4</v>
      </c>
      <c r="AV604" s="2">
        <f t="shared" ca="1" si="374"/>
        <v>0.15723378595083523</v>
      </c>
      <c r="AW604" s="2">
        <f t="shared" ca="1" si="375"/>
        <v>0.70785704063928967</v>
      </c>
      <c r="AX604" s="2">
        <f t="shared" ca="1" si="376"/>
        <v>5.3038828305424113E-2</v>
      </c>
      <c r="AY604" s="9" t="str">
        <f t="shared" ca="1" si="377"/>
        <v>rejected</v>
      </c>
      <c r="AZ604" s="9" t="e">
        <f t="shared" ca="1" si="378"/>
        <v>#N/A</v>
      </c>
      <c r="BA604" s="9"/>
      <c r="BB604" s="2">
        <f t="shared" ca="1" si="379"/>
        <v>8.6967617426252115</v>
      </c>
      <c r="BC604" s="2">
        <f t="shared" ca="1" si="380"/>
        <v>0.40065563147579975</v>
      </c>
      <c r="BD604" s="2">
        <f t="shared" ca="1" si="381"/>
        <v>2.9822005911360185E-4</v>
      </c>
      <c r="BE604" s="2">
        <f t="shared" ca="1" si="382"/>
        <v>0.15716993453918154</v>
      </c>
      <c r="BF604" s="2">
        <f t="shared" ca="1" si="383"/>
        <v>0.70765705653764743</v>
      </c>
      <c r="BG604" s="2">
        <f t="shared" ca="1" si="384"/>
        <v>5.284962248241247E-2</v>
      </c>
      <c r="BH604" s="2" t="str">
        <f t="shared" ca="1" si="385"/>
        <v>rejected</v>
      </c>
      <c r="BI604" s="2" t="e">
        <f t="shared" ca="1" si="386"/>
        <v>#N/A</v>
      </c>
    </row>
    <row r="605" spans="1:61" ht="15" x14ac:dyDescent="0.25">
      <c r="A605" s="66">
        <v>539</v>
      </c>
      <c r="B605" s="66">
        <v>1498730403.4690001</v>
      </c>
      <c r="C605" s="67">
        <v>-4.5826901200212998E-5</v>
      </c>
      <c r="D605" s="67">
        <v>1.1001473999329801E-5</v>
      </c>
      <c r="E605" s="67">
        <v>1.1596588796180401E-2</v>
      </c>
      <c r="F605" s="67">
        <v>9.1306085448086295E-4</v>
      </c>
      <c r="G605" s="67">
        <v>-3.9790278463511503E-5</v>
      </c>
      <c r="H605" s="67">
        <v>0.21291530945975701</v>
      </c>
      <c r="I605" s="67">
        <v>1.1001473999329801E-5</v>
      </c>
      <c r="J605" s="67">
        <v>0.153909896565879</v>
      </c>
      <c r="K605" s="67">
        <v>1.84854807247124</v>
      </c>
      <c r="L605" s="67"/>
      <c r="M605" s="67"/>
      <c r="N605" s="16"/>
      <c r="O605" s="11">
        <f t="shared" ca="1" si="344"/>
        <v>-5.8630831910173025E-5</v>
      </c>
      <c r="P605" s="11">
        <f t="shared" ca="1" si="345"/>
        <v>1.023637376902506E-5</v>
      </c>
      <c r="Q605" s="11">
        <f t="shared" ca="1" si="346"/>
        <v>1.0760097183912116E-2</v>
      </c>
      <c r="R605" s="11">
        <f t="shared" ca="1" si="347"/>
        <v>9.0141436683451579E-4</v>
      </c>
      <c r="S605" s="11">
        <f t="shared" ca="1" si="348"/>
        <v>-5.0717930510481624E-5</v>
      </c>
      <c r="T605" s="11">
        <f t="shared" ca="1" si="349"/>
        <v>0.21177675442117472</v>
      </c>
      <c r="U605" s="11">
        <f t="shared" ca="1" si="350"/>
        <v>1.023637376902506E-5</v>
      </c>
      <c r="V605" s="11">
        <f t="shared" ca="1" si="351"/>
        <v>0.15325970056018523</v>
      </c>
      <c r="W605" s="11">
        <f t="shared" ca="1" si="352"/>
        <v>1.8414252242077349</v>
      </c>
      <c r="X605" s="11"/>
      <c r="Y605" s="2">
        <f t="shared" ca="1" si="353"/>
        <v>-5.8630831910173025E-5</v>
      </c>
      <c r="Z605" s="11">
        <f t="shared" ca="1" si="354"/>
        <v>1.023637376902506E-5</v>
      </c>
      <c r="AA605" s="2">
        <f t="shared" ca="1" si="355"/>
        <v>1.0760018867992825E-2</v>
      </c>
      <c r="AB605" s="2">
        <f t="shared" ca="1" si="356"/>
        <v>8.9951876560622087E-4</v>
      </c>
      <c r="AC605" s="2">
        <f t="shared" ca="1" si="357"/>
        <v>-5.0717930510481624E-5</v>
      </c>
      <c r="AD605" s="2">
        <f t="shared" ca="1" si="358"/>
        <v>0.21176296903947223</v>
      </c>
      <c r="AE605" s="2">
        <f t="shared" ca="1" si="359"/>
        <v>1.023637376902506E-5</v>
      </c>
      <c r="AF605" s="2">
        <f t="shared" ca="1" si="360"/>
        <v>0.15323934287093768</v>
      </c>
      <c r="AG605" s="2">
        <f t="shared" ca="1" si="361"/>
        <v>1.8414169635310207</v>
      </c>
      <c r="AI605" s="2">
        <f t="shared" ca="1" si="362"/>
        <v>-5.8630831910173025E-5</v>
      </c>
      <c r="AJ605" s="11">
        <f t="shared" ca="1" si="363"/>
        <v>1.023637376902506E-5</v>
      </c>
      <c r="AK605" s="2">
        <f t="shared" ca="1" si="364"/>
        <v>1.0747941840945734E-2</v>
      </c>
      <c r="AL605" s="2">
        <f t="shared" ca="1" si="365"/>
        <v>8.9386621248657109E-4</v>
      </c>
      <c r="AM605" s="2">
        <f t="shared" ca="1" si="366"/>
        <v>-5.0717930510481624E-5</v>
      </c>
      <c r="AN605" s="2">
        <f t="shared" ca="1" si="367"/>
        <v>0.21176296903947223</v>
      </c>
      <c r="AO605" s="2">
        <f t="shared" ca="1" si="368"/>
        <v>1.023637376902506E-5</v>
      </c>
      <c r="AP605" s="2">
        <f t="shared" ca="1" si="369"/>
        <v>0.15323934287093768</v>
      </c>
      <c r="AQ605" s="2">
        <f t="shared" ca="1" si="370"/>
        <v>1.8414169635310207</v>
      </c>
      <c r="AS605" s="2">
        <f t="shared" ca="1" si="371"/>
        <v>8.6951243975793879</v>
      </c>
      <c r="AT605" s="2">
        <f t="shared" ca="1" si="372"/>
        <v>0.40057928496908274</v>
      </c>
      <c r="AU605" s="2">
        <f t="shared" ca="1" si="373"/>
        <v>3.610879225274288E-4</v>
      </c>
      <c r="AV605" s="2">
        <f t="shared" ca="1" si="374"/>
        <v>0.1528986126376578</v>
      </c>
      <c r="AW605" s="2">
        <f t="shared" ca="1" si="375"/>
        <v>0.70847851421044739</v>
      </c>
      <c r="AX605" s="2">
        <f t="shared" ca="1" si="376"/>
        <v>5.2795459342843951E-2</v>
      </c>
      <c r="AY605" s="9">
        <f t="shared" ca="1" si="377"/>
        <v>0.70847851421044739</v>
      </c>
      <c r="AZ605" s="9">
        <f t="shared" ca="1" si="378"/>
        <v>0.70847851421044739</v>
      </c>
      <c r="BA605" s="9"/>
      <c r="BB605" s="2">
        <f t="shared" ca="1" si="379"/>
        <v>8.6956514251922101</v>
      </c>
      <c r="BC605" s="2">
        <f t="shared" ca="1" si="380"/>
        <v>0.40060385931651715</v>
      </c>
      <c r="BD605" s="2">
        <f t="shared" ca="1" si="381"/>
        <v>3.5808625443475834E-4</v>
      </c>
      <c r="BE605" s="2">
        <f t="shared" ca="1" si="382"/>
        <v>0.15288125661650293</v>
      </c>
      <c r="BF605" s="2">
        <f t="shared" ca="1" si="383"/>
        <v>0.70842258454878448</v>
      </c>
      <c r="BG605" s="2">
        <f t="shared" ca="1" si="384"/>
        <v>5.2742521929217231E-2</v>
      </c>
      <c r="BH605" s="2">
        <f t="shared" ca="1" si="385"/>
        <v>0.70842258454878448</v>
      </c>
      <c r="BI605" s="2">
        <f t="shared" ca="1" si="386"/>
        <v>0.70842258454878448</v>
      </c>
    </row>
    <row r="606" spans="1:61" ht="15" x14ac:dyDescent="0.25">
      <c r="A606" s="66">
        <v>540</v>
      </c>
      <c r="B606" s="66">
        <v>1498730403.9949999</v>
      </c>
      <c r="C606" s="67">
        <v>-9.6846946844122002E-5</v>
      </c>
      <c r="D606" s="67">
        <v>-3.5857604741166702E-5</v>
      </c>
      <c r="E606" s="67">
        <v>1.16485701377164E-2</v>
      </c>
      <c r="F606" s="67">
        <v>6.4446059159899995E-4</v>
      </c>
      <c r="G606" s="67">
        <v>-9.1856386034892796E-5</v>
      </c>
      <c r="H606" s="67">
        <v>0.214309442007348</v>
      </c>
      <c r="I606" s="67">
        <v>-3.5857604741166702E-5</v>
      </c>
      <c r="J606" s="67">
        <v>0.154882684535046</v>
      </c>
      <c r="K606" s="67">
        <v>1.8601127200649901</v>
      </c>
      <c r="L606" s="67"/>
      <c r="M606" s="67"/>
      <c r="N606" s="16"/>
      <c r="O606" s="11">
        <f t="shared" ca="1" si="344"/>
        <v>-1.0965087755408204E-4</v>
      </c>
      <c r="P606" s="11">
        <f t="shared" ca="1" si="345"/>
        <v>-3.662270497147144E-5</v>
      </c>
      <c r="Q606" s="11">
        <f t="shared" ca="1" si="346"/>
        <v>1.0812078525448115E-2</v>
      </c>
      <c r="R606" s="11">
        <f t="shared" ca="1" si="347"/>
        <v>6.3281410395265279E-4</v>
      </c>
      <c r="S606" s="11">
        <f t="shared" ca="1" si="348"/>
        <v>-1.0278403808186292E-4</v>
      </c>
      <c r="T606" s="11">
        <f t="shared" ca="1" si="349"/>
        <v>0.21317088696876571</v>
      </c>
      <c r="U606" s="11">
        <f t="shared" ca="1" si="350"/>
        <v>-3.662270497147144E-5</v>
      </c>
      <c r="V606" s="11">
        <f t="shared" ca="1" si="351"/>
        <v>0.15423248852935223</v>
      </c>
      <c r="W606" s="11">
        <f t="shared" ca="1" si="352"/>
        <v>1.852989871801485</v>
      </c>
      <c r="X606" s="11"/>
      <c r="Y606" s="2">
        <f t="shared" ca="1" si="353"/>
        <v>-1.0965087755408204E-4</v>
      </c>
      <c r="Z606" s="11">
        <f t="shared" ca="1" si="354"/>
        <v>-3.662270497147144E-5</v>
      </c>
      <c r="AA606" s="2">
        <f t="shared" ca="1" si="355"/>
        <v>1.0812078525448115E-2</v>
      </c>
      <c r="AB606" s="2">
        <f t="shared" ca="1" si="356"/>
        <v>6.3281410395265279E-4</v>
      </c>
      <c r="AC606" s="2">
        <f t="shared" ca="1" si="357"/>
        <v>-1.0278403808186292E-4</v>
      </c>
      <c r="AD606" s="2">
        <f t="shared" ca="1" si="358"/>
        <v>0.21317088696876571</v>
      </c>
      <c r="AE606" s="2">
        <f t="shared" ca="1" si="359"/>
        <v>-3.662270497147144E-5</v>
      </c>
      <c r="AF606" s="2">
        <f t="shared" ca="1" si="360"/>
        <v>0.15423248852935223</v>
      </c>
      <c r="AG606" s="2">
        <f t="shared" ca="1" si="361"/>
        <v>1.852989871801485</v>
      </c>
      <c r="AI606" s="2">
        <f t="shared" ca="1" si="362"/>
        <v>-1.0965087755408204E-4</v>
      </c>
      <c r="AJ606" s="11">
        <f t="shared" ca="1" si="363"/>
        <v>-3.662270497147144E-5</v>
      </c>
      <c r="AK606" s="2">
        <f t="shared" ca="1" si="364"/>
        <v>1.0812078525448115E-2</v>
      </c>
      <c r="AL606" s="2">
        <f t="shared" ca="1" si="365"/>
        <v>6.3281410395265279E-4</v>
      </c>
      <c r="AM606" s="2">
        <f t="shared" ca="1" si="366"/>
        <v>-1.0278403808186292E-4</v>
      </c>
      <c r="AN606" s="2">
        <f t="shared" ca="1" si="367"/>
        <v>0.21317088696876571</v>
      </c>
      <c r="AO606" s="2">
        <f t="shared" ca="1" si="368"/>
        <v>-3.662270497147144E-5</v>
      </c>
      <c r="AP606" s="2">
        <f t="shared" ca="1" si="369"/>
        <v>0.15423248852935223</v>
      </c>
      <c r="AQ606" s="2">
        <f t="shared" ca="1" si="370"/>
        <v>1.852989871801485</v>
      </c>
      <c r="AS606" s="2">
        <f t="shared" ca="1" si="371"/>
        <v>8.6925090857880107</v>
      </c>
      <c r="AT606" s="2">
        <f t="shared" ca="1" si="372"/>
        <v>0.40045733796254712</v>
      </c>
      <c r="AU606" s="2">
        <f t="shared" ca="1" si="373"/>
        <v>2.5341505149403392E-4</v>
      </c>
      <c r="AV606" s="2">
        <f t="shared" ca="1" si="374"/>
        <v>0.15397907347785819</v>
      </c>
      <c r="AW606" s="2">
        <f t="shared" ca="1" si="375"/>
        <v>0.70892620496554826</v>
      </c>
      <c r="AX606" s="2">
        <f t="shared" ca="1" si="376"/>
        <v>5.2687341104896784E-2</v>
      </c>
      <c r="AY606" s="9">
        <f t="shared" ca="1" si="377"/>
        <v>0.70892620496554826</v>
      </c>
      <c r="AZ606" s="9">
        <f t="shared" ca="1" si="378"/>
        <v>0.70892620496554826</v>
      </c>
      <c r="BA606" s="9"/>
      <c r="BB606" s="2">
        <f t="shared" ca="1" si="379"/>
        <v>8.6925090857880107</v>
      </c>
      <c r="BC606" s="2">
        <f t="shared" ca="1" si="380"/>
        <v>0.40045733796254712</v>
      </c>
      <c r="BD606" s="2">
        <f t="shared" ca="1" si="381"/>
        <v>2.5341505149403392E-4</v>
      </c>
      <c r="BE606" s="2">
        <f t="shared" ca="1" si="382"/>
        <v>0.15397907347785819</v>
      </c>
      <c r="BF606" s="2">
        <f t="shared" ca="1" si="383"/>
        <v>0.70892620496554826</v>
      </c>
      <c r="BG606" s="2">
        <f t="shared" ca="1" si="384"/>
        <v>5.2687341104896784E-2</v>
      </c>
      <c r="BH606" s="2">
        <f t="shared" ca="1" si="385"/>
        <v>0.70892620496554826</v>
      </c>
      <c r="BI606" s="2">
        <f t="shared" ca="1" si="386"/>
        <v>0.70892620496554826</v>
      </c>
    </row>
    <row r="607" spans="1:61" ht="15" x14ac:dyDescent="0.25">
      <c r="A607" s="66">
        <v>541</v>
      </c>
      <c r="B607" s="66">
        <v>1498730404.5220001</v>
      </c>
      <c r="C607" s="67">
        <v>-7.0877068081931303E-6</v>
      </c>
      <c r="D607" s="67">
        <v>-5.4108702866341901E-5</v>
      </c>
      <c r="E607" s="67">
        <v>1.2069332325577E-2</v>
      </c>
      <c r="F607" s="67">
        <v>7.6327396390311105E-4</v>
      </c>
      <c r="G607" s="67">
        <v>-8.4112038321491404E-5</v>
      </c>
      <c r="H607" s="67">
        <v>0.22071042068427699</v>
      </c>
      <c r="I607" s="67">
        <v>-5.4108702866341901E-5</v>
      </c>
      <c r="J607" s="67">
        <v>0.15935970802965799</v>
      </c>
      <c r="K607" s="67">
        <v>1.91592853475044</v>
      </c>
      <c r="L607" s="67"/>
      <c r="M607" s="67"/>
      <c r="N607" s="16"/>
      <c r="O607" s="11">
        <f t="shared" ca="1" si="344"/>
        <v>-1.989163751815316E-5</v>
      </c>
      <c r="P607" s="11">
        <f t="shared" ca="1" si="345"/>
        <v>-5.487380309664664E-5</v>
      </c>
      <c r="Q607" s="11">
        <f t="shared" ca="1" si="346"/>
        <v>1.1232840713308715E-2</v>
      </c>
      <c r="R607" s="11">
        <f t="shared" ca="1" si="347"/>
        <v>7.5162747625676389E-4</v>
      </c>
      <c r="S607" s="11">
        <f t="shared" ca="1" si="348"/>
        <v>-9.5039690368461531E-5</v>
      </c>
      <c r="T607" s="11">
        <f t="shared" ca="1" si="349"/>
        <v>0.2195718656456947</v>
      </c>
      <c r="U607" s="11">
        <f t="shared" ca="1" si="350"/>
        <v>-5.487380309664664E-5</v>
      </c>
      <c r="V607" s="11">
        <f t="shared" ca="1" si="351"/>
        <v>0.15870951202396422</v>
      </c>
      <c r="W607" s="11">
        <f t="shared" ca="1" si="352"/>
        <v>1.9088056864869349</v>
      </c>
      <c r="X607" s="11"/>
      <c r="Y607" s="2">
        <f t="shared" ca="1" si="353"/>
        <v>-1.989163751815316E-5</v>
      </c>
      <c r="Z607" s="11">
        <f t="shared" ca="1" si="354"/>
        <v>-5.487380309664664E-5</v>
      </c>
      <c r="AA607" s="2">
        <f t="shared" ca="1" si="355"/>
        <v>1.1232840713308715E-2</v>
      </c>
      <c r="AB607" s="2">
        <f t="shared" ca="1" si="356"/>
        <v>7.5162747625676389E-4</v>
      </c>
      <c r="AC607" s="2">
        <f t="shared" ca="1" si="357"/>
        <v>-9.5039690368461531E-5</v>
      </c>
      <c r="AD607" s="2">
        <f t="shared" ca="1" si="358"/>
        <v>0.2195718656456947</v>
      </c>
      <c r="AE607" s="2">
        <f t="shared" ca="1" si="359"/>
        <v>-5.487380309664664E-5</v>
      </c>
      <c r="AF607" s="2">
        <f t="shared" ca="1" si="360"/>
        <v>0.15870951202396422</v>
      </c>
      <c r="AG607" s="2">
        <f t="shared" ca="1" si="361"/>
        <v>1.9088056864869349</v>
      </c>
      <c r="AI607" s="2">
        <f t="shared" ca="1" si="362"/>
        <v>-1.989163751815316E-5</v>
      </c>
      <c r="AJ607" s="11">
        <f t="shared" ca="1" si="363"/>
        <v>-5.487380309664664E-5</v>
      </c>
      <c r="AK607" s="2">
        <f t="shared" ca="1" si="364"/>
        <v>1.1232840713308715E-2</v>
      </c>
      <c r="AL607" s="2">
        <f t="shared" ca="1" si="365"/>
        <v>7.5162747625676389E-4</v>
      </c>
      <c r="AM607" s="2">
        <f t="shared" ca="1" si="366"/>
        <v>-9.5039690368461531E-5</v>
      </c>
      <c r="AN607" s="2">
        <f t="shared" ca="1" si="367"/>
        <v>0.2195718656456947</v>
      </c>
      <c r="AO607" s="2">
        <f t="shared" ca="1" si="368"/>
        <v>-5.487380309664664E-5</v>
      </c>
      <c r="AP607" s="2">
        <f t="shared" ca="1" si="369"/>
        <v>0.15870951202396422</v>
      </c>
      <c r="AQ607" s="2">
        <f t="shared" ca="1" si="370"/>
        <v>1.9088056864869349</v>
      </c>
      <c r="AS607" s="2">
        <f t="shared" ca="1" si="371"/>
        <v>8.6933072271063168</v>
      </c>
      <c r="AT607" s="2">
        <f t="shared" ca="1" si="372"/>
        <v>0.40049455372454706</v>
      </c>
      <c r="AU607" s="2">
        <f t="shared" ca="1" si="373"/>
        <v>3.0102271067056023E-4</v>
      </c>
      <c r="AV607" s="2">
        <f t="shared" ca="1" si="374"/>
        <v>0.15840848931329365</v>
      </c>
      <c r="AW607" s="2">
        <f t="shared" ca="1" si="375"/>
        <v>0.7080255006894558</v>
      </c>
      <c r="AX607" s="2">
        <f t="shared" ca="1" si="376"/>
        <v>5.3146992511976646E-2</v>
      </c>
      <c r="AY607" s="9">
        <f t="shared" ca="1" si="377"/>
        <v>0.7080255006894558</v>
      </c>
      <c r="AZ607" s="9">
        <f t="shared" ca="1" si="378"/>
        <v>0.7080255006894558</v>
      </c>
      <c r="BA607" s="9"/>
      <c r="BB607" s="2">
        <f t="shared" ca="1" si="379"/>
        <v>8.6933072271063168</v>
      </c>
      <c r="BC607" s="2">
        <f t="shared" ca="1" si="380"/>
        <v>0.40049455372454706</v>
      </c>
      <c r="BD607" s="2">
        <f t="shared" ca="1" si="381"/>
        <v>3.0102271067056023E-4</v>
      </c>
      <c r="BE607" s="2">
        <f t="shared" ca="1" si="382"/>
        <v>0.15840848931329365</v>
      </c>
      <c r="BF607" s="2">
        <f t="shared" ca="1" si="383"/>
        <v>0.7080255006894558</v>
      </c>
      <c r="BG607" s="2">
        <f t="shared" ca="1" si="384"/>
        <v>5.3146992511976646E-2</v>
      </c>
      <c r="BH607" s="2">
        <f t="shared" ca="1" si="385"/>
        <v>0.7080255006894558</v>
      </c>
      <c r="BI607" s="2">
        <f t="shared" ca="1" si="386"/>
        <v>0.7080255006894558</v>
      </c>
    </row>
    <row r="608" spans="1:61" ht="15" x14ac:dyDescent="0.25">
      <c r="A608" s="66">
        <v>542</v>
      </c>
      <c r="B608" s="66">
        <v>1498730405.049</v>
      </c>
      <c r="C608" s="67">
        <v>-8.5745586172743794E-5</v>
      </c>
      <c r="D608" s="67">
        <v>-3.7038243113493699E-5</v>
      </c>
      <c r="E608" s="67">
        <v>1.1763853113002E-2</v>
      </c>
      <c r="F608" s="67">
        <v>1.04595896281161E-3</v>
      </c>
      <c r="G608" s="67">
        <v>-2.38429624944471E-4</v>
      </c>
      <c r="H608" s="67">
        <v>0.21585386196036699</v>
      </c>
      <c r="I608" s="67">
        <v>-3.7038243113493699E-5</v>
      </c>
      <c r="J608" s="67">
        <v>0.156147087973698</v>
      </c>
      <c r="K608" s="67">
        <v>1.8749772576280299</v>
      </c>
      <c r="L608" s="67"/>
      <c r="M608" s="67"/>
      <c r="N608" s="16"/>
      <c r="O608" s="11">
        <f t="shared" ca="1" si="344"/>
        <v>-9.8549516882703815E-5</v>
      </c>
      <c r="P608" s="11">
        <f t="shared" ca="1" si="345"/>
        <v>-3.7803343343798437E-5</v>
      </c>
      <c r="Q608" s="11">
        <f t="shared" ca="1" si="346"/>
        <v>1.0927361500733715E-2</v>
      </c>
      <c r="R608" s="11">
        <f t="shared" ca="1" si="347"/>
        <v>1.0343124751652629E-3</v>
      </c>
      <c r="S608" s="11">
        <f t="shared" ca="1" si="348"/>
        <v>-2.4935727699144114E-4</v>
      </c>
      <c r="T608" s="11">
        <f t="shared" ca="1" si="349"/>
        <v>0.2147153069217847</v>
      </c>
      <c r="U608" s="11">
        <f t="shared" ca="1" si="350"/>
        <v>-3.7803343343798437E-5</v>
      </c>
      <c r="V608" s="11">
        <f t="shared" ca="1" si="351"/>
        <v>0.15549689196800423</v>
      </c>
      <c r="W608" s="11">
        <f t="shared" ca="1" si="352"/>
        <v>1.8678544093645248</v>
      </c>
      <c r="X608" s="11"/>
      <c r="Y608" s="2">
        <f t="shared" ca="1" si="353"/>
        <v>-9.8549516882703815E-5</v>
      </c>
      <c r="Z608" s="11">
        <f t="shared" ca="1" si="354"/>
        <v>-3.7803343343798437E-5</v>
      </c>
      <c r="AA608" s="2">
        <f t="shared" ca="1" si="355"/>
        <v>1.0927361500733715E-2</v>
      </c>
      <c r="AB608" s="2">
        <f t="shared" ca="1" si="356"/>
        <v>1.0343124751652629E-3</v>
      </c>
      <c r="AC608" s="2">
        <f t="shared" ca="1" si="357"/>
        <v>-2.4935727699144114E-4</v>
      </c>
      <c r="AD608" s="2">
        <f t="shared" ca="1" si="358"/>
        <v>0.2147153069217847</v>
      </c>
      <c r="AE608" s="2">
        <f t="shared" ca="1" si="359"/>
        <v>-3.7803343343798437E-5</v>
      </c>
      <c r="AF608" s="2">
        <f t="shared" ca="1" si="360"/>
        <v>0.15549689196800423</v>
      </c>
      <c r="AG608" s="2">
        <f t="shared" ca="1" si="361"/>
        <v>1.8678544093645248</v>
      </c>
      <c r="AI608" s="2">
        <f t="shared" ca="1" si="362"/>
        <v>-9.8549516882703815E-5</v>
      </c>
      <c r="AJ608" s="11">
        <f t="shared" ca="1" si="363"/>
        <v>-3.7803343343798437E-5</v>
      </c>
      <c r="AK608" s="2">
        <f t="shared" ca="1" si="364"/>
        <v>1.0927361500733715E-2</v>
      </c>
      <c r="AL608" s="2">
        <f t="shared" ca="1" si="365"/>
        <v>1.0343124751652629E-3</v>
      </c>
      <c r="AM608" s="2">
        <f t="shared" ca="1" si="366"/>
        <v>-2.4935727699144114E-4</v>
      </c>
      <c r="AN608" s="2">
        <f t="shared" ca="1" si="367"/>
        <v>0.2147153069217847</v>
      </c>
      <c r="AO608" s="2">
        <f t="shared" ca="1" si="368"/>
        <v>-3.7803343343798437E-5</v>
      </c>
      <c r="AP608" s="2">
        <f t="shared" ca="1" si="369"/>
        <v>0.15549689196800423</v>
      </c>
      <c r="AQ608" s="2">
        <f t="shared" ca="1" si="370"/>
        <v>1.8678544093645248</v>
      </c>
      <c r="AS608" s="2">
        <f t="shared" ca="1" si="371"/>
        <v>8.6992140250389163</v>
      </c>
      <c r="AT608" s="2">
        <f t="shared" ca="1" si="372"/>
        <v>0.40076997739827214</v>
      </c>
      <c r="AU608" s="2">
        <f t="shared" ca="1" si="373"/>
        <v>4.1452138729473334E-4</v>
      </c>
      <c r="AV608" s="2">
        <f t="shared" ca="1" si="374"/>
        <v>0.15508237058070951</v>
      </c>
      <c r="AW608" s="2">
        <f t="shared" ca="1" si="375"/>
        <v>0.7085948809085848</v>
      </c>
      <c r="AX608" s="2">
        <f t="shared" ca="1" si="376"/>
        <v>5.2907828373166918E-2</v>
      </c>
      <c r="AY608" s="9">
        <f t="shared" ca="1" si="377"/>
        <v>0.7085948809085848</v>
      </c>
      <c r="AZ608" s="9">
        <f t="shared" ca="1" si="378"/>
        <v>0.7085948809085848</v>
      </c>
      <c r="BA608" s="9"/>
      <c r="BB608" s="2">
        <f t="shared" ca="1" si="379"/>
        <v>8.6992140250389163</v>
      </c>
      <c r="BC608" s="2">
        <f t="shared" ca="1" si="380"/>
        <v>0.40076997739827214</v>
      </c>
      <c r="BD608" s="2">
        <f t="shared" ca="1" si="381"/>
        <v>4.1452138729473334E-4</v>
      </c>
      <c r="BE608" s="2">
        <f t="shared" ca="1" si="382"/>
        <v>0.15508237058070951</v>
      </c>
      <c r="BF608" s="2">
        <f t="shared" ca="1" si="383"/>
        <v>0.7085948809085848</v>
      </c>
      <c r="BG608" s="2">
        <f t="shared" ca="1" si="384"/>
        <v>5.2907828373166918E-2</v>
      </c>
      <c r="BH608" s="2">
        <f t="shared" ca="1" si="385"/>
        <v>0.7085948809085848</v>
      </c>
      <c r="BI608" s="2">
        <f t="shared" ca="1" si="386"/>
        <v>0.7085948809085848</v>
      </c>
    </row>
    <row r="609" spans="1:61" ht="15" x14ac:dyDescent="0.25">
      <c r="A609" s="66">
        <v>543</v>
      </c>
      <c r="B609" s="66">
        <v>1498730405.576</v>
      </c>
      <c r="C609" s="67">
        <v>4.4173186279200099E-5</v>
      </c>
      <c r="D609" s="67">
        <v>-2.91513120953972E-5</v>
      </c>
      <c r="E609" s="67">
        <v>1.1836543500488701E-2</v>
      </c>
      <c r="F609" s="67">
        <v>8.6257373368762796E-4</v>
      </c>
      <c r="G609" s="67">
        <v>9.9915563922173506E-5</v>
      </c>
      <c r="H609" s="67">
        <v>0.21323910611654601</v>
      </c>
      <c r="I609" s="67">
        <v>-2.91513120953972E-5</v>
      </c>
      <c r="J609" s="67">
        <v>0.154154546646119</v>
      </c>
      <c r="K609" s="67">
        <v>1.8507889529123001</v>
      </c>
      <c r="L609" s="67"/>
      <c r="M609" s="67"/>
      <c r="N609" s="16"/>
      <c r="O609" s="11">
        <f t="shared" ca="1" si="344"/>
        <v>3.1369255569240071E-5</v>
      </c>
      <c r="P609" s="11">
        <f t="shared" ca="1" si="345"/>
        <v>-2.9916412325701942E-5</v>
      </c>
      <c r="Q609" s="11">
        <f t="shared" ca="1" si="346"/>
        <v>1.1000051888220416E-2</v>
      </c>
      <c r="R609" s="11">
        <f t="shared" ca="1" si="347"/>
        <v>8.5092724604128079E-4</v>
      </c>
      <c r="S609" s="11">
        <f t="shared" ca="1" si="348"/>
        <v>8.8987911875203378E-5</v>
      </c>
      <c r="T609" s="11">
        <f t="shared" ca="1" si="349"/>
        <v>0.21210055107796372</v>
      </c>
      <c r="U609" s="11">
        <f t="shared" ca="1" si="350"/>
        <v>-2.9916412325701942E-5</v>
      </c>
      <c r="V609" s="11">
        <f t="shared" ca="1" si="351"/>
        <v>0.15350435064042522</v>
      </c>
      <c r="W609" s="11">
        <f t="shared" ca="1" si="352"/>
        <v>1.843666104648795</v>
      </c>
      <c r="X609" s="11"/>
      <c r="Y609" s="2">
        <f t="shared" ca="1" si="353"/>
        <v>3.1369255569240071E-5</v>
      </c>
      <c r="Z609" s="11">
        <f t="shared" ca="1" si="354"/>
        <v>-2.9916412325701942E-5</v>
      </c>
      <c r="AA609" s="2">
        <f t="shared" ca="1" si="355"/>
        <v>1.1000051888220416E-2</v>
      </c>
      <c r="AB609" s="2">
        <f t="shared" ca="1" si="356"/>
        <v>8.5092724604128079E-4</v>
      </c>
      <c r="AC609" s="2">
        <f t="shared" ca="1" si="357"/>
        <v>8.8987911875203378E-5</v>
      </c>
      <c r="AD609" s="2">
        <f t="shared" ca="1" si="358"/>
        <v>0.21210055107796372</v>
      </c>
      <c r="AE609" s="2">
        <f t="shared" ca="1" si="359"/>
        <v>-2.9916412325701942E-5</v>
      </c>
      <c r="AF609" s="2">
        <f t="shared" ca="1" si="360"/>
        <v>0.15350435064042522</v>
      </c>
      <c r="AG609" s="2">
        <f t="shared" ca="1" si="361"/>
        <v>1.843666104648795</v>
      </c>
      <c r="AI609" s="2">
        <f t="shared" ca="1" si="362"/>
        <v>3.1369255569240071E-5</v>
      </c>
      <c r="AJ609" s="11">
        <f t="shared" ca="1" si="363"/>
        <v>-2.9916412325701942E-5</v>
      </c>
      <c r="AK609" s="2">
        <f t="shared" ca="1" si="364"/>
        <v>1.1000051888220416E-2</v>
      </c>
      <c r="AL609" s="2">
        <f t="shared" ca="1" si="365"/>
        <v>8.5092724604128079E-4</v>
      </c>
      <c r="AM609" s="2">
        <f t="shared" ca="1" si="366"/>
        <v>8.8987911875203378E-5</v>
      </c>
      <c r="AN609" s="2">
        <f t="shared" ca="1" si="367"/>
        <v>0.21210055107796372</v>
      </c>
      <c r="AO609" s="2">
        <f t="shared" ca="1" si="368"/>
        <v>-2.9916412325701942E-5</v>
      </c>
      <c r="AP609" s="2">
        <f t="shared" ca="1" si="369"/>
        <v>0.15350435064042522</v>
      </c>
      <c r="AQ609" s="2">
        <f t="shared" ca="1" si="370"/>
        <v>1.843666104648795</v>
      </c>
      <c r="AS609" s="2">
        <f t="shared" ca="1" si="371"/>
        <v>8.6924154382376031</v>
      </c>
      <c r="AT609" s="2">
        <f t="shared" ca="1" si="372"/>
        <v>0.40045297136392655</v>
      </c>
      <c r="AU609" s="2">
        <f t="shared" ca="1" si="373"/>
        <v>3.407563440917539E-4</v>
      </c>
      <c r="AV609" s="2">
        <f t="shared" ca="1" si="374"/>
        <v>0.15316359429633347</v>
      </c>
      <c r="AW609" s="2">
        <f t="shared" ca="1" si="375"/>
        <v>0.70873410008488535</v>
      </c>
      <c r="AX609" s="2">
        <f t="shared" ca="1" si="376"/>
        <v>5.387324461144137E-2</v>
      </c>
      <c r="AY609" s="9">
        <f t="shared" ca="1" si="377"/>
        <v>0.70873410008488535</v>
      </c>
      <c r="AZ609" s="9">
        <f t="shared" ca="1" si="378"/>
        <v>0.70873410008488535</v>
      </c>
      <c r="BA609" s="9"/>
      <c r="BB609" s="2">
        <f t="shared" ca="1" si="379"/>
        <v>8.6924154382376031</v>
      </c>
      <c r="BC609" s="2">
        <f t="shared" ca="1" si="380"/>
        <v>0.40045297136392655</v>
      </c>
      <c r="BD609" s="2">
        <f t="shared" ca="1" si="381"/>
        <v>3.407563440917539E-4</v>
      </c>
      <c r="BE609" s="2">
        <f t="shared" ca="1" si="382"/>
        <v>0.15316359429633347</v>
      </c>
      <c r="BF609" s="2">
        <f t="shared" ca="1" si="383"/>
        <v>0.70873410008488535</v>
      </c>
      <c r="BG609" s="2">
        <f t="shared" ca="1" si="384"/>
        <v>5.387324461144137E-2</v>
      </c>
      <c r="BH609" s="2">
        <f t="shared" ca="1" si="385"/>
        <v>0.70873410008488535</v>
      </c>
      <c r="BI609" s="2">
        <f t="shared" ca="1" si="386"/>
        <v>0.70873410008488535</v>
      </c>
    </row>
    <row r="610" spans="1:61" ht="15" x14ac:dyDescent="0.25">
      <c r="A610" s="66">
        <v>544</v>
      </c>
      <c r="B610" s="66">
        <v>1498730406.102</v>
      </c>
      <c r="C610" s="67">
        <v>3.5432662381292098E-5</v>
      </c>
      <c r="D610" s="67">
        <v>4.95634475789164E-5</v>
      </c>
      <c r="E610" s="67">
        <v>1.18661506860647E-2</v>
      </c>
      <c r="F610" s="67">
        <v>7.2422352106583097E-4</v>
      </c>
      <c r="G610" s="67">
        <v>2.0183473074534999E-4</v>
      </c>
      <c r="H610" s="67">
        <v>0.21485370657472</v>
      </c>
      <c r="I610" s="67">
        <v>4.95634475789164E-5</v>
      </c>
      <c r="J610" s="67">
        <v>0.155438080381083</v>
      </c>
      <c r="K610" s="67">
        <v>1.86401807681544</v>
      </c>
      <c r="L610" s="67"/>
      <c r="M610" s="67"/>
      <c r="N610" s="16"/>
      <c r="O610" s="11">
        <f t="shared" ca="1" si="344"/>
        <v>2.262873167133207E-5</v>
      </c>
      <c r="P610" s="11">
        <f t="shared" ca="1" si="345"/>
        <v>4.8798347348611661E-5</v>
      </c>
      <c r="Q610" s="11">
        <f t="shared" ca="1" si="346"/>
        <v>1.1029659073796416E-2</v>
      </c>
      <c r="R610" s="11">
        <f t="shared" ca="1" si="347"/>
        <v>7.1257703341948381E-4</v>
      </c>
      <c r="S610" s="11">
        <f t="shared" ca="1" si="348"/>
        <v>1.9090707869837988E-4</v>
      </c>
      <c r="T610" s="11">
        <f t="shared" ca="1" si="349"/>
        <v>0.21371515153613771</v>
      </c>
      <c r="U610" s="11">
        <f t="shared" ca="1" si="350"/>
        <v>4.8798347348611661E-5</v>
      </c>
      <c r="V610" s="11">
        <f t="shared" ca="1" si="351"/>
        <v>0.15478788437538923</v>
      </c>
      <c r="W610" s="11">
        <f t="shared" ca="1" si="352"/>
        <v>1.8568952285519349</v>
      </c>
      <c r="X610" s="11"/>
      <c r="Y610" s="2">
        <f t="shared" ca="1" si="353"/>
        <v>2.262873167133207E-5</v>
      </c>
      <c r="Z610" s="11">
        <f t="shared" ca="1" si="354"/>
        <v>4.8798347348611661E-5</v>
      </c>
      <c r="AA610" s="2">
        <f t="shared" ca="1" si="355"/>
        <v>1.1029285729923016E-2</v>
      </c>
      <c r="AB610" s="2">
        <f t="shared" ca="1" si="356"/>
        <v>7.0354041466561435E-4</v>
      </c>
      <c r="AC610" s="2">
        <f t="shared" ca="1" si="357"/>
        <v>1.9090707869837988E-4</v>
      </c>
      <c r="AD610" s="2">
        <f t="shared" ca="1" si="358"/>
        <v>0.21364943452933141</v>
      </c>
      <c r="AE610" s="2">
        <f t="shared" ca="1" si="359"/>
        <v>4.8798347348611661E-5</v>
      </c>
      <c r="AF610" s="2">
        <f t="shared" ca="1" si="360"/>
        <v>0.1546908361810255</v>
      </c>
      <c r="AG610" s="2">
        <f t="shared" ca="1" si="361"/>
        <v>1.8568558486523017</v>
      </c>
      <c r="AI610" s="2">
        <f t="shared" ca="1" si="362"/>
        <v>2.262873167133207E-5</v>
      </c>
      <c r="AJ610" s="11">
        <f t="shared" ca="1" si="363"/>
        <v>4.8798347348611661E-5</v>
      </c>
      <c r="AK610" s="2">
        <f t="shared" ca="1" si="364"/>
        <v>1.0971712709038817E-2</v>
      </c>
      <c r="AL610" s="2">
        <f t="shared" ca="1" si="365"/>
        <v>6.7659383604674666E-4</v>
      </c>
      <c r="AM610" s="2">
        <f t="shared" ca="1" si="366"/>
        <v>1.9090707869837988E-4</v>
      </c>
      <c r="AN610" s="2">
        <f t="shared" ca="1" si="367"/>
        <v>0.21364943452933141</v>
      </c>
      <c r="AO610" s="2">
        <f t="shared" ca="1" si="368"/>
        <v>4.8798347348611661E-5</v>
      </c>
      <c r="AP610" s="2">
        <f t="shared" ca="1" si="369"/>
        <v>0.1546908361810255</v>
      </c>
      <c r="AQ610" s="2">
        <f t="shared" ca="1" si="370"/>
        <v>1.8568558486523017</v>
      </c>
      <c r="AS610" s="2">
        <f t="shared" ca="1" si="371"/>
        <v>8.6886456819040614</v>
      </c>
      <c r="AT610" s="2">
        <f t="shared" ca="1" si="372"/>
        <v>0.40027719561368158</v>
      </c>
      <c r="AU610" s="2">
        <f t="shared" ca="1" si="373"/>
        <v>2.8522833659586766E-4</v>
      </c>
      <c r="AV610" s="2">
        <f t="shared" ca="1" si="374"/>
        <v>0.15450265603879337</v>
      </c>
      <c r="AW610" s="2">
        <f t="shared" ca="1" si="375"/>
        <v>0.70968411381814611</v>
      </c>
      <c r="AX610" s="2">
        <f t="shared" ca="1" si="376"/>
        <v>5.3586353413006084E-2</v>
      </c>
      <c r="AY610" s="9" t="str">
        <f t="shared" ca="1" si="377"/>
        <v>rejected</v>
      </c>
      <c r="AZ610" s="9" t="e">
        <f t="shared" ca="1" si="378"/>
        <v>#N/A</v>
      </c>
      <c r="BA610" s="9"/>
      <c r="BB610" s="2">
        <f t="shared" ca="1" si="379"/>
        <v>8.6911339257365476</v>
      </c>
      <c r="BC610" s="2">
        <f t="shared" ca="1" si="380"/>
        <v>0.40039321704759762</v>
      </c>
      <c r="BD610" s="2">
        <f t="shared" ca="1" si="381"/>
        <v>2.7090358264933169E-4</v>
      </c>
      <c r="BE610" s="2">
        <f t="shared" ca="1" si="382"/>
        <v>0.15441993259837616</v>
      </c>
      <c r="BF610" s="2">
        <f t="shared" ca="1" si="383"/>
        <v>0.7094200090588092</v>
      </c>
      <c r="BG610" s="2">
        <f t="shared" ca="1" si="384"/>
        <v>5.3336848873360862E-2</v>
      </c>
      <c r="BH610" s="2">
        <f t="shared" ca="1" si="385"/>
        <v>0.7094200090588092</v>
      </c>
      <c r="BI610" s="2">
        <f t="shared" ca="1" si="386"/>
        <v>0.7094200090588092</v>
      </c>
    </row>
    <row r="611" spans="1:61" ht="15" x14ac:dyDescent="0.25">
      <c r="A611" s="66">
        <v>545</v>
      </c>
      <c r="B611" s="66">
        <v>1498730406.6289999</v>
      </c>
      <c r="C611" s="67">
        <v>4.1102182622052897E-5</v>
      </c>
      <c r="D611" s="67">
        <v>8.4168565505569101E-5</v>
      </c>
      <c r="E611" s="67">
        <v>1.19258491115987E-2</v>
      </c>
      <c r="F611" s="67">
        <v>8.2732952005751595E-4</v>
      </c>
      <c r="G611" s="67">
        <v>2.0221214221223801E-4</v>
      </c>
      <c r="H611" s="67">
        <v>0.216673125639536</v>
      </c>
      <c r="I611" s="67">
        <v>8.4168565505569101E-5</v>
      </c>
      <c r="J611" s="67">
        <v>0.15673531638138699</v>
      </c>
      <c r="K611" s="67">
        <v>1.87992231370146</v>
      </c>
      <c r="L611" s="67"/>
      <c r="M611" s="67"/>
      <c r="N611" s="16"/>
      <c r="O611" s="11">
        <f t="shared" ca="1" si="344"/>
        <v>2.8298251912092869E-5</v>
      </c>
      <c r="P611" s="11">
        <f t="shared" ca="1" si="345"/>
        <v>8.3403465275264362E-5</v>
      </c>
      <c r="Q611" s="11">
        <f t="shared" ca="1" si="346"/>
        <v>1.1089357499330415E-2</v>
      </c>
      <c r="R611" s="11">
        <f t="shared" ca="1" si="347"/>
        <v>8.1568303241116879E-4</v>
      </c>
      <c r="S611" s="11">
        <f t="shared" ca="1" si="348"/>
        <v>1.9128449016526789E-4</v>
      </c>
      <c r="T611" s="11">
        <f t="shared" ca="1" si="349"/>
        <v>0.21553457060095371</v>
      </c>
      <c r="U611" s="11">
        <f t="shared" ca="1" si="350"/>
        <v>8.3403465275264362E-5</v>
      </c>
      <c r="V611" s="11">
        <f t="shared" ca="1" si="351"/>
        <v>0.15608512037569322</v>
      </c>
      <c r="W611" s="11">
        <f t="shared" ca="1" si="352"/>
        <v>1.8727994654379549</v>
      </c>
      <c r="X611" s="11"/>
      <c r="Y611" s="2">
        <f t="shared" ca="1" si="353"/>
        <v>2.8298251912092869E-5</v>
      </c>
      <c r="Z611" s="11">
        <f t="shared" ca="1" si="354"/>
        <v>8.3403465275264362E-5</v>
      </c>
      <c r="AA611" s="2">
        <f t="shared" ca="1" si="355"/>
        <v>1.1088719400409598E-2</v>
      </c>
      <c r="AB611" s="2">
        <f t="shared" ca="1" si="356"/>
        <v>8.0023813807776265E-4</v>
      </c>
      <c r="AC611" s="2">
        <f t="shared" ca="1" si="357"/>
        <v>1.9128449016526789E-4</v>
      </c>
      <c r="AD611" s="2">
        <f t="shared" ca="1" si="358"/>
        <v>0.21542225068864176</v>
      </c>
      <c r="AE611" s="2">
        <f t="shared" ca="1" si="359"/>
        <v>8.3403465275264362E-5</v>
      </c>
      <c r="AF611" s="2">
        <f t="shared" ca="1" si="360"/>
        <v>0.15591925091190137</v>
      </c>
      <c r="AG611" s="2">
        <f t="shared" ca="1" si="361"/>
        <v>1.8727321594681821</v>
      </c>
      <c r="AI611" s="2">
        <f t="shared" ca="1" si="362"/>
        <v>2.8298251912092869E-5</v>
      </c>
      <c r="AJ611" s="11">
        <f t="shared" ca="1" si="363"/>
        <v>8.3403465275264362E-5</v>
      </c>
      <c r="AK611" s="2">
        <f t="shared" ca="1" si="364"/>
        <v>1.0990318743235621E-2</v>
      </c>
      <c r="AL611" s="2">
        <f t="shared" ca="1" si="365"/>
        <v>7.5418252029074251E-4</v>
      </c>
      <c r="AM611" s="2">
        <f t="shared" ca="1" si="366"/>
        <v>1.9128449016526789E-4</v>
      </c>
      <c r="AN611" s="2">
        <f t="shared" ca="1" si="367"/>
        <v>0.21542225068864176</v>
      </c>
      <c r="AO611" s="2">
        <f t="shared" ca="1" si="368"/>
        <v>8.3403465275264362E-5</v>
      </c>
      <c r="AP611" s="2">
        <f t="shared" ca="1" si="369"/>
        <v>0.15591925091190137</v>
      </c>
      <c r="AQ611" s="2">
        <f t="shared" ca="1" si="370"/>
        <v>1.8727321594681821</v>
      </c>
      <c r="AS611" s="2">
        <f t="shared" ca="1" si="371"/>
        <v>8.6890908507911906</v>
      </c>
      <c r="AT611" s="2">
        <f t="shared" ca="1" si="372"/>
        <v>0.40029795284747904</v>
      </c>
      <c r="AU611" s="2">
        <f t="shared" ca="1" si="373"/>
        <v>3.2651624804661477E-4</v>
      </c>
      <c r="AV611" s="2">
        <f t="shared" ca="1" si="374"/>
        <v>0.15575860412764661</v>
      </c>
      <c r="AW611" s="2">
        <f t="shared" ca="1" si="375"/>
        <v>0.70939536970168671</v>
      </c>
      <c r="AX611" s="2">
        <f t="shared" ca="1" si="376"/>
        <v>5.3424398651451911E-2</v>
      </c>
      <c r="AY611" s="9">
        <f t="shared" ca="1" si="377"/>
        <v>0.70939536970168671</v>
      </c>
      <c r="AZ611" s="9">
        <f t="shared" ca="1" si="378"/>
        <v>0.70939536970168671</v>
      </c>
      <c r="BA611" s="9"/>
      <c r="BB611" s="2">
        <f t="shared" ca="1" si="379"/>
        <v>8.6933088549655686</v>
      </c>
      <c r="BC611" s="2">
        <f t="shared" ca="1" si="380"/>
        <v>0.40049462962846899</v>
      </c>
      <c r="BD611" s="2">
        <f t="shared" ca="1" si="381"/>
        <v>3.020460491361062E-4</v>
      </c>
      <c r="BE611" s="2">
        <f t="shared" ca="1" si="382"/>
        <v>0.15561720486276526</v>
      </c>
      <c r="BF611" s="2">
        <f t="shared" ca="1" si="383"/>
        <v>0.7089476217622539</v>
      </c>
      <c r="BG611" s="2">
        <f t="shared" ca="1" si="384"/>
        <v>5.3001187177245404E-2</v>
      </c>
      <c r="BH611" s="2">
        <f t="shared" ca="1" si="385"/>
        <v>0.7089476217622539</v>
      </c>
      <c r="BI611" s="2">
        <f t="shared" ca="1" si="386"/>
        <v>0.7089476217622539</v>
      </c>
    </row>
    <row r="612" spans="1:61" ht="15" x14ac:dyDescent="0.25">
      <c r="A612" s="66">
        <v>546</v>
      </c>
      <c r="B612" s="66">
        <v>1498730407.1559999</v>
      </c>
      <c r="C612" s="67">
        <v>8.40970988218566E-5</v>
      </c>
      <c r="D612" s="67">
        <v>6.8590041167399099E-5</v>
      </c>
      <c r="E612" s="67">
        <v>1.20621095294389E-2</v>
      </c>
      <c r="F612" s="67">
        <v>8.8948400413547696E-4</v>
      </c>
      <c r="G612" s="67">
        <v>1.10496316101214E-4</v>
      </c>
      <c r="H612" s="67">
        <v>0.21894390278846801</v>
      </c>
      <c r="I612" s="67">
        <v>6.8590041167399099E-5</v>
      </c>
      <c r="J612" s="67">
        <v>0.15840357074872</v>
      </c>
      <c r="K612" s="67">
        <v>1.8994814258161301</v>
      </c>
      <c r="L612" s="67"/>
      <c r="M612" s="67"/>
      <c r="N612" s="16"/>
      <c r="O612" s="11">
        <f t="shared" ca="1" si="344"/>
        <v>7.1293168111896579E-5</v>
      </c>
      <c r="P612" s="11">
        <f t="shared" ca="1" si="345"/>
        <v>6.782494093709436E-5</v>
      </c>
      <c r="Q612" s="11">
        <f t="shared" ca="1" si="346"/>
        <v>1.1225617917170616E-2</v>
      </c>
      <c r="R612" s="11">
        <f t="shared" ca="1" si="347"/>
        <v>8.778375164891298E-4</v>
      </c>
      <c r="S612" s="11">
        <f t="shared" ca="1" si="348"/>
        <v>9.9568664054243877E-5</v>
      </c>
      <c r="T612" s="11">
        <f t="shared" ca="1" si="349"/>
        <v>0.21780534774988572</v>
      </c>
      <c r="U612" s="11">
        <f t="shared" ca="1" si="350"/>
        <v>6.782494093709436E-5</v>
      </c>
      <c r="V612" s="11">
        <f t="shared" ca="1" si="351"/>
        <v>0.15775337474302623</v>
      </c>
      <c r="W612" s="11">
        <f t="shared" ca="1" si="352"/>
        <v>1.892358577552625</v>
      </c>
      <c r="X612" s="11"/>
      <c r="Y612" s="2">
        <f t="shared" ca="1" si="353"/>
        <v>7.1293168111896579E-5</v>
      </c>
      <c r="Z612" s="11">
        <f t="shared" ca="1" si="354"/>
        <v>6.782494093709436E-5</v>
      </c>
      <c r="AA612" s="2">
        <f t="shared" ca="1" si="355"/>
        <v>1.1225099005618517E-2</v>
      </c>
      <c r="AB612" s="2">
        <f t="shared" ca="1" si="356"/>
        <v>8.652774982394611E-4</v>
      </c>
      <c r="AC612" s="2">
        <f t="shared" ca="1" si="357"/>
        <v>9.9568664054243877E-5</v>
      </c>
      <c r="AD612" s="2">
        <f t="shared" ca="1" si="358"/>
        <v>0.21771400752327194</v>
      </c>
      <c r="AE612" s="2">
        <f t="shared" ca="1" si="359"/>
        <v>6.782494093709436E-5</v>
      </c>
      <c r="AF612" s="2">
        <f t="shared" ca="1" si="360"/>
        <v>0.15761848722309141</v>
      </c>
      <c r="AG612" s="2">
        <f t="shared" ca="1" si="361"/>
        <v>1.8923038433349342</v>
      </c>
      <c r="AI612" s="2">
        <f t="shared" ca="1" si="362"/>
        <v>7.1293168111896579E-5</v>
      </c>
      <c r="AJ612" s="11">
        <f t="shared" ca="1" si="363"/>
        <v>6.782494093709436E-5</v>
      </c>
      <c r="AK612" s="2">
        <f t="shared" ca="1" si="364"/>
        <v>1.1145078124723828E-2</v>
      </c>
      <c r="AL612" s="2">
        <f t="shared" ca="1" si="365"/>
        <v>8.2782438348078143E-4</v>
      </c>
      <c r="AM612" s="2">
        <f t="shared" ca="1" si="366"/>
        <v>9.9568664054243877E-5</v>
      </c>
      <c r="AN612" s="2">
        <f t="shared" ca="1" si="367"/>
        <v>0.21771400752327194</v>
      </c>
      <c r="AO612" s="2">
        <f t="shared" ca="1" si="368"/>
        <v>6.782494093709436E-5</v>
      </c>
      <c r="AP612" s="2">
        <f t="shared" ca="1" si="369"/>
        <v>0.15761848722309141</v>
      </c>
      <c r="AQ612" s="2">
        <f t="shared" ca="1" si="370"/>
        <v>1.8923038433349342</v>
      </c>
      <c r="AS612" s="2">
        <f t="shared" ca="1" si="371"/>
        <v>8.6883017203310065</v>
      </c>
      <c r="AT612" s="2">
        <f t="shared" ca="1" si="372"/>
        <v>0.40026115746037999</v>
      </c>
      <c r="AU612" s="2">
        <f t="shared" ca="1" si="373"/>
        <v>3.5136426041208448E-4</v>
      </c>
      <c r="AV612" s="2">
        <f t="shared" ca="1" si="374"/>
        <v>0.15740201048261415</v>
      </c>
      <c r="AW612" s="2">
        <f t="shared" ca="1" si="375"/>
        <v>0.70943864466190598</v>
      </c>
      <c r="AX612" s="2">
        <f t="shared" ca="1" si="376"/>
        <v>5.3512045610597449E-2</v>
      </c>
      <c r="AY612" s="9">
        <f t="shared" ca="1" si="377"/>
        <v>0.70943864466190598</v>
      </c>
      <c r="AZ612" s="9">
        <f t="shared" ca="1" si="378"/>
        <v>0.70943864466190598</v>
      </c>
      <c r="BA612" s="9"/>
      <c r="BB612" s="2">
        <f t="shared" ca="1" si="379"/>
        <v>8.6916954258566097</v>
      </c>
      <c r="BC612" s="2">
        <f t="shared" ca="1" si="380"/>
        <v>0.40041939864076187</v>
      </c>
      <c r="BD612" s="2">
        <f t="shared" ca="1" si="381"/>
        <v>3.3147694181353394E-4</v>
      </c>
      <c r="BE612" s="2">
        <f t="shared" ca="1" si="382"/>
        <v>0.15728701028127787</v>
      </c>
      <c r="BF612" s="2">
        <f t="shared" ca="1" si="383"/>
        <v>0.70907827354552866</v>
      </c>
      <c r="BG612" s="2">
        <f t="shared" ca="1" si="384"/>
        <v>5.3171648998441436E-2</v>
      </c>
      <c r="BH612" s="2">
        <f t="shared" ca="1" si="385"/>
        <v>0.70907827354552866</v>
      </c>
      <c r="BI612" s="2">
        <f t="shared" ca="1" si="386"/>
        <v>0.70907827354552866</v>
      </c>
    </row>
    <row r="613" spans="1:61" ht="15" x14ac:dyDescent="0.25">
      <c r="A613" s="66">
        <v>547</v>
      </c>
      <c r="B613" s="66">
        <v>1498730407.6830001</v>
      </c>
      <c r="C613" s="67">
        <v>-1.5754793518053399E-4</v>
      </c>
      <c r="D613" s="67">
        <v>-4.7238373274340498E-5</v>
      </c>
      <c r="E613" s="67">
        <v>1.25805965912786E-2</v>
      </c>
      <c r="F613" s="67">
        <v>6.7065070199707902E-4</v>
      </c>
      <c r="G613" s="67">
        <v>-2.7399822342305801E-4</v>
      </c>
      <c r="H613" s="67">
        <v>0.23061826464179</v>
      </c>
      <c r="I613" s="67">
        <v>-4.7238373274340498E-5</v>
      </c>
      <c r="J613" s="67">
        <v>0.166671716635415</v>
      </c>
      <c r="K613" s="67">
        <v>2.0002614916245798</v>
      </c>
      <c r="L613" s="67"/>
      <c r="M613" s="67"/>
      <c r="N613" s="16"/>
      <c r="O613" s="11">
        <f t="shared" ca="1" si="344"/>
        <v>-1.7035186589049403E-4</v>
      </c>
      <c r="P613" s="11">
        <f t="shared" ca="1" si="345"/>
        <v>-4.8003473504645237E-5</v>
      </c>
      <c r="Q613" s="11">
        <f t="shared" ca="1" si="346"/>
        <v>1.1744104979010316E-2</v>
      </c>
      <c r="R613" s="11">
        <f t="shared" ca="1" si="347"/>
        <v>6.5900421435073186E-4</v>
      </c>
      <c r="S613" s="11">
        <f t="shared" ca="1" si="348"/>
        <v>-2.8492587547002812E-4</v>
      </c>
      <c r="T613" s="11">
        <f t="shared" ca="1" si="349"/>
        <v>0.22947970960320771</v>
      </c>
      <c r="U613" s="11">
        <f t="shared" ca="1" si="350"/>
        <v>-4.8003473504645237E-5</v>
      </c>
      <c r="V613" s="11">
        <f t="shared" ca="1" si="351"/>
        <v>0.16602152062972123</v>
      </c>
      <c r="W613" s="11">
        <f t="shared" ca="1" si="352"/>
        <v>1.9931386433610747</v>
      </c>
      <c r="X613" s="11"/>
      <c r="Y613" s="2">
        <f t="shared" ca="1" si="353"/>
        <v>-1.7035186589049403E-4</v>
      </c>
      <c r="Z613" s="11">
        <f t="shared" ca="1" si="354"/>
        <v>-4.8003473504645237E-5</v>
      </c>
      <c r="AA613" s="2">
        <f t="shared" ca="1" si="355"/>
        <v>1.1744104979010316E-2</v>
      </c>
      <c r="AB613" s="2">
        <f t="shared" ca="1" si="356"/>
        <v>6.5900421435073186E-4</v>
      </c>
      <c r="AC613" s="2">
        <f t="shared" ca="1" si="357"/>
        <v>-2.8492587547002812E-4</v>
      </c>
      <c r="AD613" s="2">
        <f t="shared" ca="1" si="358"/>
        <v>0.22947970960320771</v>
      </c>
      <c r="AE613" s="2">
        <f t="shared" ca="1" si="359"/>
        <v>-4.8003473504645237E-5</v>
      </c>
      <c r="AF613" s="2">
        <f t="shared" ca="1" si="360"/>
        <v>0.16602152062972123</v>
      </c>
      <c r="AG613" s="2">
        <f t="shared" ca="1" si="361"/>
        <v>1.9931386433610747</v>
      </c>
      <c r="AI613" s="2">
        <f t="shared" ca="1" si="362"/>
        <v>-1.7035186589049403E-4</v>
      </c>
      <c r="AJ613" s="11">
        <f t="shared" ca="1" si="363"/>
        <v>-4.8003473504645237E-5</v>
      </c>
      <c r="AK613" s="2">
        <f t="shared" ca="1" si="364"/>
        <v>1.1744104979010316E-2</v>
      </c>
      <c r="AL613" s="2">
        <f t="shared" ca="1" si="365"/>
        <v>6.5900421435073186E-4</v>
      </c>
      <c r="AM613" s="2">
        <f t="shared" ca="1" si="366"/>
        <v>-2.8492587547002812E-4</v>
      </c>
      <c r="AN613" s="2">
        <f t="shared" ca="1" si="367"/>
        <v>0.22947970960320771</v>
      </c>
      <c r="AO613" s="2">
        <f t="shared" ca="1" si="368"/>
        <v>-4.8003473504645237E-5</v>
      </c>
      <c r="AP613" s="2">
        <f t="shared" ca="1" si="369"/>
        <v>0.16602152062972123</v>
      </c>
      <c r="AQ613" s="2">
        <f t="shared" ca="1" si="370"/>
        <v>1.9931386433610747</v>
      </c>
      <c r="AS613" s="2">
        <f t="shared" ca="1" si="371"/>
        <v>8.6854678647075225</v>
      </c>
      <c r="AT613" s="2">
        <f t="shared" ca="1" si="372"/>
        <v>0.40012902144966733</v>
      </c>
      <c r="AU613" s="2">
        <f t="shared" ca="1" si="373"/>
        <v>2.6368671141936516E-4</v>
      </c>
      <c r="AV613" s="2">
        <f t="shared" ca="1" si="374"/>
        <v>0.16575783391830187</v>
      </c>
      <c r="AW613" s="2">
        <f t="shared" ca="1" si="375"/>
        <v>0.70920897639964486</v>
      </c>
      <c r="AX613" s="2">
        <f t="shared" ca="1" si="376"/>
        <v>5.3117851213725691E-2</v>
      </c>
      <c r="AY613" s="9">
        <f t="shared" ca="1" si="377"/>
        <v>0.70920897639964486</v>
      </c>
      <c r="AZ613" s="9">
        <f t="shared" ca="1" si="378"/>
        <v>0.70920897639964486</v>
      </c>
      <c r="BA613" s="9"/>
      <c r="BB613" s="2">
        <f t="shared" ca="1" si="379"/>
        <v>8.6854678647075225</v>
      </c>
      <c r="BC613" s="2">
        <f t="shared" ca="1" si="380"/>
        <v>0.40012902144966733</v>
      </c>
      <c r="BD613" s="2">
        <f t="shared" ca="1" si="381"/>
        <v>2.6368671141936516E-4</v>
      </c>
      <c r="BE613" s="2">
        <f t="shared" ca="1" si="382"/>
        <v>0.16575783391830187</v>
      </c>
      <c r="BF613" s="2">
        <f t="shared" ca="1" si="383"/>
        <v>0.70920897639964486</v>
      </c>
      <c r="BG613" s="2">
        <f t="shared" ca="1" si="384"/>
        <v>5.3117851213725691E-2</v>
      </c>
      <c r="BH613" s="2">
        <f t="shared" ca="1" si="385"/>
        <v>0.70920897639964486</v>
      </c>
      <c r="BI613" s="2">
        <f t="shared" ca="1" si="386"/>
        <v>0.70920897639964486</v>
      </c>
    </row>
    <row r="614" spans="1:61" ht="15" x14ac:dyDescent="0.25">
      <c r="A614" s="66">
        <v>548</v>
      </c>
      <c r="B614" s="66">
        <v>1498730408.21</v>
      </c>
      <c r="C614" s="67">
        <v>-4.1102690184136602E-5</v>
      </c>
      <c r="D614" s="67">
        <v>-7.86585677981479E-5</v>
      </c>
      <c r="E614" s="67">
        <v>1.2082815016423E-2</v>
      </c>
      <c r="F614" s="67">
        <v>7.0041302456957098E-4</v>
      </c>
      <c r="G614" s="67">
        <v>-2.5953302694947199E-5</v>
      </c>
      <c r="H614" s="67">
        <v>0.22031710356373099</v>
      </c>
      <c r="I614" s="67">
        <v>-7.86585677981479E-5</v>
      </c>
      <c r="J614" s="67">
        <v>0.159552783439668</v>
      </c>
      <c r="K614" s="67">
        <v>1.9153689461594201</v>
      </c>
      <c r="L614" s="67"/>
      <c r="M614" s="67"/>
      <c r="N614" s="16"/>
      <c r="O614" s="11">
        <f t="shared" ca="1" si="344"/>
        <v>-5.390662089409663E-5</v>
      </c>
      <c r="P614" s="11">
        <f t="shared" ca="1" si="345"/>
        <v>-7.9423668028452639E-5</v>
      </c>
      <c r="Q614" s="11">
        <f t="shared" ca="1" si="346"/>
        <v>1.1246323404154716E-2</v>
      </c>
      <c r="R614" s="11">
        <f t="shared" ca="1" si="347"/>
        <v>6.8876653692322382E-4</v>
      </c>
      <c r="S614" s="11">
        <f t="shared" ca="1" si="348"/>
        <v>-3.688095474191732E-5</v>
      </c>
      <c r="T614" s="11">
        <f t="shared" ca="1" si="349"/>
        <v>0.2191785485251487</v>
      </c>
      <c r="U614" s="11">
        <f t="shared" ca="1" si="350"/>
        <v>-7.9423668028452639E-5</v>
      </c>
      <c r="V614" s="11">
        <f t="shared" ca="1" si="351"/>
        <v>0.15890258743397423</v>
      </c>
      <c r="W614" s="11">
        <f t="shared" ca="1" si="352"/>
        <v>1.908246097895915</v>
      </c>
      <c r="X614" s="11"/>
      <c r="Y614" s="2">
        <f t="shared" ca="1" si="353"/>
        <v>-5.390662089409663E-5</v>
      </c>
      <c r="Z614" s="11">
        <f t="shared" ca="1" si="354"/>
        <v>-7.9423668028452639E-5</v>
      </c>
      <c r="AA614" s="2">
        <f t="shared" ca="1" si="355"/>
        <v>1.1246323404154716E-2</v>
      </c>
      <c r="AB614" s="2">
        <f t="shared" ca="1" si="356"/>
        <v>6.8876653692322382E-4</v>
      </c>
      <c r="AC614" s="2">
        <f t="shared" ca="1" si="357"/>
        <v>-3.688095474191732E-5</v>
      </c>
      <c r="AD614" s="2">
        <f t="shared" ca="1" si="358"/>
        <v>0.2191785485251487</v>
      </c>
      <c r="AE614" s="2">
        <f t="shared" ca="1" si="359"/>
        <v>-7.9423668028452639E-5</v>
      </c>
      <c r="AF614" s="2">
        <f t="shared" ca="1" si="360"/>
        <v>0.15890258743397423</v>
      </c>
      <c r="AG614" s="2">
        <f t="shared" ca="1" si="361"/>
        <v>1.908246097895915</v>
      </c>
      <c r="AI614" s="2">
        <f t="shared" ca="1" si="362"/>
        <v>-5.390662089409663E-5</v>
      </c>
      <c r="AJ614" s="11">
        <f t="shared" ca="1" si="363"/>
        <v>-7.9423668028452639E-5</v>
      </c>
      <c r="AK614" s="2">
        <f t="shared" ca="1" si="364"/>
        <v>1.1246323404154716E-2</v>
      </c>
      <c r="AL614" s="2">
        <f t="shared" ca="1" si="365"/>
        <v>6.8876653692322382E-4</v>
      </c>
      <c r="AM614" s="2">
        <f t="shared" ca="1" si="366"/>
        <v>-3.688095474191732E-5</v>
      </c>
      <c r="AN614" s="2">
        <f t="shared" ca="1" si="367"/>
        <v>0.2191785485251487</v>
      </c>
      <c r="AO614" s="2">
        <f t="shared" ca="1" si="368"/>
        <v>-7.9423668028452639E-5</v>
      </c>
      <c r="AP614" s="2">
        <f t="shared" ca="1" si="369"/>
        <v>0.15890258743397423</v>
      </c>
      <c r="AQ614" s="2">
        <f t="shared" ca="1" si="370"/>
        <v>1.908246097895915</v>
      </c>
      <c r="AS614" s="2">
        <f t="shared" ca="1" si="371"/>
        <v>8.7063542976102948</v>
      </c>
      <c r="AT614" s="2">
        <f t="shared" ca="1" si="372"/>
        <v>0.40110291886870048</v>
      </c>
      <c r="AU614" s="2">
        <f t="shared" ca="1" si="373"/>
        <v>2.7626626837899161E-4</v>
      </c>
      <c r="AV614" s="2">
        <f t="shared" ca="1" si="374"/>
        <v>0.15862632116559525</v>
      </c>
      <c r="AW614" s="2">
        <f t="shared" ca="1" si="375"/>
        <v>0.70973520933621925</v>
      </c>
      <c r="AX614" s="2">
        <f t="shared" ca="1" si="376"/>
        <v>5.3388136016706431E-2</v>
      </c>
      <c r="AY614" s="9" t="str">
        <f t="shared" ca="1" si="377"/>
        <v>rejected</v>
      </c>
      <c r="AZ614" s="9" t="e">
        <f t="shared" ca="1" si="378"/>
        <v>#N/A</v>
      </c>
      <c r="BA614" s="9"/>
      <c r="BB614" s="2">
        <f t="shared" ca="1" si="379"/>
        <v>8.7063542976102948</v>
      </c>
      <c r="BC614" s="2">
        <f t="shared" ca="1" si="380"/>
        <v>0.40110291886870048</v>
      </c>
      <c r="BD614" s="2">
        <f t="shared" ca="1" si="381"/>
        <v>2.7626626837899161E-4</v>
      </c>
      <c r="BE614" s="2">
        <f t="shared" ca="1" si="382"/>
        <v>0.15862632116559525</v>
      </c>
      <c r="BF614" s="2">
        <f t="shared" ca="1" si="383"/>
        <v>0.70973520933621925</v>
      </c>
      <c r="BG614" s="2">
        <f t="shared" ca="1" si="384"/>
        <v>5.3388136016706431E-2</v>
      </c>
      <c r="BH614" s="2" t="str">
        <f t="shared" ca="1" si="385"/>
        <v>rejected</v>
      </c>
      <c r="BI614" s="2" t="e">
        <f t="shared" ca="1" si="386"/>
        <v>#N/A</v>
      </c>
    </row>
    <row r="615" spans="1:61" ht="15" x14ac:dyDescent="0.25">
      <c r="A615" s="66">
        <v>549</v>
      </c>
      <c r="B615" s="66">
        <v>1498730408.737</v>
      </c>
      <c r="C615" s="67">
        <v>2.8818263045869799E-5</v>
      </c>
      <c r="D615" s="67">
        <v>-4.69078299512936E-5</v>
      </c>
      <c r="E615" s="67">
        <v>1.1491671638639501E-2</v>
      </c>
      <c r="F615" s="67">
        <v>7.4231987796148104E-4</v>
      </c>
      <c r="G615" s="67">
        <v>-1.9067887470503999E-4</v>
      </c>
      <c r="H615" s="67">
        <v>0.21035637068488899</v>
      </c>
      <c r="I615" s="67">
        <v>-4.69078299512936E-5</v>
      </c>
      <c r="J615" s="67">
        <v>0.152173621462941</v>
      </c>
      <c r="K615" s="67">
        <v>1.82854618907232</v>
      </c>
      <c r="L615" s="67"/>
      <c r="M615" s="67"/>
      <c r="N615" s="16"/>
      <c r="O615" s="11">
        <f t="shared" ca="1" si="344"/>
        <v>1.6014332335909771E-5</v>
      </c>
      <c r="P615" s="11">
        <f t="shared" ca="1" si="345"/>
        <v>-4.7672930181598339E-5</v>
      </c>
      <c r="Q615" s="11">
        <f t="shared" ca="1" si="346"/>
        <v>1.0655180026371216E-2</v>
      </c>
      <c r="R615" s="11">
        <f t="shared" ca="1" si="347"/>
        <v>7.3067339031513388E-4</v>
      </c>
      <c r="S615" s="11">
        <f t="shared" ca="1" si="348"/>
        <v>-2.016065267520101E-4</v>
      </c>
      <c r="T615" s="11">
        <f t="shared" ca="1" si="349"/>
        <v>0.2092178156463067</v>
      </c>
      <c r="U615" s="11">
        <f t="shared" ca="1" si="350"/>
        <v>-4.7672930181598339E-5</v>
      </c>
      <c r="V615" s="11">
        <f t="shared" ca="1" si="351"/>
        <v>0.15152342545724723</v>
      </c>
      <c r="W615" s="11">
        <f t="shared" ca="1" si="352"/>
        <v>1.821423340808815</v>
      </c>
      <c r="X615" s="11"/>
      <c r="Y615" s="2">
        <f t="shared" ca="1" si="353"/>
        <v>1.6014332335909771E-5</v>
      </c>
      <c r="Z615" s="11">
        <f t="shared" ca="1" si="354"/>
        <v>-4.7672930181598339E-5</v>
      </c>
      <c r="AA615" s="2">
        <f t="shared" ca="1" si="355"/>
        <v>1.0655180026371216E-2</v>
      </c>
      <c r="AB615" s="2">
        <f t="shared" ca="1" si="356"/>
        <v>7.3067339031513388E-4</v>
      </c>
      <c r="AC615" s="2">
        <f t="shared" ca="1" si="357"/>
        <v>-2.016065267520101E-4</v>
      </c>
      <c r="AD615" s="2">
        <f t="shared" ca="1" si="358"/>
        <v>0.2092178156463067</v>
      </c>
      <c r="AE615" s="2">
        <f t="shared" ca="1" si="359"/>
        <v>-4.7672930181598339E-5</v>
      </c>
      <c r="AF615" s="2">
        <f t="shared" ca="1" si="360"/>
        <v>0.15152342545724723</v>
      </c>
      <c r="AG615" s="2">
        <f t="shared" ca="1" si="361"/>
        <v>1.821423340808815</v>
      </c>
      <c r="AI615" s="2">
        <f t="shared" ca="1" si="362"/>
        <v>1.6014332335909771E-5</v>
      </c>
      <c r="AJ615" s="11">
        <f t="shared" ca="1" si="363"/>
        <v>-4.7672930181598339E-5</v>
      </c>
      <c r="AK615" s="2">
        <f t="shared" ca="1" si="364"/>
        <v>1.0655180026371216E-2</v>
      </c>
      <c r="AL615" s="2">
        <f t="shared" ca="1" si="365"/>
        <v>7.3067339031513388E-4</v>
      </c>
      <c r="AM615" s="2">
        <f t="shared" ca="1" si="366"/>
        <v>-2.016065267520101E-4</v>
      </c>
      <c r="AN615" s="2">
        <f t="shared" ca="1" si="367"/>
        <v>0.2092178156463067</v>
      </c>
      <c r="AO615" s="2">
        <f t="shared" ca="1" si="368"/>
        <v>-4.7672930181598339E-5</v>
      </c>
      <c r="AP615" s="2">
        <f t="shared" ca="1" si="369"/>
        <v>0.15152342545724723</v>
      </c>
      <c r="AQ615" s="2">
        <f t="shared" ca="1" si="370"/>
        <v>1.821423340808815</v>
      </c>
      <c r="AS615" s="2">
        <f t="shared" ca="1" si="371"/>
        <v>8.7058711285277113</v>
      </c>
      <c r="AT615" s="2">
        <f t="shared" ca="1" si="372"/>
        <v>0.40108038922863831</v>
      </c>
      <c r="AU615" s="2">
        <f t="shared" ca="1" si="373"/>
        <v>2.9305876778660265E-4</v>
      </c>
      <c r="AV615" s="2">
        <f t="shared" ca="1" si="374"/>
        <v>0.15123036668946063</v>
      </c>
      <c r="AW615" s="2">
        <f t="shared" ca="1" si="375"/>
        <v>0.70887820606158858</v>
      </c>
      <c r="AX615" s="2">
        <f t="shared" ca="1" si="376"/>
        <v>5.2987045240112815E-2</v>
      </c>
      <c r="AY615" s="9">
        <f t="shared" ca="1" si="377"/>
        <v>0.70887820606158858</v>
      </c>
      <c r="AZ615" s="9">
        <f t="shared" ca="1" si="378"/>
        <v>0.70887820606158858</v>
      </c>
      <c r="BA615" s="9"/>
      <c r="BB615" s="2">
        <f t="shared" ca="1" si="379"/>
        <v>8.7058711285277113</v>
      </c>
      <c r="BC615" s="2">
        <f t="shared" ca="1" si="380"/>
        <v>0.40108038922863831</v>
      </c>
      <c r="BD615" s="2">
        <f t="shared" ca="1" si="381"/>
        <v>2.9305876778660265E-4</v>
      </c>
      <c r="BE615" s="2">
        <f t="shared" ca="1" si="382"/>
        <v>0.15123036668946063</v>
      </c>
      <c r="BF615" s="2">
        <f t="shared" ca="1" si="383"/>
        <v>0.70887820606158858</v>
      </c>
      <c r="BG615" s="2">
        <f t="shared" ca="1" si="384"/>
        <v>5.2987045240112815E-2</v>
      </c>
      <c r="BH615" s="2">
        <f t="shared" ca="1" si="385"/>
        <v>0.70887820606158858</v>
      </c>
      <c r="BI615" s="2">
        <f t="shared" ca="1" si="386"/>
        <v>0.70887820606158858</v>
      </c>
    </row>
    <row r="616" spans="1:61" ht="15" x14ac:dyDescent="0.25">
      <c r="A616" s="66">
        <v>550</v>
      </c>
      <c r="B616" s="66">
        <v>1498730409.2639999</v>
      </c>
      <c r="C616" s="67">
        <v>-1.9843462234484199E-5</v>
      </c>
      <c r="D616" s="67">
        <v>2.6389065406688598E-6</v>
      </c>
      <c r="E616" s="67">
        <v>1.15383536162802E-2</v>
      </c>
      <c r="F616" s="67">
        <v>7.1446114886172904E-4</v>
      </c>
      <c r="G616" s="67">
        <v>-2.7600663270162399E-5</v>
      </c>
      <c r="H616" s="67">
        <v>0.20922883491257599</v>
      </c>
      <c r="I616" s="67">
        <v>2.6389065406688598E-6</v>
      </c>
      <c r="J616" s="67">
        <v>0.15134731606552801</v>
      </c>
      <c r="K616" s="67">
        <v>1.8172846854284399</v>
      </c>
      <c r="L616" s="67"/>
      <c r="M616" s="67"/>
      <c r="N616" s="16"/>
      <c r="O616" s="11">
        <f t="shared" ca="1" si="344"/>
        <v>-3.2647392944444223E-5</v>
      </c>
      <c r="P616" s="11">
        <f t="shared" ca="1" si="345"/>
        <v>1.8738063103641195E-6</v>
      </c>
      <c r="Q616" s="11">
        <f t="shared" ca="1" si="346"/>
        <v>1.0701862004011915E-2</v>
      </c>
      <c r="R616" s="11">
        <f t="shared" ca="1" si="347"/>
        <v>7.0281466121538188E-4</v>
      </c>
      <c r="S616" s="11">
        <f t="shared" ca="1" si="348"/>
        <v>-3.852831531713252E-5</v>
      </c>
      <c r="T616" s="11">
        <f t="shared" ca="1" si="349"/>
        <v>0.2080902798739937</v>
      </c>
      <c r="U616" s="11">
        <f t="shared" ca="1" si="350"/>
        <v>1.8738063103641195E-6</v>
      </c>
      <c r="V616" s="11">
        <f t="shared" ca="1" si="351"/>
        <v>0.15069712005983424</v>
      </c>
      <c r="W616" s="11">
        <f t="shared" ca="1" si="352"/>
        <v>1.8101618371649348</v>
      </c>
      <c r="X616" s="11"/>
      <c r="Y616" s="2">
        <f t="shared" ca="1" si="353"/>
        <v>-3.2647392944444223E-5</v>
      </c>
      <c r="Z616" s="11">
        <f t="shared" ca="1" si="354"/>
        <v>1.8738063103641195E-6</v>
      </c>
      <c r="AA616" s="2">
        <f t="shared" ca="1" si="355"/>
        <v>1.0701847667991458E-2</v>
      </c>
      <c r="AB616" s="2">
        <f t="shared" ca="1" si="356"/>
        <v>7.0246766435656642E-4</v>
      </c>
      <c r="AC616" s="2">
        <f t="shared" ca="1" si="357"/>
        <v>-3.852831531713252E-5</v>
      </c>
      <c r="AD616" s="2">
        <f t="shared" ca="1" si="358"/>
        <v>0.20808775640857444</v>
      </c>
      <c r="AE616" s="2">
        <f t="shared" ca="1" si="359"/>
        <v>1.8738063103641195E-6</v>
      </c>
      <c r="AF616" s="2">
        <f t="shared" ca="1" si="360"/>
        <v>0.15069339350906175</v>
      </c>
      <c r="AG616" s="2">
        <f t="shared" ca="1" si="361"/>
        <v>1.8101603250173224</v>
      </c>
      <c r="AI616" s="2">
        <f t="shared" ca="1" si="362"/>
        <v>-3.2647392944444223E-5</v>
      </c>
      <c r="AJ616" s="11">
        <f t="shared" ca="1" si="363"/>
        <v>1.8738063103641195E-6</v>
      </c>
      <c r="AK616" s="2">
        <f t="shared" ca="1" si="364"/>
        <v>1.0699636923249042E-2</v>
      </c>
      <c r="AL616" s="2">
        <f t="shared" ca="1" si="365"/>
        <v>7.014329434735406E-4</v>
      </c>
      <c r="AM616" s="2">
        <f t="shared" ca="1" si="366"/>
        <v>-3.852831531713252E-5</v>
      </c>
      <c r="AN616" s="2">
        <f t="shared" ca="1" si="367"/>
        <v>0.20808775640857444</v>
      </c>
      <c r="AO616" s="2">
        <f t="shared" ca="1" si="368"/>
        <v>1.8738063103641195E-6</v>
      </c>
      <c r="AP616" s="2">
        <f t="shared" ca="1" si="369"/>
        <v>0.15069339350906175</v>
      </c>
      <c r="AQ616" s="2">
        <f t="shared" ca="1" si="370"/>
        <v>1.8101603250173224</v>
      </c>
      <c r="AS616" s="2">
        <f t="shared" ca="1" si="371"/>
        <v>8.6989254772546527</v>
      </c>
      <c r="AT616" s="2">
        <f t="shared" ca="1" si="372"/>
        <v>0.4007565228662176</v>
      </c>
      <c r="AU616" s="2">
        <f t="shared" ca="1" si="373"/>
        <v>2.8165755984807517E-4</v>
      </c>
      <c r="AV616" s="2">
        <f t="shared" ca="1" si="374"/>
        <v>0.15041546249998616</v>
      </c>
      <c r="AW616" s="2">
        <f t="shared" ca="1" si="375"/>
        <v>0.70916375236803264</v>
      </c>
      <c r="AX616" s="2">
        <f t="shared" ca="1" si="376"/>
        <v>5.3463876306801369E-2</v>
      </c>
      <c r="AY616" s="9">
        <f t="shared" ca="1" si="377"/>
        <v>0.70916375236803264</v>
      </c>
      <c r="AZ616" s="9">
        <f t="shared" ca="1" si="378"/>
        <v>0.70916375236803264</v>
      </c>
      <c r="BA616" s="9"/>
      <c r="BB616" s="2">
        <f t="shared" ca="1" si="379"/>
        <v>8.699023701630594</v>
      </c>
      <c r="BC616" s="2">
        <f t="shared" ca="1" si="380"/>
        <v>0.40076110291469258</v>
      </c>
      <c r="BD616" s="2">
        <f t="shared" ca="1" si="381"/>
        <v>2.8110704004715537E-4</v>
      </c>
      <c r="BE616" s="2">
        <f t="shared" ca="1" si="382"/>
        <v>0.15041228646901458</v>
      </c>
      <c r="BF616" s="2">
        <f t="shared" ca="1" si="383"/>
        <v>0.70915334564921073</v>
      </c>
      <c r="BG616" s="2">
        <f t="shared" ca="1" si="384"/>
        <v>5.3454026172568024E-2</v>
      </c>
      <c r="BH616" s="2">
        <f t="shared" ca="1" si="385"/>
        <v>0.70915334564921073</v>
      </c>
      <c r="BI616" s="2">
        <f t="shared" ca="1" si="386"/>
        <v>0.70915334564921073</v>
      </c>
    </row>
    <row r="617" spans="1:61" ht="15" x14ac:dyDescent="0.25">
      <c r="A617" s="66">
        <v>551</v>
      </c>
      <c r="B617" s="66">
        <v>1498730409.79</v>
      </c>
      <c r="C617" s="67">
        <v>7.0395219969088699E-5</v>
      </c>
      <c r="D617" s="67">
        <v>-1.6705687004994898E-5</v>
      </c>
      <c r="E617" s="67">
        <v>1.1220285113400501E-2</v>
      </c>
      <c r="F617" s="67">
        <v>6.4517485822932201E-4</v>
      </c>
      <c r="G617" s="67">
        <v>3.0167482870998199E-5</v>
      </c>
      <c r="H617" s="67">
        <v>0.204088056147011</v>
      </c>
      <c r="I617" s="67">
        <v>-1.6705687004994898E-5</v>
      </c>
      <c r="J617" s="67">
        <v>0.14757592235953901</v>
      </c>
      <c r="K617" s="67">
        <v>1.7730820053368701</v>
      </c>
      <c r="L617" s="67"/>
      <c r="M617" s="67"/>
      <c r="N617" s="16"/>
      <c r="O617" s="11">
        <f t="shared" ca="1" si="344"/>
        <v>5.7591289259128672E-5</v>
      </c>
      <c r="P617" s="11">
        <f t="shared" ca="1" si="345"/>
        <v>-1.747078723529964E-5</v>
      </c>
      <c r="Q617" s="11">
        <f t="shared" ca="1" si="346"/>
        <v>1.0383793501132216E-2</v>
      </c>
      <c r="R617" s="11">
        <f t="shared" ca="1" si="347"/>
        <v>6.3352837058297485E-4</v>
      </c>
      <c r="S617" s="11">
        <f t="shared" ca="1" si="348"/>
        <v>1.9239830824028075E-5</v>
      </c>
      <c r="T617" s="11">
        <f t="shared" ca="1" si="349"/>
        <v>0.20294950110842871</v>
      </c>
      <c r="U617" s="11">
        <f t="shared" ca="1" si="350"/>
        <v>-1.747078723529964E-5</v>
      </c>
      <c r="V617" s="11">
        <f t="shared" ca="1" si="351"/>
        <v>0.14692572635384524</v>
      </c>
      <c r="W617" s="11">
        <f t="shared" ca="1" si="352"/>
        <v>1.765959157073365</v>
      </c>
      <c r="X617" s="11"/>
      <c r="Y617" s="2">
        <f t="shared" ca="1" si="353"/>
        <v>5.7591289259128672E-5</v>
      </c>
      <c r="Z617" s="11">
        <f t="shared" ca="1" si="354"/>
        <v>-1.747078723529964E-5</v>
      </c>
      <c r="AA617" s="2">
        <f t="shared" ca="1" si="355"/>
        <v>1.0383793501132216E-2</v>
      </c>
      <c r="AB617" s="2">
        <f t="shared" ca="1" si="356"/>
        <v>6.3352837058297485E-4</v>
      </c>
      <c r="AC617" s="2">
        <f t="shared" ca="1" si="357"/>
        <v>1.9239830824028075E-5</v>
      </c>
      <c r="AD617" s="2">
        <f t="shared" ca="1" si="358"/>
        <v>0.20294950110842871</v>
      </c>
      <c r="AE617" s="2">
        <f t="shared" ca="1" si="359"/>
        <v>-1.747078723529964E-5</v>
      </c>
      <c r="AF617" s="2">
        <f t="shared" ca="1" si="360"/>
        <v>0.14692572635384524</v>
      </c>
      <c r="AG617" s="2">
        <f t="shared" ca="1" si="361"/>
        <v>1.765959157073365</v>
      </c>
      <c r="AI617" s="2">
        <f t="shared" ca="1" si="362"/>
        <v>5.7591289259128672E-5</v>
      </c>
      <c r="AJ617" s="11">
        <f t="shared" ca="1" si="363"/>
        <v>-1.747078723529964E-5</v>
      </c>
      <c r="AK617" s="2">
        <f t="shared" ca="1" si="364"/>
        <v>1.0383793501132216E-2</v>
      </c>
      <c r="AL617" s="2">
        <f t="shared" ca="1" si="365"/>
        <v>6.3352837058297485E-4</v>
      </c>
      <c r="AM617" s="2">
        <f t="shared" ca="1" si="366"/>
        <v>1.9239830824028075E-5</v>
      </c>
      <c r="AN617" s="2">
        <f t="shared" ca="1" si="367"/>
        <v>0.20294950110842871</v>
      </c>
      <c r="AO617" s="2">
        <f t="shared" ca="1" si="368"/>
        <v>-1.747078723529964E-5</v>
      </c>
      <c r="AP617" s="2">
        <f t="shared" ca="1" si="369"/>
        <v>0.14692572635384524</v>
      </c>
      <c r="AQ617" s="2">
        <f t="shared" ca="1" si="370"/>
        <v>1.765959157073365</v>
      </c>
      <c r="AS617" s="2">
        <f t="shared" ca="1" si="371"/>
        <v>8.7014707965696143</v>
      </c>
      <c r="AT617" s="2">
        <f t="shared" ca="1" si="372"/>
        <v>0.40087520731313886</v>
      </c>
      <c r="AU617" s="2">
        <f t="shared" ca="1" si="373"/>
        <v>2.5396581689620512E-4</v>
      </c>
      <c r="AV617" s="2">
        <f t="shared" ca="1" si="374"/>
        <v>0.14667176053694903</v>
      </c>
      <c r="AW617" s="2">
        <f t="shared" ca="1" si="375"/>
        <v>0.70892513114747457</v>
      </c>
      <c r="AX617" s="2">
        <f t="shared" ca="1" si="376"/>
        <v>5.3204817350816995E-2</v>
      </c>
      <c r="AY617" s="9">
        <f t="shared" ca="1" si="377"/>
        <v>0.70892513114747457</v>
      </c>
      <c r="AZ617" s="9">
        <f t="shared" ca="1" si="378"/>
        <v>0.70892513114747457</v>
      </c>
      <c r="BA617" s="9"/>
      <c r="BB617" s="2">
        <f t="shared" ca="1" si="379"/>
        <v>8.7014707965696143</v>
      </c>
      <c r="BC617" s="2">
        <f t="shared" ca="1" si="380"/>
        <v>0.40087520731313886</v>
      </c>
      <c r="BD617" s="2">
        <f t="shared" ca="1" si="381"/>
        <v>2.5396581689620512E-4</v>
      </c>
      <c r="BE617" s="2">
        <f t="shared" ca="1" si="382"/>
        <v>0.14667176053694903</v>
      </c>
      <c r="BF617" s="2">
        <f t="shared" ca="1" si="383"/>
        <v>0.70892513114747457</v>
      </c>
      <c r="BG617" s="2">
        <f t="shared" ca="1" si="384"/>
        <v>5.3204817350816995E-2</v>
      </c>
      <c r="BH617" s="2">
        <f t="shared" ca="1" si="385"/>
        <v>0.70892513114747457</v>
      </c>
      <c r="BI617" s="2">
        <f t="shared" ca="1" si="386"/>
        <v>0.70892513114747457</v>
      </c>
    </row>
    <row r="618" spans="1:61" ht="15" x14ac:dyDescent="0.25">
      <c r="A618" s="66">
        <v>552</v>
      </c>
      <c r="B618" s="66">
        <v>1498730410.3169999</v>
      </c>
      <c r="C618" s="67">
        <v>-5.3621800197996E-5</v>
      </c>
      <c r="D618" s="67">
        <v>-1.1344376655526699E-5</v>
      </c>
      <c r="E618" s="67">
        <v>1.1326858188725799E-2</v>
      </c>
      <c r="F618" s="67">
        <v>7.0874663378881798E-4</v>
      </c>
      <c r="G618" s="67">
        <v>-4.4331584775022303E-5</v>
      </c>
      <c r="H618" s="67">
        <v>0.20600863176211001</v>
      </c>
      <c r="I618" s="67">
        <v>-1.1344376655526699E-5</v>
      </c>
      <c r="J618" s="67">
        <v>0.14889313279883201</v>
      </c>
      <c r="K618" s="67">
        <v>1.78699003283402</v>
      </c>
      <c r="L618" s="67"/>
      <c r="M618" s="67"/>
      <c r="N618" s="16"/>
      <c r="O618" s="11">
        <f t="shared" ca="1" si="344"/>
        <v>-6.6425730907956028E-5</v>
      </c>
      <c r="P618" s="11">
        <f t="shared" ca="1" si="345"/>
        <v>-1.210947688583144E-5</v>
      </c>
      <c r="Q618" s="11">
        <f t="shared" ca="1" si="346"/>
        <v>1.0490366576457515E-2</v>
      </c>
      <c r="R618" s="11">
        <f t="shared" ca="1" si="347"/>
        <v>6.9710014614247082E-4</v>
      </c>
      <c r="S618" s="11">
        <f t="shared" ca="1" si="348"/>
        <v>-5.5259236821992423E-5</v>
      </c>
      <c r="T618" s="11">
        <f t="shared" ca="1" si="349"/>
        <v>0.20487007672352772</v>
      </c>
      <c r="U618" s="11">
        <f t="shared" ca="1" si="350"/>
        <v>-1.210947688583144E-5</v>
      </c>
      <c r="V618" s="11">
        <f t="shared" ca="1" si="351"/>
        <v>0.14824293679313824</v>
      </c>
      <c r="W618" s="11">
        <f t="shared" ca="1" si="352"/>
        <v>1.779867184570515</v>
      </c>
      <c r="X618" s="11"/>
      <c r="Y618" s="2">
        <f t="shared" ca="1" si="353"/>
        <v>-6.6425730907956028E-5</v>
      </c>
      <c r="Z618" s="11">
        <f t="shared" ca="1" si="354"/>
        <v>-1.210947688583144E-5</v>
      </c>
      <c r="AA618" s="2">
        <f t="shared" ca="1" si="355"/>
        <v>1.0490366576457515E-2</v>
      </c>
      <c r="AB618" s="2">
        <f t="shared" ca="1" si="356"/>
        <v>6.9710014614247082E-4</v>
      </c>
      <c r="AC618" s="2">
        <f t="shared" ca="1" si="357"/>
        <v>-5.5259236821992423E-5</v>
      </c>
      <c r="AD618" s="2">
        <f t="shared" ca="1" si="358"/>
        <v>0.20487007672352772</v>
      </c>
      <c r="AE618" s="2">
        <f t="shared" ca="1" si="359"/>
        <v>-1.210947688583144E-5</v>
      </c>
      <c r="AF618" s="2">
        <f t="shared" ca="1" si="360"/>
        <v>0.14824293679313824</v>
      </c>
      <c r="AG618" s="2">
        <f t="shared" ca="1" si="361"/>
        <v>1.779867184570515</v>
      </c>
      <c r="AI618" s="2">
        <f t="shared" ca="1" si="362"/>
        <v>-6.6425730907956028E-5</v>
      </c>
      <c r="AJ618" s="11">
        <f t="shared" ca="1" si="363"/>
        <v>-1.210947688583144E-5</v>
      </c>
      <c r="AK618" s="2">
        <f t="shared" ca="1" si="364"/>
        <v>1.0490366576457515E-2</v>
      </c>
      <c r="AL618" s="2">
        <f t="shared" ca="1" si="365"/>
        <v>6.9710014614247082E-4</v>
      </c>
      <c r="AM618" s="2">
        <f t="shared" ca="1" si="366"/>
        <v>-5.5259236821992423E-5</v>
      </c>
      <c r="AN618" s="2">
        <f t="shared" ca="1" si="367"/>
        <v>0.20487007672352772</v>
      </c>
      <c r="AO618" s="2">
        <f t="shared" ca="1" si="368"/>
        <v>-1.210947688583144E-5</v>
      </c>
      <c r="AP618" s="2">
        <f t="shared" ca="1" si="369"/>
        <v>0.14824293679313824</v>
      </c>
      <c r="AQ618" s="2">
        <f t="shared" ca="1" si="370"/>
        <v>1.779867184570515</v>
      </c>
      <c r="AS618" s="2">
        <f t="shared" ca="1" si="371"/>
        <v>8.6877850247132322</v>
      </c>
      <c r="AT618" s="2">
        <f t="shared" ca="1" si="372"/>
        <v>0.40023706512216833</v>
      </c>
      <c r="AU618" s="2">
        <f t="shared" ca="1" si="373"/>
        <v>2.7900531658829717E-4</v>
      </c>
      <c r="AV618" s="2">
        <f t="shared" ca="1" si="374"/>
        <v>0.14796393147654993</v>
      </c>
      <c r="AW618" s="2">
        <f t="shared" ca="1" si="375"/>
        <v>0.70902809508410536</v>
      </c>
      <c r="AX618" s="2">
        <f t="shared" ca="1" si="376"/>
        <v>5.3161293705927107E-2</v>
      </c>
      <c r="AY618" s="9">
        <f t="shared" ca="1" si="377"/>
        <v>0.70902809508410536</v>
      </c>
      <c r="AZ618" s="9">
        <f t="shared" ca="1" si="378"/>
        <v>0.70902809508410536</v>
      </c>
      <c r="BA618" s="9"/>
      <c r="BB618" s="2">
        <f t="shared" ca="1" si="379"/>
        <v>8.6877850247132322</v>
      </c>
      <c r="BC618" s="2">
        <f t="shared" ca="1" si="380"/>
        <v>0.40023706512216833</v>
      </c>
      <c r="BD618" s="2">
        <f t="shared" ca="1" si="381"/>
        <v>2.7900531658829717E-4</v>
      </c>
      <c r="BE618" s="2">
        <f t="shared" ca="1" si="382"/>
        <v>0.14796393147654993</v>
      </c>
      <c r="BF618" s="2">
        <f t="shared" ca="1" si="383"/>
        <v>0.70902809508410536</v>
      </c>
      <c r="BG618" s="2">
        <f t="shared" ca="1" si="384"/>
        <v>5.3161293705927107E-2</v>
      </c>
      <c r="BH618" s="2">
        <f t="shared" ca="1" si="385"/>
        <v>0.70902809508410536</v>
      </c>
      <c r="BI618" s="2">
        <f t="shared" ca="1" si="386"/>
        <v>0.70902809508410536</v>
      </c>
    </row>
    <row r="619" spans="1:61" ht="15" x14ac:dyDescent="0.25">
      <c r="A619" s="66">
        <v>553</v>
      </c>
      <c r="B619" s="66">
        <v>1498730410.8440001</v>
      </c>
      <c r="C619" s="67">
        <v>-5.6703905264218704E-6</v>
      </c>
      <c r="D619" s="67">
        <v>-6.6242761262640403E-5</v>
      </c>
      <c r="E619" s="67">
        <v>1.16663791750542E-2</v>
      </c>
      <c r="F619" s="67">
        <v>7.5898786511403599E-4</v>
      </c>
      <c r="G619" s="67">
        <v>-1.27995993738534E-4</v>
      </c>
      <c r="H619" s="67">
        <v>0.21381395343276999</v>
      </c>
      <c r="I619" s="67">
        <v>-6.6242761262640403E-5</v>
      </c>
      <c r="J619" s="67">
        <v>0.15439131654738</v>
      </c>
      <c r="K619" s="67">
        <v>1.8533384317742501</v>
      </c>
      <c r="L619" s="67"/>
      <c r="M619" s="67"/>
      <c r="N619" s="16"/>
      <c r="O619" s="11">
        <f t="shared" ca="1" si="344"/>
        <v>-1.8474321236381899E-5</v>
      </c>
      <c r="P619" s="11">
        <f t="shared" ca="1" si="345"/>
        <v>-6.7007861492945141E-5</v>
      </c>
      <c r="Q619" s="11">
        <f t="shared" ca="1" si="346"/>
        <v>1.0829887562785915E-2</v>
      </c>
      <c r="R619" s="11">
        <f t="shared" ca="1" si="347"/>
        <v>7.4734137746768883E-4</v>
      </c>
      <c r="S619" s="11">
        <f t="shared" ca="1" si="348"/>
        <v>-1.3892364578550412E-4</v>
      </c>
      <c r="T619" s="11">
        <f t="shared" ca="1" si="349"/>
        <v>0.2126753983941877</v>
      </c>
      <c r="U619" s="11">
        <f t="shared" ca="1" si="350"/>
        <v>-6.7007861492945141E-5</v>
      </c>
      <c r="V619" s="11">
        <f t="shared" ca="1" si="351"/>
        <v>0.15374112054168623</v>
      </c>
      <c r="W619" s="11">
        <f t="shared" ca="1" si="352"/>
        <v>1.846215583510745</v>
      </c>
      <c r="X619" s="11"/>
      <c r="Y619" s="2">
        <f t="shared" ca="1" si="353"/>
        <v>-1.8474321236381899E-5</v>
      </c>
      <c r="Z619" s="11">
        <f t="shared" ca="1" si="354"/>
        <v>-6.7007861492945141E-5</v>
      </c>
      <c r="AA619" s="2">
        <f t="shared" ca="1" si="355"/>
        <v>1.0829887562785915E-2</v>
      </c>
      <c r="AB619" s="2">
        <f t="shared" ca="1" si="356"/>
        <v>7.4734137746768883E-4</v>
      </c>
      <c r="AC619" s="2">
        <f t="shared" ca="1" si="357"/>
        <v>-1.3892364578550412E-4</v>
      </c>
      <c r="AD619" s="2">
        <f t="shared" ca="1" si="358"/>
        <v>0.2126753983941877</v>
      </c>
      <c r="AE619" s="2">
        <f t="shared" ca="1" si="359"/>
        <v>-6.7007861492945141E-5</v>
      </c>
      <c r="AF619" s="2">
        <f t="shared" ca="1" si="360"/>
        <v>0.15374112054168623</v>
      </c>
      <c r="AG619" s="2">
        <f t="shared" ca="1" si="361"/>
        <v>1.846215583510745</v>
      </c>
      <c r="AI619" s="2">
        <f t="shared" ca="1" si="362"/>
        <v>-1.8474321236381899E-5</v>
      </c>
      <c r="AJ619" s="11">
        <f t="shared" ca="1" si="363"/>
        <v>-6.7007861492945141E-5</v>
      </c>
      <c r="AK619" s="2">
        <f t="shared" ca="1" si="364"/>
        <v>1.0829887562785915E-2</v>
      </c>
      <c r="AL619" s="2">
        <f t="shared" ca="1" si="365"/>
        <v>7.4734137746768883E-4</v>
      </c>
      <c r="AM619" s="2">
        <f t="shared" ca="1" si="366"/>
        <v>-1.3892364578550412E-4</v>
      </c>
      <c r="AN619" s="2">
        <f t="shared" ca="1" si="367"/>
        <v>0.2126753983941877</v>
      </c>
      <c r="AO619" s="2">
        <f t="shared" ca="1" si="368"/>
        <v>-6.7007861492945141E-5</v>
      </c>
      <c r="AP619" s="2">
        <f t="shared" ca="1" si="369"/>
        <v>0.15374112054168623</v>
      </c>
      <c r="AQ619" s="2">
        <f t="shared" ca="1" si="370"/>
        <v>1.846215583510745</v>
      </c>
      <c r="AS619" s="2">
        <f t="shared" ca="1" si="371"/>
        <v>8.680908076113429</v>
      </c>
      <c r="AT619" s="2">
        <f t="shared" ca="1" si="372"/>
        <v>0.39991641034876657</v>
      </c>
      <c r="AU619" s="2">
        <f t="shared" ca="1" si="373"/>
        <v>2.988740809819807E-4</v>
      </c>
      <c r="AV619" s="2">
        <f t="shared" ca="1" si="374"/>
        <v>0.15344224646070426</v>
      </c>
      <c r="AW619" s="2">
        <f t="shared" ca="1" si="375"/>
        <v>0.70857690876144397</v>
      </c>
      <c r="AX619" s="2">
        <f t="shared" ca="1" si="376"/>
        <v>5.2824840560366168E-2</v>
      </c>
      <c r="AY619" s="9">
        <f t="shared" ca="1" si="377"/>
        <v>0.70857690876144397</v>
      </c>
      <c r="AZ619" s="9">
        <f t="shared" ca="1" si="378"/>
        <v>0.70857690876144397</v>
      </c>
      <c r="BA619" s="9"/>
      <c r="BB619" s="2">
        <f t="shared" ca="1" si="379"/>
        <v>8.680908076113429</v>
      </c>
      <c r="BC619" s="2">
        <f t="shared" ca="1" si="380"/>
        <v>0.39991641034876657</v>
      </c>
      <c r="BD619" s="2">
        <f t="shared" ca="1" si="381"/>
        <v>2.988740809819807E-4</v>
      </c>
      <c r="BE619" s="2">
        <f t="shared" ca="1" si="382"/>
        <v>0.15344224646070426</v>
      </c>
      <c r="BF619" s="2">
        <f t="shared" ca="1" si="383"/>
        <v>0.70857690876144397</v>
      </c>
      <c r="BG619" s="2">
        <f t="shared" ca="1" si="384"/>
        <v>5.2824840560366168E-2</v>
      </c>
      <c r="BH619" s="2">
        <f t="shared" ca="1" si="385"/>
        <v>0.70857690876144397</v>
      </c>
      <c r="BI619" s="2">
        <f t="shared" ca="1" si="386"/>
        <v>0.70857690876144397</v>
      </c>
    </row>
    <row r="620" spans="1:61" ht="15" x14ac:dyDescent="0.25">
      <c r="A620" s="66">
        <v>554</v>
      </c>
      <c r="B620" s="66">
        <v>1498730411.3710001</v>
      </c>
      <c r="C620" s="67">
        <v>8.4569580777958098E-5</v>
      </c>
      <c r="D620" s="67">
        <v>2.6122029892308801E-5</v>
      </c>
      <c r="E620" s="67">
        <v>1.24151238574477E-2</v>
      </c>
      <c r="F620" s="67">
        <v>8.5185745610372198E-4</v>
      </c>
      <c r="G620" s="67">
        <v>9.60275985529478E-5</v>
      </c>
      <c r="H620" s="67">
        <v>0.22658752002833399</v>
      </c>
      <c r="I620" s="67">
        <v>2.6122029892308801E-5</v>
      </c>
      <c r="J620" s="67">
        <v>0.16374946170424301</v>
      </c>
      <c r="K620" s="67">
        <v>1.96450872774548</v>
      </c>
      <c r="L620" s="67"/>
      <c r="M620" s="67"/>
      <c r="N620" s="16"/>
      <c r="O620" s="11">
        <f t="shared" ca="1" si="344"/>
        <v>7.1765650067998077E-5</v>
      </c>
      <c r="P620" s="11">
        <f t="shared" ca="1" si="345"/>
        <v>2.5356929662004059E-5</v>
      </c>
      <c r="Q620" s="11">
        <f t="shared" ca="1" si="346"/>
        <v>1.1578632245179415E-2</v>
      </c>
      <c r="R620" s="11">
        <f t="shared" ca="1" si="347"/>
        <v>8.4021096845737482E-4</v>
      </c>
      <c r="S620" s="11">
        <f t="shared" ca="1" si="348"/>
        <v>8.5099946505977673E-5</v>
      </c>
      <c r="T620" s="11">
        <f t="shared" ca="1" si="349"/>
        <v>0.2254489649897517</v>
      </c>
      <c r="U620" s="11">
        <f t="shared" ca="1" si="350"/>
        <v>2.5356929662004059E-5</v>
      </c>
      <c r="V620" s="11">
        <f t="shared" ca="1" si="351"/>
        <v>0.16309926569854924</v>
      </c>
      <c r="W620" s="11">
        <f t="shared" ca="1" si="352"/>
        <v>1.957385879481975</v>
      </c>
      <c r="X620" s="11"/>
      <c r="Y620" s="2">
        <f t="shared" ca="1" si="353"/>
        <v>7.1765650067998077E-5</v>
      </c>
      <c r="Z620" s="11">
        <f t="shared" ca="1" si="354"/>
        <v>2.5356929662004059E-5</v>
      </c>
      <c r="AA620" s="2">
        <f t="shared" ca="1" si="355"/>
        <v>1.1578438245692713E-2</v>
      </c>
      <c r="AB620" s="2">
        <f t="shared" ca="1" si="356"/>
        <v>8.3551529906334288E-4</v>
      </c>
      <c r="AC620" s="2">
        <f t="shared" ca="1" si="357"/>
        <v>8.5099946505977673E-5</v>
      </c>
      <c r="AD620" s="2">
        <f t="shared" ca="1" si="358"/>
        <v>0.22541481667101293</v>
      </c>
      <c r="AE620" s="2">
        <f t="shared" ca="1" si="359"/>
        <v>2.5356929662004059E-5</v>
      </c>
      <c r="AF620" s="2">
        <f t="shared" ca="1" si="360"/>
        <v>0.16304883685470489</v>
      </c>
      <c r="AG620" s="2">
        <f t="shared" ca="1" si="361"/>
        <v>1.957365416630273</v>
      </c>
      <c r="AI620" s="2">
        <f t="shared" ca="1" si="362"/>
        <v>7.1765650067998077E-5</v>
      </c>
      <c r="AJ620" s="11">
        <f t="shared" ca="1" si="363"/>
        <v>2.5356929662004059E-5</v>
      </c>
      <c r="AK620" s="2">
        <f t="shared" ca="1" si="364"/>
        <v>1.1548521760395362E-2</v>
      </c>
      <c r="AL620" s="2">
        <f t="shared" ca="1" si="365"/>
        <v>8.2151313432220988E-4</v>
      </c>
      <c r="AM620" s="2">
        <f t="shared" ca="1" si="366"/>
        <v>8.5099946505977673E-5</v>
      </c>
      <c r="AN620" s="2">
        <f t="shared" ca="1" si="367"/>
        <v>0.22541481667101293</v>
      </c>
      <c r="AO620" s="2">
        <f t="shared" ca="1" si="368"/>
        <v>2.5356929662004059E-5</v>
      </c>
      <c r="AP620" s="2">
        <f t="shared" ca="1" si="369"/>
        <v>0.16304883685470489</v>
      </c>
      <c r="AQ620" s="2">
        <f t="shared" ca="1" si="370"/>
        <v>1.957365416630273</v>
      </c>
      <c r="AS620" s="2">
        <f t="shared" ca="1" si="371"/>
        <v>8.6821683992692193</v>
      </c>
      <c r="AT620" s="2">
        <f t="shared" ca="1" si="372"/>
        <v>0.39997517580918546</v>
      </c>
      <c r="AU620" s="2">
        <f t="shared" ca="1" si="373"/>
        <v>3.3606352982554449E-4</v>
      </c>
      <c r="AV620" s="2">
        <f t="shared" ca="1" si="374"/>
        <v>0.1627632021687237</v>
      </c>
      <c r="AW620" s="2">
        <f t="shared" ca="1" si="375"/>
        <v>0.70898252602951661</v>
      </c>
      <c r="AX620" s="2">
        <f t="shared" ca="1" si="376"/>
        <v>5.3285007379724719E-2</v>
      </c>
      <c r="AY620" s="9">
        <f t="shared" ca="1" si="377"/>
        <v>0.70898252602951661</v>
      </c>
      <c r="AZ620" s="9">
        <f t="shared" ca="1" si="378"/>
        <v>0.70898252602951661</v>
      </c>
      <c r="BA620" s="9"/>
      <c r="BB620" s="2">
        <f t="shared" ca="1" si="379"/>
        <v>8.6833928911026153</v>
      </c>
      <c r="BC620" s="2">
        <f t="shared" ca="1" si="380"/>
        <v>0.40003227065103553</v>
      </c>
      <c r="BD620" s="2">
        <f t="shared" ca="1" si="381"/>
        <v>3.2863176449256275E-4</v>
      </c>
      <c r="BE620" s="2">
        <f t="shared" ca="1" si="382"/>
        <v>0.16272020509021232</v>
      </c>
      <c r="BF620" s="2">
        <f t="shared" ca="1" si="383"/>
        <v>0.70885226650612176</v>
      </c>
      <c r="BG620" s="2">
        <f t="shared" ca="1" si="384"/>
        <v>5.3162160738173939E-2</v>
      </c>
      <c r="BH620" s="2">
        <f t="shared" ca="1" si="385"/>
        <v>0.70885226650612176</v>
      </c>
      <c r="BI620" s="2">
        <f t="shared" ca="1" si="386"/>
        <v>0.70885226650612176</v>
      </c>
    </row>
    <row r="621" spans="1:61" ht="15" x14ac:dyDescent="0.25">
      <c r="A621" s="66">
        <v>555</v>
      </c>
      <c r="B621" s="66">
        <v>1498730411.898</v>
      </c>
      <c r="C621" s="67">
        <v>-1.06294815528372E-4</v>
      </c>
      <c r="D621" s="67">
        <v>-3.9824493939232699E-5</v>
      </c>
      <c r="E621" s="67">
        <v>1.2207056843487199E-2</v>
      </c>
      <c r="F621" s="67">
        <v>6.6350787651960996E-4</v>
      </c>
      <c r="G621" s="67">
        <v>-3.9602033284477603E-5</v>
      </c>
      <c r="H621" s="67">
        <v>0.22316360025995</v>
      </c>
      <c r="I621" s="67">
        <v>-3.9824493939232699E-5</v>
      </c>
      <c r="J621" s="67">
        <v>0.16114031747313301</v>
      </c>
      <c r="K621" s="67">
        <v>1.9362424016255</v>
      </c>
      <c r="L621" s="67"/>
      <c r="M621" s="67"/>
      <c r="N621" s="16"/>
      <c r="O621" s="11">
        <f t="shared" ca="1" si="344"/>
        <v>-1.1909874623833202E-4</v>
      </c>
      <c r="P621" s="11">
        <f t="shared" ca="1" si="345"/>
        <v>-4.0589594169537438E-5</v>
      </c>
      <c r="Q621" s="11">
        <f t="shared" ca="1" si="346"/>
        <v>1.1370565231218915E-2</v>
      </c>
      <c r="R621" s="11">
        <f t="shared" ca="1" si="347"/>
        <v>6.518613888732628E-4</v>
      </c>
      <c r="S621" s="11">
        <f t="shared" ca="1" si="348"/>
        <v>-5.0529685331447723E-5</v>
      </c>
      <c r="T621" s="11">
        <f t="shared" ca="1" si="349"/>
        <v>0.22202504522136771</v>
      </c>
      <c r="U621" s="11">
        <f t="shared" ca="1" si="350"/>
        <v>-4.0589594169537438E-5</v>
      </c>
      <c r="V621" s="11">
        <f t="shared" ca="1" si="351"/>
        <v>0.16049012146743924</v>
      </c>
      <c r="W621" s="11">
        <f t="shared" ca="1" si="352"/>
        <v>1.9291195533619949</v>
      </c>
      <c r="X621" s="11"/>
      <c r="Y621" s="2">
        <f t="shared" ca="1" si="353"/>
        <v>-1.1909874623833202E-4</v>
      </c>
      <c r="Z621" s="11">
        <f t="shared" ca="1" si="354"/>
        <v>-4.0589594169537438E-5</v>
      </c>
      <c r="AA621" s="2">
        <f t="shared" ca="1" si="355"/>
        <v>1.1370565231218915E-2</v>
      </c>
      <c r="AB621" s="2">
        <f t="shared" ca="1" si="356"/>
        <v>6.518613888732628E-4</v>
      </c>
      <c r="AC621" s="2">
        <f t="shared" ca="1" si="357"/>
        <v>-5.0529685331447723E-5</v>
      </c>
      <c r="AD621" s="2">
        <f t="shared" ca="1" si="358"/>
        <v>0.22202504522136771</v>
      </c>
      <c r="AE621" s="2">
        <f t="shared" ca="1" si="359"/>
        <v>-4.0589594169537438E-5</v>
      </c>
      <c r="AF621" s="2">
        <f t="shared" ca="1" si="360"/>
        <v>0.16049012146743924</v>
      </c>
      <c r="AG621" s="2">
        <f t="shared" ca="1" si="361"/>
        <v>1.9291195533619949</v>
      </c>
      <c r="AI621" s="2">
        <f t="shared" ca="1" si="362"/>
        <v>-1.1909874623833202E-4</v>
      </c>
      <c r="AJ621" s="11">
        <f t="shared" ca="1" si="363"/>
        <v>-4.0589594169537438E-5</v>
      </c>
      <c r="AK621" s="2">
        <f t="shared" ca="1" si="364"/>
        <v>1.1370565231218915E-2</v>
      </c>
      <c r="AL621" s="2">
        <f t="shared" ca="1" si="365"/>
        <v>6.518613888732628E-4</v>
      </c>
      <c r="AM621" s="2">
        <f t="shared" ca="1" si="366"/>
        <v>-5.0529685331447723E-5</v>
      </c>
      <c r="AN621" s="2">
        <f t="shared" ca="1" si="367"/>
        <v>0.22202504522136771</v>
      </c>
      <c r="AO621" s="2">
        <f t="shared" ca="1" si="368"/>
        <v>-4.0589594169537438E-5</v>
      </c>
      <c r="AP621" s="2">
        <f t="shared" ca="1" si="369"/>
        <v>0.16049012146743924</v>
      </c>
      <c r="AQ621" s="2">
        <f t="shared" ca="1" si="370"/>
        <v>1.9291195533619949</v>
      </c>
      <c r="AS621" s="2">
        <f t="shared" ca="1" si="371"/>
        <v>8.6887474853955631</v>
      </c>
      <c r="AT621" s="2">
        <f t="shared" ca="1" si="372"/>
        <v>0.4002819424826321</v>
      </c>
      <c r="AU621" s="2">
        <f t="shared" ca="1" si="373"/>
        <v>2.6092834296761606E-4</v>
      </c>
      <c r="AV621" s="2">
        <f t="shared" ca="1" si="374"/>
        <v>0.16022919312447162</v>
      </c>
      <c r="AW621" s="2">
        <f t="shared" ca="1" si="375"/>
        <v>0.70843753441369262</v>
      </c>
      <c r="AX621" s="2">
        <f t="shared" ca="1" si="376"/>
        <v>5.3175639564085907E-2</v>
      </c>
      <c r="AY621" s="9">
        <f t="shared" ca="1" si="377"/>
        <v>0.70843753441369262</v>
      </c>
      <c r="AZ621" s="9">
        <f t="shared" ca="1" si="378"/>
        <v>0.70843753441369262</v>
      </c>
      <c r="BA621" s="9"/>
      <c r="BB621" s="2">
        <f t="shared" ca="1" si="379"/>
        <v>8.6887474853955631</v>
      </c>
      <c r="BC621" s="2">
        <f t="shared" ca="1" si="380"/>
        <v>0.4002819424826321</v>
      </c>
      <c r="BD621" s="2">
        <f t="shared" ca="1" si="381"/>
        <v>2.6092834296761606E-4</v>
      </c>
      <c r="BE621" s="2">
        <f t="shared" ca="1" si="382"/>
        <v>0.16022919312447162</v>
      </c>
      <c r="BF621" s="2">
        <f t="shared" ca="1" si="383"/>
        <v>0.70843753441369262</v>
      </c>
      <c r="BG621" s="2">
        <f t="shared" ca="1" si="384"/>
        <v>5.3175639564085907E-2</v>
      </c>
      <c r="BH621" s="2">
        <f t="shared" ca="1" si="385"/>
        <v>0.70843753441369262</v>
      </c>
      <c r="BI621" s="2">
        <f t="shared" ca="1" si="386"/>
        <v>0.70843753441369262</v>
      </c>
    </row>
    <row r="622" spans="1:61" ht="15" x14ac:dyDescent="0.25">
      <c r="A622" s="66">
        <v>556</v>
      </c>
      <c r="B622" s="66">
        <v>1498730412.425</v>
      </c>
      <c r="C622" s="67">
        <v>7.0158982337740504E-5</v>
      </c>
      <c r="D622" s="67">
        <v>3.0162443659596501E-5</v>
      </c>
      <c r="E622" s="67">
        <v>1.2421626641533101E-2</v>
      </c>
      <c r="F622" s="67">
        <v>6.5279373406407605E-4</v>
      </c>
      <c r="G622" s="67">
        <v>-7.8278887177994397E-5</v>
      </c>
      <c r="H622" s="67">
        <v>0.22875400446258001</v>
      </c>
      <c r="I622" s="67">
        <v>3.0162443659596501E-5</v>
      </c>
      <c r="J622" s="67">
        <v>0.16535303229277201</v>
      </c>
      <c r="K622" s="67">
        <v>1.9855771725909399</v>
      </c>
      <c r="L622" s="67"/>
      <c r="M622" s="67"/>
      <c r="N622" s="16"/>
      <c r="O622" s="11">
        <f t="shared" ca="1" si="344"/>
        <v>5.7355051627780476E-5</v>
      </c>
      <c r="P622" s="11">
        <f t="shared" ca="1" si="345"/>
        <v>2.9397343429291759E-5</v>
      </c>
      <c r="Q622" s="11">
        <f t="shared" ca="1" si="346"/>
        <v>1.1585135029264816E-2</v>
      </c>
      <c r="R622" s="11">
        <f t="shared" ca="1" si="347"/>
        <v>6.4114724641772889E-4</v>
      </c>
      <c r="S622" s="11">
        <f t="shared" ca="1" si="348"/>
        <v>-8.9206539224964524E-5</v>
      </c>
      <c r="T622" s="11">
        <f t="shared" ca="1" si="349"/>
        <v>0.22761544942399772</v>
      </c>
      <c r="U622" s="11">
        <f t="shared" ca="1" si="350"/>
        <v>2.9397343429291759E-5</v>
      </c>
      <c r="V622" s="11">
        <f t="shared" ca="1" si="351"/>
        <v>0.16470283628707824</v>
      </c>
      <c r="W622" s="11">
        <f t="shared" ca="1" si="352"/>
        <v>1.9784543243274348</v>
      </c>
      <c r="X622" s="11"/>
      <c r="Y622" s="2">
        <f t="shared" ca="1" si="353"/>
        <v>5.7355051627780476E-5</v>
      </c>
      <c r="Z622" s="11">
        <f t="shared" ca="1" si="354"/>
        <v>2.9397343429291759E-5</v>
      </c>
      <c r="AA622" s="2">
        <f t="shared" ca="1" si="355"/>
        <v>1.1584910117589322E-2</v>
      </c>
      <c r="AB622" s="2">
        <f t="shared" ca="1" si="356"/>
        <v>6.3570336154496307E-4</v>
      </c>
      <c r="AC622" s="2">
        <f t="shared" ca="1" si="357"/>
        <v>-8.9206539224964524E-5</v>
      </c>
      <c r="AD622" s="2">
        <f t="shared" ca="1" si="358"/>
        <v>0.22757585985748169</v>
      </c>
      <c r="AE622" s="2">
        <f t="shared" ca="1" si="359"/>
        <v>2.9397343429291759E-5</v>
      </c>
      <c r="AF622" s="2">
        <f t="shared" ca="1" si="360"/>
        <v>0.16464437203052212</v>
      </c>
      <c r="AG622" s="2">
        <f t="shared" ca="1" si="361"/>
        <v>1.9784306008921828</v>
      </c>
      <c r="AI622" s="2">
        <f t="shared" ca="1" si="362"/>
        <v>5.7355051627780476E-5</v>
      </c>
      <c r="AJ622" s="11">
        <f t="shared" ca="1" si="363"/>
        <v>2.9397343429291759E-5</v>
      </c>
      <c r="AK622" s="2">
        <f t="shared" ca="1" si="364"/>
        <v>1.155022669163017E-2</v>
      </c>
      <c r="AL622" s="2">
        <f t="shared" ca="1" si="365"/>
        <v>6.1947006945734082E-4</v>
      </c>
      <c r="AM622" s="2">
        <f t="shared" ca="1" si="366"/>
        <v>-8.9206539224964524E-5</v>
      </c>
      <c r="AN622" s="2">
        <f t="shared" ca="1" si="367"/>
        <v>0.22757585985748169</v>
      </c>
      <c r="AO622" s="2">
        <f t="shared" ca="1" si="368"/>
        <v>2.9397343429291759E-5</v>
      </c>
      <c r="AP622" s="2">
        <f t="shared" ca="1" si="369"/>
        <v>0.16464437203052212</v>
      </c>
      <c r="AQ622" s="2">
        <f t="shared" ca="1" si="370"/>
        <v>1.9784306008921828</v>
      </c>
      <c r="AS622" s="2">
        <f t="shared" ca="1" si="371"/>
        <v>8.6920915488561938</v>
      </c>
      <c r="AT622" s="2">
        <f t="shared" ca="1" si="372"/>
        <v>0.40043786905203538</v>
      </c>
      <c r="AU622" s="2">
        <f t="shared" ca="1" si="373"/>
        <v>2.5673963710409558E-4</v>
      </c>
      <c r="AV622" s="2">
        <f t="shared" ca="1" si="374"/>
        <v>0.16444609664997414</v>
      </c>
      <c r="AW622" s="2">
        <f t="shared" ca="1" si="375"/>
        <v>0.70908705783227133</v>
      </c>
      <c r="AX622" s="2">
        <f t="shared" ca="1" si="376"/>
        <v>5.2869231824163594E-2</v>
      </c>
      <c r="AY622" s="9">
        <f t="shared" ca="1" si="377"/>
        <v>0.70908705783227133</v>
      </c>
      <c r="AZ622" s="9">
        <f t="shared" ca="1" si="378"/>
        <v>0.70908705783227133</v>
      </c>
      <c r="BA622" s="9"/>
      <c r="BB622" s="2">
        <f t="shared" ca="1" si="379"/>
        <v>8.6934993989747671</v>
      </c>
      <c r="BC622" s="2">
        <f t="shared" ca="1" si="380"/>
        <v>0.40050351432750819</v>
      </c>
      <c r="BD622" s="2">
        <f t="shared" ca="1" si="381"/>
        <v>2.4809993983837059E-4</v>
      </c>
      <c r="BE622" s="2">
        <f t="shared" ca="1" si="382"/>
        <v>0.16439627209068375</v>
      </c>
      <c r="BF622" s="2">
        <f t="shared" ca="1" si="383"/>
        <v>0.70893770929860067</v>
      </c>
      <c r="BG622" s="2">
        <f t="shared" ca="1" si="384"/>
        <v>5.2727833155193339E-2</v>
      </c>
      <c r="BH622" s="2">
        <f t="shared" ca="1" si="385"/>
        <v>0.70893770929860067</v>
      </c>
      <c r="BI622" s="2">
        <f t="shared" ca="1" si="386"/>
        <v>0.70893770929860067</v>
      </c>
    </row>
    <row r="623" spans="1:61" ht="15" x14ac:dyDescent="0.25">
      <c r="A623" s="66">
        <v>557</v>
      </c>
      <c r="B623" s="66">
        <v>1498730412.9519999</v>
      </c>
      <c r="C623" s="67">
        <v>4.1102182622052897E-5</v>
      </c>
      <c r="D623" s="67">
        <v>-3.7770231844864297E-5</v>
      </c>
      <c r="E623" s="67">
        <v>1.1931626565671399E-2</v>
      </c>
      <c r="F623" s="67">
        <v>7.9661091554447802E-4</v>
      </c>
      <c r="G623" s="67">
        <v>-6.8419138367780898E-6</v>
      </c>
      <c r="H623" s="67">
        <v>0.21838191667934301</v>
      </c>
      <c r="I623" s="67">
        <v>-3.7770231844864297E-5</v>
      </c>
      <c r="J623" s="67">
        <v>0.15792607670291001</v>
      </c>
      <c r="K623" s="67">
        <v>1.8961432800551601</v>
      </c>
      <c r="L623" s="67"/>
      <c r="M623" s="67"/>
      <c r="N623" s="16"/>
      <c r="O623" s="11">
        <f t="shared" ca="1" si="344"/>
        <v>2.8298251912092869E-5</v>
      </c>
      <c r="P623" s="11">
        <f t="shared" ca="1" si="345"/>
        <v>-3.8535332075169035E-5</v>
      </c>
      <c r="Q623" s="11">
        <f t="shared" ca="1" si="346"/>
        <v>1.1095134953403115E-2</v>
      </c>
      <c r="R623" s="11">
        <f t="shared" ca="1" si="347"/>
        <v>7.8496442789813086E-4</v>
      </c>
      <c r="S623" s="11">
        <f t="shared" ca="1" si="348"/>
        <v>-1.7769565883748211E-5</v>
      </c>
      <c r="T623" s="11">
        <f t="shared" ca="1" si="349"/>
        <v>0.21724336164076072</v>
      </c>
      <c r="U623" s="11">
        <f t="shared" ca="1" si="350"/>
        <v>-3.8535332075169035E-5</v>
      </c>
      <c r="V623" s="11">
        <f t="shared" ca="1" si="351"/>
        <v>0.15727588069721624</v>
      </c>
      <c r="W623" s="11">
        <f t="shared" ca="1" si="352"/>
        <v>1.889020431791655</v>
      </c>
      <c r="X623" s="11"/>
      <c r="Y623" s="2">
        <f t="shared" ca="1" si="353"/>
        <v>2.8298251912092869E-5</v>
      </c>
      <c r="Z623" s="11">
        <f t="shared" ca="1" si="354"/>
        <v>-3.8535332075169035E-5</v>
      </c>
      <c r="AA623" s="2">
        <f t="shared" ca="1" si="355"/>
        <v>1.1095134953403115E-2</v>
      </c>
      <c r="AB623" s="2">
        <f t="shared" ca="1" si="356"/>
        <v>7.8496442789813086E-4</v>
      </c>
      <c r="AC623" s="2">
        <f t="shared" ca="1" si="357"/>
        <v>-1.7769565883748211E-5</v>
      </c>
      <c r="AD623" s="2">
        <f t="shared" ca="1" si="358"/>
        <v>0.21724336164076072</v>
      </c>
      <c r="AE623" s="2">
        <f t="shared" ca="1" si="359"/>
        <v>-3.8535332075169035E-5</v>
      </c>
      <c r="AF623" s="2">
        <f t="shared" ca="1" si="360"/>
        <v>0.15727588069721624</v>
      </c>
      <c r="AG623" s="2">
        <f t="shared" ca="1" si="361"/>
        <v>1.889020431791655</v>
      </c>
      <c r="AI623" s="2">
        <f t="shared" ca="1" si="362"/>
        <v>2.8298251912092869E-5</v>
      </c>
      <c r="AJ623" s="11">
        <f t="shared" ca="1" si="363"/>
        <v>-3.8535332075169035E-5</v>
      </c>
      <c r="AK623" s="2">
        <f t="shared" ca="1" si="364"/>
        <v>1.1095134953403115E-2</v>
      </c>
      <c r="AL623" s="2">
        <f t="shared" ca="1" si="365"/>
        <v>7.8496442789813086E-4</v>
      </c>
      <c r="AM623" s="2">
        <f t="shared" ca="1" si="366"/>
        <v>-1.7769565883748211E-5</v>
      </c>
      <c r="AN623" s="2">
        <f t="shared" ca="1" si="367"/>
        <v>0.21724336164076072</v>
      </c>
      <c r="AO623" s="2">
        <f t="shared" ca="1" si="368"/>
        <v>-3.8535332075169035E-5</v>
      </c>
      <c r="AP623" s="2">
        <f t="shared" ca="1" si="369"/>
        <v>0.15727588069721624</v>
      </c>
      <c r="AQ623" s="2">
        <f t="shared" ca="1" si="370"/>
        <v>1.889020431791655</v>
      </c>
      <c r="AS623" s="2">
        <f t="shared" ca="1" si="371"/>
        <v>8.6954115307577879</v>
      </c>
      <c r="AT623" s="2">
        <f t="shared" ca="1" si="372"/>
        <v>0.40059267346929373</v>
      </c>
      <c r="AU623" s="2">
        <f t="shared" ca="1" si="373"/>
        <v>3.1445099875000688E-4</v>
      </c>
      <c r="AV623" s="2">
        <f t="shared" ca="1" si="374"/>
        <v>0.15696142969846624</v>
      </c>
      <c r="AW623" s="2">
        <f t="shared" ca="1" si="375"/>
        <v>0.70899086059065164</v>
      </c>
      <c r="AX623" s="2">
        <f t="shared" ca="1" si="376"/>
        <v>5.3071262168613478E-2</v>
      </c>
      <c r="AY623" s="9">
        <f t="shared" ca="1" si="377"/>
        <v>0.70899086059065164</v>
      </c>
      <c r="AZ623" s="9">
        <f t="shared" ca="1" si="378"/>
        <v>0.70899086059065164</v>
      </c>
      <c r="BA623" s="9"/>
      <c r="BB623" s="2">
        <f t="shared" ca="1" si="379"/>
        <v>8.6954115307577879</v>
      </c>
      <c r="BC623" s="2">
        <f t="shared" ca="1" si="380"/>
        <v>0.40059267346929373</v>
      </c>
      <c r="BD623" s="2">
        <f t="shared" ca="1" si="381"/>
        <v>3.1445099875000688E-4</v>
      </c>
      <c r="BE623" s="2">
        <f t="shared" ca="1" si="382"/>
        <v>0.15696142969846624</v>
      </c>
      <c r="BF623" s="2">
        <f t="shared" ca="1" si="383"/>
        <v>0.70899086059065164</v>
      </c>
      <c r="BG623" s="2">
        <f t="shared" ca="1" si="384"/>
        <v>5.3071262168613478E-2</v>
      </c>
      <c r="BH623" s="2">
        <f t="shared" ca="1" si="385"/>
        <v>0.70899086059065164</v>
      </c>
      <c r="BI623" s="2">
        <f t="shared" ca="1" si="386"/>
        <v>0.70899086059065164</v>
      </c>
    </row>
    <row r="624" spans="1:61" ht="15" x14ac:dyDescent="0.25">
      <c r="A624" s="66">
        <v>558</v>
      </c>
      <c r="B624" s="66">
        <v>1498730413.4790001</v>
      </c>
      <c r="C624" s="67">
        <v>1.07957718813764E-4</v>
      </c>
      <c r="D624" s="67">
        <v>-2.0696958923204201E-5</v>
      </c>
      <c r="E624" s="67">
        <v>1.1605011517267999E-2</v>
      </c>
      <c r="F624" s="67">
        <v>7.3446220904312197E-4</v>
      </c>
      <c r="G624" s="67">
        <v>-4.2543323251902997E-5</v>
      </c>
      <c r="H624" s="67">
        <v>0.212267210540554</v>
      </c>
      <c r="I624" s="67">
        <v>-2.0696958923204201E-5</v>
      </c>
      <c r="J624" s="67">
        <v>0.15334761731716101</v>
      </c>
      <c r="K624" s="67">
        <v>1.8407139525654399</v>
      </c>
      <c r="L624" s="67"/>
      <c r="M624" s="67"/>
      <c r="N624" s="16"/>
      <c r="O624" s="11">
        <f t="shared" ca="1" si="344"/>
        <v>9.515378810380398E-5</v>
      </c>
      <c r="P624" s="11">
        <f t="shared" ca="1" si="345"/>
        <v>-2.1462059153508943E-5</v>
      </c>
      <c r="Q624" s="11">
        <f t="shared" ca="1" si="346"/>
        <v>1.0768519904999715E-2</v>
      </c>
      <c r="R624" s="11">
        <f t="shared" ca="1" si="347"/>
        <v>7.2281572139677481E-4</v>
      </c>
      <c r="S624" s="11">
        <f t="shared" ca="1" si="348"/>
        <v>-5.3470975298873117E-5</v>
      </c>
      <c r="T624" s="11">
        <f t="shared" ca="1" si="349"/>
        <v>0.21112865550197171</v>
      </c>
      <c r="U624" s="11">
        <f t="shared" ca="1" si="350"/>
        <v>-2.1462059153508943E-5</v>
      </c>
      <c r="V624" s="11">
        <f t="shared" ca="1" si="351"/>
        <v>0.15269742131146724</v>
      </c>
      <c r="W624" s="11">
        <f t="shared" ca="1" si="352"/>
        <v>1.8335911043019348</v>
      </c>
      <c r="X624" s="11"/>
      <c r="Y624" s="2">
        <f t="shared" ca="1" si="353"/>
        <v>9.515378810380398E-5</v>
      </c>
      <c r="Z624" s="11">
        <f t="shared" ca="1" si="354"/>
        <v>-2.1462059153508943E-5</v>
      </c>
      <c r="AA624" s="2">
        <f t="shared" ca="1" si="355"/>
        <v>1.0768519904999715E-2</v>
      </c>
      <c r="AB624" s="2">
        <f t="shared" ca="1" si="356"/>
        <v>7.2281572139677481E-4</v>
      </c>
      <c r="AC624" s="2">
        <f t="shared" ca="1" si="357"/>
        <v>-5.3470975298873117E-5</v>
      </c>
      <c r="AD624" s="2">
        <f t="shared" ca="1" si="358"/>
        <v>0.21112865550197171</v>
      </c>
      <c r="AE624" s="2">
        <f t="shared" ca="1" si="359"/>
        <v>-2.1462059153508943E-5</v>
      </c>
      <c r="AF624" s="2">
        <f t="shared" ca="1" si="360"/>
        <v>0.15269742131146724</v>
      </c>
      <c r="AG624" s="2">
        <f t="shared" ca="1" si="361"/>
        <v>1.8335911043019348</v>
      </c>
      <c r="AI624" s="2">
        <f t="shared" ca="1" si="362"/>
        <v>9.515378810380398E-5</v>
      </c>
      <c r="AJ624" s="11">
        <f t="shared" ca="1" si="363"/>
        <v>-2.1462059153508943E-5</v>
      </c>
      <c r="AK624" s="2">
        <f t="shared" ca="1" si="364"/>
        <v>1.0768519904999715E-2</v>
      </c>
      <c r="AL624" s="2">
        <f t="shared" ca="1" si="365"/>
        <v>7.2281572139677481E-4</v>
      </c>
      <c r="AM624" s="2">
        <f t="shared" ca="1" si="366"/>
        <v>-5.3470975298873117E-5</v>
      </c>
      <c r="AN624" s="2">
        <f t="shared" ca="1" si="367"/>
        <v>0.21112865550197171</v>
      </c>
      <c r="AO624" s="2">
        <f t="shared" ca="1" si="368"/>
        <v>-2.1462059153508943E-5</v>
      </c>
      <c r="AP624" s="2">
        <f t="shared" ca="1" si="369"/>
        <v>0.15269742131146724</v>
      </c>
      <c r="AQ624" s="2">
        <f t="shared" ca="1" si="370"/>
        <v>1.8335911043019348</v>
      </c>
      <c r="AS624" s="2">
        <f t="shared" ca="1" si="371"/>
        <v>8.6847098038040187</v>
      </c>
      <c r="AT624" s="2">
        <f t="shared" ca="1" si="372"/>
        <v>0.4000936749444885</v>
      </c>
      <c r="AU624" s="2">
        <f t="shared" ca="1" si="373"/>
        <v>2.891939982812872E-4</v>
      </c>
      <c r="AV624" s="2">
        <f t="shared" ca="1" si="374"/>
        <v>0.15240822731318596</v>
      </c>
      <c r="AW624" s="2">
        <f t="shared" ca="1" si="375"/>
        <v>0.70880173467821939</v>
      </c>
      <c r="AX624" s="2">
        <f t="shared" ca="1" si="376"/>
        <v>5.2934024039514492E-2</v>
      </c>
      <c r="AY624" s="9">
        <f t="shared" ca="1" si="377"/>
        <v>0.70880173467821939</v>
      </c>
      <c r="AZ624" s="9">
        <f t="shared" ca="1" si="378"/>
        <v>0.70880173467821939</v>
      </c>
      <c r="BA624" s="9"/>
      <c r="BB624" s="2">
        <f t="shared" ca="1" si="379"/>
        <v>8.6847098038040187</v>
      </c>
      <c r="BC624" s="2">
        <f t="shared" ca="1" si="380"/>
        <v>0.4000936749444885</v>
      </c>
      <c r="BD624" s="2">
        <f t="shared" ca="1" si="381"/>
        <v>2.891939982812872E-4</v>
      </c>
      <c r="BE624" s="2">
        <f t="shared" ca="1" si="382"/>
        <v>0.15240822731318596</v>
      </c>
      <c r="BF624" s="2">
        <f t="shared" ca="1" si="383"/>
        <v>0.70880173467821939</v>
      </c>
      <c r="BG624" s="2">
        <f t="shared" ca="1" si="384"/>
        <v>5.2934024039514492E-2</v>
      </c>
      <c r="BH624" s="2">
        <f t="shared" ca="1" si="385"/>
        <v>0.70880173467821939</v>
      </c>
      <c r="BI624" s="2">
        <f t="shared" ca="1" si="386"/>
        <v>0.70880173467821939</v>
      </c>
    </row>
    <row r="625" spans="1:61" ht="15" x14ac:dyDescent="0.25">
      <c r="A625" s="66">
        <v>559</v>
      </c>
      <c r="B625" s="66">
        <v>1498730414.006</v>
      </c>
      <c r="C625" s="67">
        <v>-6.3306286369712794E-5</v>
      </c>
      <c r="D625" s="67">
        <v>6.4618972498138602E-5</v>
      </c>
      <c r="E625" s="67">
        <v>1.14555788039281E-2</v>
      </c>
      <c r="F625" s="67">
        <v>6.8946038674977395E-4</v>
      </c>
      <c r="G625" s="67">
        <v>1.4406057611242101E-4</v>
      </c>
      <c r="H625" s="67">
        <v>0.21043693419989001</v>
      </c>
      <c r="I625" s="67">
        <v>6.4618972498138602E-5</v>
      </c>
      <c r="J625" s="67">
        <v>0.15220279680750201</v>
      </c>
      <c r="K625" s="67">
        <v>1.82602872318876</v>
      </c>
      <c r="L625" s="67"/>
      <c r="M625" s="67"/>
      <c r="N625" s="16"/>
      <c r="O625" s="11">
        <f t="shared" ca="1" si="344"/>
        <v>-7.6110217079672815E-5</v>
      </c>
      <c r="P625" s="11">
        <f t="shared" ca="1" si="345"/>
        <v>6.3853872267833863E-5</v>
      </c>
      <c r="Q625" s="11">
        <f t="shared" ca="1" si="346"/>
        <v>1.0619087191659816E-2</v>
      </c>
      <c r="R625" s="11">
        <f t="shared" ca="1" si="347"/>
        <v>6.7781389910342678E-4</v>
      </c>
      <c r="S625" s="11">
        <f t="shared" ca="1" si="348"/>
        <v>1.3313292406545089E-4</v>
      </c>
      <c r="T625" s="11">
        <f t="shared" ca="1" si="349"/>
        <v>0.20929837916130772</v>
      </c>
      <c r="U625" s="11">
        <f t="shared" ca="1" si="350"/>
        <v>6.3853872267833863E-5</v>
      </c>
      <c r="V625" s="11">
        <f t="shared" ca="1" si="351"/>
        <v>0.15155260080180824</v>
      </c>
      <c r="W625" s="11">
        <f t="shared" ca="1" si="352"/>
        <v>1.8189058749252549</v>
      </c>
      <c r="X625" s="11"/>
      <c r="Y625" s="2">
        <f t="shared" ca="1" si="353"/>
        <v>-7.6110217079672815E-5</v>
      </c>
      <c r="Z625" s="11">
        <f t="shared" ca="1" si="354"/>
        <v>6.3853872267833863E-5</v>
      </c>
      <c r="AA625" s="2">
        <f t="shared" ca="1" si="355"/>
        <v>1.0618598661754618E-2</v>
      </c>
      <c r="AB625" s="2">
        <f t="shared" ca="1" si="356"/>
        <v>6.6598925480716644E-4</v>
      </c>
      <c r="AC625" s="2">
        <f t="shared" ca="1" si="357"/>
        <v>1.3313292406545089E-4</v>
      </c>
      <c r="AD625" s="2">
        <f t="shared" ca="1" si="358"/>
        <v>0.20921238679504056</v>
      </c>
      <c r="AE625" s="2">
        <f t="shared" ca="1" si="359"/>
        <v>6.3853872267833863E-5</v>
      </c>
      <c r="AF625" s="2">
        <f t="shared" ca="1" si="360"/>
        <v>0.15142561078383784</v>
      </c>
      <c r="AG625" s="2">
        <f t="shared" ca="1" si="361"/>
        <v>1.8188543453301409</v>
      </c>
      <c r="AI625" s="2">
        <f t="shared" ca="1" si="362"/>
        <v>-7.6110217079672815E-5</v>
      </c>
      <c r="AJ625" s="11">
        <f t="shared" ca="1" si="363"/>
        <v>6.3853872267833863E-5</v>
      </c>
      <c r="AK625" s="2">
        <f t="shared" ca="1" si="364"/>
        <v>1.054326290713674E-2</v>
      </c>
      <c r="AL625" s="2">
        <f t="shared" ca="1" si="365"/>
        <v>6.3072897484538464E-4</v>
      </c>
      <c r="AM625" s="2">
        <f t="shared" ca="1" si="366"/>
        <v>1.3313292406545089E-4</v>
      </c>
      <c r="AN625" s="2">
        <f t="shared" ca="1" si="367"/>
        <v>0.20921238679504056</v>
      </c>
      <c r="AO625" s="2">
        <f t="shared" ca="1" si="368"/>
        <v>6.3853872267833863E-5</v>
      </c>
      <c r="AP625" s="2">
        <f t="shared" ca="1" si="369"/>
        <v>0.15142561078383784</v>
      </c>
      <c r="AQ625" s="2">
        <f t="shared" ca="1" si="370"/>
        <v>1.8188543453301409</v>
      </c>
      <c r="AS625" s="2">
        <f t="shared" ca="1" si="371"/>
        <v>8.6904919293398422</v>
      </c>
      <c r="AT625" s="2">
        <f t="shared" ca="1" si="372"/>
        <v>0.40036328210412075</v>
      </c>
      <c r="AU625" s="2">
        <f t="shared" ca="1" si="373"/>
        <v>2.713717973008393E-4</v>
      </c>
      <c r="AV625" s="2">
        <f t="shared" ca="1" si="374"/>
        <v>0.15128122900450741</v>
      </c>
      <c r="AW625" s="2">
        <f t="shared" ca="1" si="375"/>
        <v>0.70947509963855282</v>
      </c>
      <c r="AX625" s="2">
        <f t="shared" ca="1" si="376"/>
        <v>5.2691816252586343E-2</v>
      </c>
      <c r="AY625" s="9">
        <f t="shared" ca="1" si="377"/>
        <v>0.70947509963855282</v>
      </c>
      <c r="AZ625" s="9">
        <f t="shared" ca="1" si="378"/>
        <v>0.70947509963855282</v>
      </c>
      <c r="BA625" s="9"/>
      <c r="BB625" s="2">
        <f t="shared" ca="1" si="379"/>
        <v>8.6938176710923951</v>
      </c>
      <c r="BC625" s="2">
        <f t="shared" ca="1" si="380"/>
        <v>0.40051835474675446</v>
      </c>
      <c r="BD625" s="2">
        <f t="shared" ca="1" si="381"/>
        <v>2.5261853129618053E-4</v>
      </c>
      <c r="BE625" s="2">
        <f t="shared" ca="1" si="382"/>
        <v>0.15117299225254166</v>
      </c>
      <c r="BF625" s="2">
        <f t="shared" ca="1" si="383"/>
        <v>0.70912225151162278</v>
      </c>
      <c r="BG625" s="2">
        <f t="shared" ca="1" si="384"/>
        <v>5.2357574557846294E-2</v>
      </c>
      <c r="BH625" s="2">
        <f t="shared" ca="1" si="385"/>
        <v>0.70912225151162278</v>
      </c>
      <c r="BI625" s="2">
        <f t="shared" ca="1" si="386"/>
        <v>0.70912225151162278</v>
      </c>
    </row>
    <row r="626" spans="1:61" ht="15" x14ac:dyDescent="0.25">
      <c r="A626" s="66">
        <v>560</v>
      </c>
      <c r="B626" s="66">
        <v>1498730414.533</v>
      </c>
      <c r="C626" s="67">
        <v>9.4255510458272803E-5</v>
      </c>
      <c r="D626" s="67">
        <v>4.0323275767879601E-5</v>
      </c>
      <c r="E626" s="67">
        <v>1.15024997403769E-2</v>
      </c>
      <c r="F626" s="67">
        <v>5.7994061271263099E-4</v>
      </c>
      <c r="G626" s="67">
        <v>5.7980730248370302E-5</v>
      </c>
      <c r="H626" s="67">
        <v>0.20897270137347401</v>
      </c>
      <c r="I626" s="67">
        <v>4.0323275767879601E-5</v>
      </c>
      <c r="J626" s="67">
        <v>0.15107193703338001</v>
      </c>
      <c r="K626" s="67">
        <v>1.8135280328947401</v>
      </c>
      <c r="L626" s="67"/>
      <c r="M626" s="67"/>
      <c r="N626" s="16"/>
      <c r="O626" s="11">
        <f t="shared" ca="1" si="344"/>
        <v>8.1451579748312769E-5</v>
      </c>
      <c r="P626" s="11">
        <f t="shared" ca="1" si="345"/>
        <v>3.9558175537574862E-5</v>
      </c>
      <c r="Q626" s="11">
        <f t="shared" ca="1" si="346"/>
        <v>1.0666008128108615E-2</v>
      </c>
      <c r="R626" s="11">
        <f t="shared" ca="1" si="347"/>
        <v>5.6829412506628383E-4</v>
      </c>
      <c r="S626" s="11">
        <f t="shared" ca="1" si="348"/>
        <v>4.7053078201400181E-5</v>
      </c>
      <c r="T626" s="11">
        <f t="shared" ca="1" si="349"/>
        <v>0.20783414633489172</v>
      </c>
      <c r="U626" s="11">
        <f t="shared" ca="1" si="350"/>
        <v>3.9558175537574862E-5</v>
      </c>
      <c r="V626" s="11">
        <f t="shared" ca="1" si="351"/>
        <v>0.15042174102768624</v>
      </c>
      <c r="W626" s="11">
        <f t="shared" ca="1" si="352"/>
        <v>1.806405184631235</v>
      </c>
      <c r="X626" s="11"/>
      <c r="Y626" s="2">
        <f t="shared" ca="1" si="353"/>
        <v>8.1451579748312769E-5</v>
      </c>
      <c r="Z626" s="11">
        <f t="shared" ca="1" si="354"/>
        <v>3.9558175537574862E-5</v>
      </c>
      <c r="AA626" s="2">
        <f t="shared" ca="1" si="355"/>
        <v>1.0665705478464063E-2</v>
      </c>
      <c r="AB626" s="2">
        <f t="shared" ca="1" si="356"/>
        <v>5.6096862798791038E-4</v>
      </c>
      <c r="AC626" s="2">
        <f t="shared" ca="1" si="357"/>
        <v>4.7053078201400181E-5</v>
      </c>
      <c r="AD626" s="2">
        <f t="shared" ca="1" si="358"/>
        <v>0.20778087311904947</v>
      </c>
      <c r="AE626" s="2">
        <f t="shared" ca="1" si="359"/>
        <v>3.9558175537574862E-5</v>
      </c>
      <c r="AF626" s="2">
        <f t="shared" ca="1" si="360"/>
        <v>0.15034306931610511</v>
      </c>
      <c r="AG626" s="2">
        <f t="shared" ca="1" si="361"/>
        <v>1.8063732614808214</v>
      </c>
      <c r="AI626" s="2">
        <f t="shared" ca="1" si="362"/>
        <v>8.1451579748312769E-5</v>
      </c>
      <c r="AJ626" s="11">
        <f t="shared" ca="1" si="363"/>
        <v>3.9558175537574862E-5</v>
      </c>
      <c r="AK626" s="2">
        <f t="shared" ca="1" si="364"/>
        <v>1.0619034150640286E-2</v>
      </c>
      <c r="AL626" s="2">
        <f t="shared" ca="1" si="365"/>
        <v>5.3912449708882256E-4</v>
      </c>
      <c r="AM626" s="2">
        <f t="shared" ca="1" si="366"/>
        <v>4.7053078201400181E-5</v>
      </c>
      <c r="AN626" s="2">
        <f t="shared" ca="1" si="367"/>
        <v>0.20778087311904947</v>
      </c>
      <c r="AO626" s="2">
        <f t="shared" ca="1" si="368"/>
        <v>3.9558175537574862E-5</v>
      </c>
      <c r="AP626" s="2">
        <f t="shared" ca="1" si="369"/>
        <v>0.15034306931610511</v>
      </c>
      <c r="AQ626" s="2">
        <f t="shared" ca="1" si="370"/>
        <v>1.8063732614808214</v>
      </c>
      <c r="AS626" s="2">
        <f t="shared" ca="1" si="371"/>
        <v>8.6915707379503466</v>
      </c>
      <c r="AT626" s="2">
        <f t="shared" ca="1" si="372"/>
        <v>0.40041358469894306</v>
      </c>
      <c r="AU626" s="2">
        <f t="shared" ca="1" si="373"/>
        <v>2.2755268778114018E-4</v>
      </c>
      <c r="AV626" s="2">
        <f t="shared" ca="1" si="374"/>
        <v>0.15019418833990511</v>
      </c>
      <c r="AW626" s="2">
        <f t="shared" ca="1" si="375"/>
        <v>0.70929525914405578</v>
      </c>
      <c r="AX626" s="2">
        <f t="shared" ca="1" si="376"/>
        <v>5.3304272114312552E-2</v>
      </c>
      <c r="AY626" s="9">
        <f t="shared" ca="1" si="377"/>
        <v>0.70929525914405578</v>
      </c>
      <c r="AZ626" s="9">
        <f t="shared" ca="1" si="378"/>
        <v>0.70929525914405578</v>
      </c>
      <c r="BA626" s="9"/>
      <c r="BB626" s="2">
        <f t="shared" ca="1" si="379"/>
        <v>8.6936455428495947</v>
      </c>
      <c r="BC626" s="2">
        <f t="shared" ca="1" si="380"/>
        <v>0.40051032873565823</v>
      </c>
      <c r="BD626" s="2">
        <f t="shared" ca="1" si="381"/>
        <v>2.1592492955849074E-4</v>
      </c>
      <c r="BE626" s="2">
        <f t="shared" ca="1" si="382"/>
        <v>0.15012714438654662</v>
      </c>
      <c r="BF626" s="2">
        <f t="shared" ca="1" si="383"/>
        <v>0.70907518214923937</v>
      </c>
      <c r="BG626" s="2">
        <f t="shared" ca="1" si="384"/>
        <v>5.3096088653800125E-2</v>
      </c>
      <c r="BH626" s="2">
        <f t="shared" ca="1" si="385"/>
        <v>0.70907518214923937</v>
      </c>
      <c r="BI626" s="2">
        <f t="shared" ca="1" si="386"/>
        <v>0.70907518214923937</v>
      </c>
    </row>
    <row r="627" spans="1:61" ht="15" x14ac:dyDescent="0.25">
      <c r="A627" s="66">
        <v>561</v>
      </c>
      <c r="B627" s="66">
        <v>1498730415.0599999</v>
      </c>
      <c r="C627" s="67">
        <v>-7.0877068081931303E-6</v>
      </c>
      <c r="D627" s="67">
        <v>7.9156694436552003E-5</v>
      </c>
      <c r="E627" s="67">
        <v>1.16610845636123E-2</v>
      </c>
      <c r="F627" s="67">
        <v>7.4636779213054297E-4</v>
      </c>
      <c r="G627" s="67">
        <v>6.70965104475854E-5</v>
      </c>
      <c r="H627" s="67">
        <v>0.21312317127984801</v>
      </c>
      <c r="I627" s="67">
        <v>7.9156694436552003E-5</v>
      </c>
      <c r="J627" s="67">
        <v>0.15410745485376201</v>
      </c>
      <c r="K627" s="67">
        <v>1.8493055049290399</v>
      </c>
      <c r="L627" s="67"/>
      <c r="M627" s="67"/>
      <c r="N627" s="16"/>
      <c r="O627" s="11">
        <f t="shared" ca="1" si="344"/>
        <v>-1.989163751815316E-5</v>
      </c>
      <c r="P627" s="11">
        <f t="shared" ca="1" si="345"/>
        <v>7.8391594206247265E-5</v>
      </c>
      <c r="Q627" s="11">
        <f t="shared" ca="1" si="346"/>
        <v>1.0824592951344015E-2</v>
      </c>
      <c r="R627" s="11">
        <f t="shared" ca="1" si="347"/>
        <v>7.3472130448419581E-4</v>
      </c>
      <c r="S627" s="11">
        <f t="shared" ca="1" si="348"/>
        <v>5.616885840061528E-5</v>
      </c>
      <c r="T627" s="11">
        <f t="shared" ca="1" si="349"/>
        <v>0.21198461624126572</v>
      </c>
      <c r="U627" s="11">
        <f t="shared" ca="1" si="350"/>
        <v>7.8391594206247265E-5</v>
      </c>
      <c r="V627" s="11">
        <f t="shared" ca="1" si="351"/>
        <v>0.15345725884806824</v>
      </c>
      <c r="W627" s="11">
        <f t="shared" ca="1" si="352"/>
        <v>1.8421826566655348</v>
      </c>
      <c r="X627" s="11"/>
      <c r="Y627" s="2">
        <f t="shared" ca="1" si="353"/>
        <v>-1.989163751815316E-5</v>
      </c>
      <c r="Z627" s="11">
        <f t="shared" ca="1" si="354"/>
        <v>7.8391594206247265E-5</v>
      </c>
      <c r="AA627" s="2">
        <f t="shared" ca="1" si="355"/>
        <v>1.0823993196987299E-2</v>
      </c>
      <c r="AB627" s="2">
        <f t="shared" ca="1" si="356"/>
        <v>7.2020452289548375E-4</v>
      </c>
      <c r="AC627" s="2">
        <f t="shared" ca="1" si="357"/>
        <v>5.616885840061528E-5</v>
      </c>
      <c r="AD627" s="2">
        <f t="shared" ca="1" si="358"/>
        <v>0.21187904584370273</v>
      </c>
      <c r="AE627" s="2">
        <f t="shared" ca="1" si="359"/>
        <v>7.8391594206247265E-5</v>
      </c>
      <c r="AF627" s="2">
        <f t="shared" ca="1" si="360"/>
        <v>0.15330135679227397</v>
      </c>
      <c r="AG627" s="2">
        <f t="shared" ca="1" si="361"/>
        <v>1.8421193952380548</v>
      </c>
      <c r="AI627" s="2">
        <f t="shared" ca="1" si="362"/>
        <v>-1.989163751815316E-5</v>
      </c>
      <c r="AJ627" s="11">
        <f t="shared" ca="1" si="363"/>
        <v>7.8391594206247265E-5</v>
      </c>
      <c r="AK627" s="2">
        <f t="shared" ca="1" si="364"/>
        <v>1.0731505620345826E-2</v>
      </c>
      <c r="AL627" s="2">
        <f t="shared" ca="1" si="365"/>
        <v>6.7691647378910133E-4</v>
      </c>
      <c r="AM627" s="2">
        <f t="shared" ca="1" si="366"/>
        <v>5.616885840061528E-5</v>
      </c>
      <c r="AN627" s="2">
        <f t="shared" ca="1" si="367"/>
        <v>0.21187904584370273</v>
      </c>
      <c r="AO627" s="2">
        <f t="shared" ca="1" si="368"/>
        <v>7.8391594206247265E-5</v>
      </c>
      <c r="AP627" s="2">
        <f t="shared" ca="1" si="369"/>
        <v>0.15330135679227397</v>
      </c>
      <c r="AQ627" s="2">
        <f t="shared" ca="1" si="370"/>
        <v>1.8421193952380548</v>
      </c>
      <c r="AS627" s="2">
        <f t="shared" ca="1" si="371"/>
        <v>8.6901714347464463</v>
      </c>
      <c r="AT627" s="2">
        <f t="shared" ca="1" si="372"/>
        <v>0.40034833812446052</v>
      </c>
      <c r="AU627" s="2">
        <f t="shared" ca="1" si="373"/>
        <v>2.9414445323488352E-4</v>
      </c>
      <c r="AV627" s="2">
        <f t="shared" ca="1" si="374"/>
        <v>0.15316311439483335</v>
      </c>
      <c r="AW627" s="2">
        <f t="shared" ca="1" si="375"/>
        <v>0.70921169400381878</v>
      </c>
      <c r="AX627" s="2">
        <f t="shared" ca="1" si="376"/>
        <v>5.3028908363901228E-2</v>
      </c>
      <c r="AY627" s="9">
        <f t="shared" ca="1" si="377"/>
        <v>0.70921169400381878</v>
      </c>
      <c r="AZ627" s="9">
        <f t="shared" ca="1" si="378"/>
        <v>0.70921169400381878</v>
      </c>
      <c r="BA627" s="9"/>
      <c r="BB627" s="2">
        <f t="shared" ca="1" si="379"/>
        <v>8.694202807562835</v>
      </c>
      <c r="BC627" s="2">
        <f t="shared" ca="1" si="380"/>
        <v>0.40053631293151581</v>
      </c>
      <c r="BD627" s="2">
        <f t="shared" ca="1" si="381"/>
        <v>2.711296285740897E-4</v>
      </c>
      <c r="BE627" s="2">
        <f t="shared" ca="1" si="382"/>
        <v>0.15303022716369988</v>
      </c>
      <c r="BF627" s="2">
        <f t="shared" ca="1" si="383"/>
        <v>0.70878386720841968</v>
      </c>
      <c r="BG627" s="2">
        <f t="shared" ca="1" si="384"/>
        <v>5.2624043210411475E-2</v>
      </c>
      <c r="BH627" s="2">
        <f t="shared" ca="1" si="385"/>
        <v>0.70878386720841968</v>
      </c>
      <c r="BI627" s="2">
        <f t="shared" ca="1" si="386"/>
        <v>0.70878386720841968</v>
      </c>
    </row>
    <row r="628" spans="1:61" ht="15" x14ac:dyDescent="0.25">
      <c r="A628" s="66">
        <v>562</v>
      </c>
      <c r="B628" s="66">
        <v>1498730415.5869999</v>
      </c>
      <c r="C628" s="67">
        <v>-2.1260758269817598E-5</v>
      </c>
      <c r="D628" s="67">
        <v>-2.2846038805743999E-5</v>
      </c>
      <c r="E628" s="67">
        <v>1.2692613153624599E-2</v>
      </c>
      <c r="F628" s="67">
        <v>7.5470178471346498E-4</v>
      </c>
      <c r="G628" s="67">
        <v>4.2318625430494602E-5</v>
      </c>
      <c r="H628" s="67">
        <v>0.231335694896151</v>
      </c>
      <c r="I628" s="67">
        <v>-2.2846038805743999E-5</v>
      </c>
      <c r="J628" s="67">
        <v>0.167071784209707</v>
      </c>
      <c r="K628" s="67">
        <v>2.0058257567992301</v>
      </c>
      <c r="L628" s="67"/>
      <c r="M628" s="67"/>
      <c r="N628" s="16"/>
      <c r="O628" s="11">
        <f t="shared" ca="1" si="344"/>
        <v>-3.4064688979777626E-5</v>
      </c>
      <c r="P628" s="11">
        <f t="shared" ca="1" si="345"/>
        <v>-2.3611139036048741E-5</v>
      </c>
      <c r="Q628" s="11">
        <f t="shared" ca="1" si="346"/>
        <v>1.1856121541356315E-2</v>
      </c>
      <c r="R628" s="11">
        <f t="shared" ca="1" si="347"/>
        <v>7.4305529706711782E-4</v>
      </c>
      <c r="S628" s="11">
        <f t="shared" ca="1" si="348"/>
        <v>3.1390973383524481E-5</v>
      </c>
      <c r="T628" s="11">
        <f t="shared" ca="1" si="349"/>
        <v>0.23019713985756871</v>
      </c>
      <c r="U628" s="11">
        <f t="shared" ca="1" si="350"/>
        <v>-2.3611139036048741E-5</v>
      </c>
      <c r="V628" s="11">
        <f t="shared" ca="1" si="351"/>
        <v>0.16642158820401323</v>
      </c>
      <c r="W628" s="11">
        <f t="shared" ca="1" si="352"/>
        <v>1.9987029085357251</v>
      </c>
      <c r="X628" s="11"/>
      <c r="Y628" s="2">
        <f t="shared" ca="1" si="353"/>
        <v>-3.4064688979777626E-5</v>
      </c>
      <c r="Z628" s="11">
        <f t="shared" ca="1" si="354"/>
        <v>-2.3611139036048741E-5</v>
      </c>
      <c r="AA628" s="2">
        <f t="shared" ca="1" si="355"/>
        <v>1.1856121541356315E-2</v>
      </c>
      <c r="AB628" s="2">
        <f t="shared" ca="1" si="356"/>
        <v>7.4305529706711782E-4</v>
      </c>
      <c r="AC628" s="2">
        <f t="shared" ca="1" si="357"/>
        <v>3.1390973383524481E-5</v>
      </c>
      <c r="AD628" s="2">
        <f t="shared" ca="1" si="358"/>
        <v>0.23019713985756871</v>
      </c>
      <c r="AE628" s="2">
        <f t="shared" ca="1" si="359"/>
        <v>-2.3611139036048741E-5</v>
      </c>
      <c r="AF628" s="2">
        <f t="shared" ca="1" si="360"/>
        <v>0.16642158820401323</v>
      </c>
      <c r="AG628" s="2">
        <f t="shared" ca="1" si="361"/>
        <v>1.9987029085357251</v>
      </c>
      <c r="AI628" s="2">
        <f t="shared" ca="1" si="362"/>
        <v>-3.4064688979777626E-5</v>
      </c>
      <c r="AJ628" s="11">
        <f t="shared" ca="1" si="363"/>
        <v>-2.3611139036048741E-5</v>
      </c>
      <c r="AK628" s="2">
        <f t="shared" ca="1" si="364"/>
        <v>1.1856121541356315E-2</v>
      </c>
      <c r="AL628" s="2">
        <f t="shared" ca="1" si="365"/>
        <v>7.4305529706711782E-4</v>
      </c>
      <c r="AM628" s="2">
        <f t="shared" ca="1" si="366"/>
        <v>3.1390973383524481E-5</v>
      </c>
      <c r="AN628" s="2">
        <f t="shared" ca="1" si="367"/>
        <v>0.23019713985756871</v>
      </c>
      <c r="AO628" s="2">
        <f t="shared" ca="1" si="368"/>
        <v>-2.3611139036048741E-5</v>
      </c>
      <c r="AP628" s="2">
        <f t="shared" ca="1" si="369"/>
        <v>0.16642158820401323</v>
      </c>
      <c r="AQ628" s="2">
        <f t="shared" ca="1" si="370"/>
        <v>1.9987029085357251</v>
      </c>
      <c r="AS628" s="2">
        <f t="shared" ca="1" si="371"/>
        <v>8.6825705557088799</v>
      </c>
      <c r="AT628" s="2">
        <f t="shared" ca="1" si="372"/>
        <v>0.39999392729817645</v>
      </c>
      <c r="AU628" s="2">
        <f t="shared" ca="1" si="373"/>
        <v>2.9721760647358962E-4</v>
      </c>
      <c r="AV628" s="2">
        <f t="shared" ca="1" si="374"/>
        <v>0.16612437059753965</v>
      </c>
      <c r="AW628" s="2">
        <f t="shared" ca="1" si="375"/>
        <v>0.70868109371549548</v>
      </c>
      <c r="AX628" s="2">
        <f t="shared" ca="1" si="376"/>
        <v>5.3439122593683129E-2</v>
      </c>
      <c r="AY628" s="9">
        <f t="shared" ca="1" si="377"/>
        <v>0.70868109371549548</v>
      </c>
      <c r="AZ628" s="9">
        <f t="shared" ca="1" si="378"/>
        <v>0.70868109371549548</v>
      </c>
      <c r="BA628" s="9"/>
      <c r="BB628" s="2">
        <f t="shared" ca="1" si="379"/>
        <v>8.6825705557088799</v>
      </c>
      <c r="BC628" s="2">
        <f t="shared" ca="1" si="380"/>
        <v>0.39999392729817645</v>
      </c>
      <c r="BD628" s="2">
        <f t="shared" ca="1" si="381"/>
        <v>2.9721760647358962E-4</v>
      </c>
      <c r="BE628" s="2">
        <f t="shared" ca="1" si="382"/>
        <v>0.16612437059753965</v>
      </c>
      <c r="BF628" s="2">
        <f t="shared" ca="1" si="383"/>
        <v>0.70868109371549548</v>
      </c>
      <c r="BG628" s="2">
        <f t="shared" ca="1" si="384"/>
        <v>5.3439122593683129E-2</v>
      </c>
      <c r="BH628" s="2">
        <f t="shared" ca="1" si="385"/>
        <v>0.70868109371549548</v>
      </c>
      <c r="BI628" s="2">
        <f t="shared" ca="1" si="386"/>
        <v>0.70868109371549548</v>
      </c>
    </row>
    <row r="629" spans="1:61" ht="15" x14ac:dyDescent="0.25">
      <c r="A629" s="66">
        <v>563</v>
      </c>
      <c r="B629" s="66">
        <v>1498730416.1140001</v>
      </c>
      <c r="C629" s="67">
        <v>-6.9683823200260606E-5</v>
      </c>
      <c r="D629" s="67">
        <v>6.7019868437517199E-6</v>
      </c>
      <c r="E629" s="67">
        <v>1.2327219953815201E-2</v>
      </c>
      <c r="F629" s="67">
        <v>8.9067474081249895E-4</v>
      </c>
      <c r="G629" s="67">
        <v>8.3280856578836401E-5</v>
      </c>
      <c r="H629" s="67">
        <v>0.22564418219108501</v>
      </c>
      <c r="I629" s="67">
        <v>6.7019868437517199E-6</v>
      </c>
      <c r="J629" s="67">
        <v>0.163311593728106</v>
      </c>
      <c r="K629" s="67">
        <v>1.9594232315387199</v>
      </c>
      <c r="L629" s="67"/>
      <c r="M629" s="67"/>
      <c r="N629" s="16"/>
      <c r="O629" s="11">
        <f t="shared" ca="1" si="344"/>
        <v>-8.2487753910220641E-5</v>
      </c>
      <c r="P629" s="11">
        <f t="shared" ca="1" si="345"/>
        <v>5.9368866134469796E-6</v>
      </c>
      <c r="Q629" s="11">
        <f t="shared" ca="1" si="346"/>
        <v>1.1490728341546916E-2</v>
      </c>
      <c r="R629" s="11">
        <f t="shared" ca="1" si="347"/>
        <v>8.7902825316615179E-4</v>
      </c>
      <c r="S629" s="11">
        <f t="shared" ca="1" si="348"/>
        <v>7.2353204531866273E-5</v>
      </c>
      <c r="T629" s="11">
        <f t="shared" ca="1" si="349"/>
        <v>0.22450562715250272</v>
      </c>
      <c r="U629" s="11">
        <f t="shared" ca="1" si="350"/>
        <v>5.9368866134469796E-6</v>
      </c>
      <c r="V629" s="11">
        <f t="shared" ca="1" si="351"/>
        <v>0.16266139772241223</v>
      </c>
      <c r="W629" s="11">
        <f t="shared" ca="1" si="352"/>
        <v>1.9523003832752148</v>
      </c>
      <c r="X629" s="11"/>
      <c r="Y629" s="2">
        <f t="shared" ca="1" si="353"/>
        <v>-8.2487753910220641E-5</v>
      </c>
      <c r="Z629" s="11">
        <f t="shared" ca="1" si="354"/>
        <v>5.9368866134469796E-6</v>
      </c>
      <c r="AA629" s="2">
        <f t="shared" ca="1" si="355"/>
        <v>1.1490682919921705E-2</v>
      </c>
      <c r="AB629" s="2">
        <f t="shared" ca="1" si="356"/>
        <v>8.7792884337410692E-4</v>
      </c>
      <c r="AC629" s="2">
        <f t="shared" ca="1" si="357"/>
        <v>7.2353204531866273E-5</v>
      </c>
      <c r="AD629" s="2">
        <f t="shared" ca="1" si="358"/>
        <v>0.22449763191415587</v>
      </c>
      <c r="AE629" s="2">
        <f t="shared" ca="1" si="359"/>
        <v>5.9368866134469796E-6</v>
      </c>
      <c r="AF629" s="2">
        <f t="shared" ca="1" si="360"/>
        <v>0.16264959068063145</v>
      </c>
      <c r="AG629" s="2">
        <f t="shared" ca="1" si="361"/>
        <v>1.9522955922523284</v>
      </c>
      <c r="AI629" s="2">
        <f t="shared" ca="1" si="362"/>
        <v>-8.2487753910220641E-5</v>
      </c>
      <c r="AJ629" s="11">
        <f t="shared" ca="1" si="363"/>
        <v>5.9368866134469796E-6</v>
      </c>
      <c r="AK629" s="2">
        <f t="shared" ca="1" si="364"/>
        <v>1.1483678492199157E-2</v>
      </c>
      <c r="AL629" s="2">
        <f t="shared" ca="1" si="365"/>
        <v>8.7465047862257802E-4</v>
      </c>
      <c r="AM629" s="2">
        <f t="shared" ca="1" si="366"/>
        <v>7.2353204531866273E-5</v>
      </c>
      <c r="AN629" s="2">
        <f t="shared" ca="1" si="367"/>
        <v>0.22449763191415587</v>
      </c>
      <c r="AO629" s="2">
        <f t="shared" ca="1" si="368"/>
        <v>5.9368866134469796E-6</v>
      </c>
      <c r="AP629" s="2">
        <f t="shared" ca="1" si="369"/>
        <v>0.16264959068063145</v>
      </c>
      <c r="AQ629" s="2">
        <f t="shared" ca="1" si="370"/>
        <v>1.9522955922523284</v>
      </c>
      <c r="AS629" s="2">
        <f t="shared" ca="1" si="371"/>
        <v>8.6959975481997684</v>
      </c>
      <c r="AT629" s="2">
        <f t="shared" ca="1" si="372"/>
        <v>0.40061999841817975</v>
      </c>
      <c r="AU629" s="2">
        <f t="shared" ca="1" si="373"/>
        <v>3.5215629739295906E-4</v>
      </c>
      <c r="AV629" s="2">
        <f t="shared" ca="1" si="374"/>
        <v>0.16230924142501926</v>
      </c>
      <c r="AW629" s="2">
        <f t="shared" ca="1" si="375"/>
        <v>0.70940702284608093</v>
      </c>
      <c r="AX629" s="2">
        <f t="shared" ca="1" si="376"/>
        <v>5.318921938263961E-2</v>
      </c>
      <c r="AY629" s="9">
        <f t="shared" ca="1" si="377"/>
        <v>0.70940702284608093</v>
      </c>
      <c r="AZ629" s="9">
        <f t="shared" ca="1" si="378"/>
        <v>0.70940702284608093</v>
      </c>
      <c r="BA629" s="9"/>
      <c r="BB629" s="2">
        <f t="shared" ca="1" si="379"/>
        <v>8.6962859055852029</v>
      </c>
      <c r="BC629" s="2">
        <f t="shared" ca="1" si="380"/>
        <v>0.40063344401733458</v>
      </c>
      <c r="BD629" s="2">
        <f t="shared" ca="1" si="381"/>
        <v>3.5041423356197354E-4</v>
      </c>
      <c r="BE629" s="2">
        <f t="shared" ca="1" si="382"/>
        <v>0.16229917644706948</v>
      </c>
      <c r="BF629" s="2">
        <f t="shared" ca="1" si="383"/>
        <v>0.70937644910141151</v>
      </c>
      <c r="BG629" s="2">
        <f t="shared" ca="1" si="384"/>
        <v>5.3160283288011256E-2</v>
      </c>
      <c r="BH629" s="2">
        <f t="shared" ca="1" si="385"/>
        <v>0.70937644910141151</v>
      </c>
      <c r="BI629" s="2">
        <f t="shared" ca="1" si="386"/>
        <v>0.70937644910141151</v>
      </c>
    </row>
    <row r="630" spans="1:61" ht="15" x14ac:dyDescent="0.25">
      <c r="A630" s="66">
        <v>564</v>
      </c>
      <c r="B630" s="66">
        <v>1498730416.641</v>
      </c>
      <c r="C630" s="67">
        <v>-6.1428295118919103E-6</v>
      </c>
      <c r="D630" s="67">
        <v>4.2733672394193403E-5</v>
      </c>
      <c r="E630" s="67">
        <v>1.2488342804597799E-2</v>
      </c>
      <c r="F630" s="67">
        <v>8.0613596319861205E-4</v>
      </c>
      <c r="G630" s="67">
        <v>-1.7951446576407901E-5</v>
      </c>
      <c r="H630" s="67">
        <v>0.22881663588791501</v>
      </c>
      <c r="I630" s="67">
        <v>4.2733672394193403E-5</v>
      </c>
      <c r="J630" s="67">
        <v>0.16519149283142701</v>
      </c>
      <c r="K630" s="67">
        <v>1.9840781523567299</v>
      </c>
      <c r="L630" s="67"/>
      <c r="M630" s="67"/>
      <c r="N630" s="16"/>
      <c r="O630" s="11">
        <f t="shared" ca="1" si="344"/>
        <v>-1.8946760221851939E-5</v>
      </c>
      <c r="P630" s="11">
        <f t="shared" ca="1" si="345"/>
        <v>4.1968572163888665E-5</v>
      </c>
      <c r="Q630" s="11">
        <f t="shared" ca="1" si="346"/>
        <v>1.1651851192329515E-2</v>
      </c>
      <c r="R630" s="11">
        <f t="shared" ca="1" si="347"/>
        <v>7.9448947555226489E-4</v>
      </c>
      <c r="S630" s="11">
        <f t="shared" ca="1" si="348"/>
        <v>-2.8879098623378025E-5</v>
      </c>
      <c r="T630" s="11">
        <f t="shared" ca="1" si="349"/>
        <v>0.22767808084933272</v>
      </c>
      <c r="U630" s="11">
        <f t="shared" ca="1" si="350"/>
        <v>4.1968572163888665E-5</v>
      </c>
      <c r="V630" s="11">
        <f t="shared" ca="1" si="351"/>
        <v>0.16454129682573324</v>
      </c>
      <c r="W630" s="11">
        <f t="shared" ca="1" si="352"/>
        <v>1.9769553040932248</v>
      </c>
      <c r="X630" s="11"/>
      <c r="Y630" s="2">
        <f t="shared" ca="1" si="353"/>
        <v>-1.8946760221851939E-5</v>
      </c>
      <c r="Z630" s="11">
        <f t="shared" ca="1" si="354"/>
        <v>4.1968572163888665E-5</v>
      </c>
      <c r="AA630" s="2">
        <f t="shared" ca="1" si="355"/>
        <v>1.1651530101347052E-2</v>
      </c>
      <c r="AB630" s="2">
        <f t="shared" ca="1" si="356"/>
        <v>7.867176142722105E-4</v>
      </c>
      <c r="AC630" s="2">
        <f t="shared" ca="1" si="357"/>
        <v>-2.8879098623378025E-5</v>
      </c>
      <c r="AD630" s="2">
        <f t="shared" ca="1" si="358"/>
        <v>0.22762156153889701</v>
      </c>
      <c r="AE630" s="2">
        <f t="shared" ca="1" si="359"/>
        <v>4.1968572163888665E-5</v>
      </c>
      <c r="AF630" s="2">
        <f t="shared" ca="1" si="360"/>
        <v>0.16445783141409884</v>
      </c>
      <c r="AG630" s="2">
        <f t="shared" ca="1" si="361"/>
        <v>1.9769214357708458</v>
      </c>
      <c r="AI630" s="2">
        <f t="shared" ca="1" si="362"/>
        <v>-1.8946760221851939E-5</v>
      </c>
      <c r="AJ630" s="11">
        <f t="shared" ca="1" si="363"/>
        <v>4.1968572163888665E-5</v>
      </c>
      <c r="AK630" s="2">
        <f t="shared" ca="1" si="364"/>
        <v>1.1602014951491465E-2</v>
      </c>
      <c r="AL630" s="2">
        <f t="shared" ca="1" si="365"/>
        <v>7.6354245587480175E-4</v>
      </c>
      <c r="AM630" s="2">
        <f t="shared" ca="1" si="366"/>
        <v>-2.8879098623378025E-5</v>
      </c>
      <c r="AN630" s="2">
        <f t="shared" ca="1" si="367"/>
        <v>0.22762156153889701</v>
      </c>
      <c r="AO630" s="2">
        <f t="shared" ca="1" si="368"/>
        <v>4.1968572163888665E-5</v>
      </c>
      <c r="AP630" s="2">
        <f t="shared" ca="1" si="369"/>
        <v>0.16445783141409884</v>
      </c>
      <c r="AQ630" s="2">
        <f t="shared" ca="1" si="370"/>
        <v>1.9769214357708458</v>
      </c>
      <c r="AS630" s="2">
        <f t="shared" ca="1" si="371"/>
        <v>8.6831165157329586</v>
      </c>
      <c r="AT630" s="2">
        <f t="shared" ca="1" si="372"/>
        <v>0.40001938398406012</v>
      </c>
      <c r="AU630" s="2">
        <f t="shared" ca="1" si="373"/>
        <v>3.1781119059223599E-4</v>
      </c>
      <c r="AV630" s="2">
        <f t="shared" ca="1" si="374"/>
        <v>0.164223485635141</v>
      </c>
      <c r="AW630" s="2">
        <f t="shared" ca="1" si="375"/>
        <v>0.70830076918351481</v>
      </c>
      <c r="AX630" s="2">
        <f t="shared" ca="1" si="376"/>
        <v>5.3102901293148368E-2</v>
      </c>
      <c r="AY630" s="9">
        <f t="shared" ca="1" si="377"/>
        <v>0.70830076918351481</v>
      </c>
      <c r="AZ630" s="9">
        <f t="shared" ca="1" si="378"/>
        <v>0.70830076918351481</v>
      </c>
      <c r="BA630" s="9"/>
      <c r="BB630" s="2">
        <f t="shared" ca="1" si="379"/>
        <v>8.6851237747660406</v>
      </c>
      <c r="BC630" s="2">
        <f t="shared" ca="1" si="380"/>
        <v>0.40011297738202323</v>
      </c>
      <c r="BD630" s="2">
        <f t="shared" ca="1" si="381"/>
        <v>3.0550324537764902E-4</v>
      </c>
      <c r="BE630" s="2">
        <f t="shared" ca="1" si="382"/>
        <v>0.16415232816872119</v>
      </c>
      <c r="BF630" s="2">
        <f t="shared" ca="1" si="383"/>
        <v>0.70808723550556019</v>
      </c>
      <c r="BG630" s="2">
        <f t="shared" ca="1" si="384"/>
        <v>5.290141416307436E-2</v>
      </c>
      <c r="BH630" s="2">
        <f t="shared" ca="1" si="385"/>
        <v>0.70808723550556019</v>
      </c>
      <c r="BI630" s="2">
        <f t="shared" ca="1" si="386"/>
        <v>0.70808723550556019</v>
      </c>
    </row>
    <row r="631" spans="1:61" ht="15" x14ac:dyDescent="0.25">
      <c r="A631" s="66">
        <v>565</v>
      </c>
      <c r="B631" s="66">
        <v>1498730417.168</v>
      </c>
      <c r="C631" s="67">
        <v>1.15517638906139E-4</v>
      </c>
      <c r="D631" s="67">
        <v>1.74983054286706E-5</v>
      </c>
      <c r="E631" s="67">
        <v>1.27665749744301E-2</v>
      </c>
      <c r="F631" s="67">
        <v>8.0685034543352696E-4</v>
      </c>
      <c r="G631" s="67">
        <v>1.2249626679565701E-5</v>
      </c>
      <c r="H631" s="67">
        <v>0.23319682668654301</v>
      </c>
      <c r="I631" s="67">
        <v>1.74983054286706E-5</v>
      </c>
      <c r="J631" s="67">
        <v>0.16876048152325701</v>
      </c>
      <c r="K631" s="67">
        <v>2.0251037674863301</v>
      </c>
      <c r="L631" s="67"/>
      <c r="M631" s="67"/>
      <c r="N631" s="16"/>
      <c r="O631" s="11">
        <f t="shared" ca="1" si="344"/>
        <v>1.0271370819617896E-4</v>
      </c>
      <c r="P631" s="11">
        <f t="shared" ca="1" si="345"/>
        <v>1.6733205198365858E-5</v>
      </c>
      <c r="Q631" s="11">
        <f t="shared" ca="1" si="346"/>
        <v>1.1930083362161815E-2</v>
      </c>
      <c r="R631" s="11">
        <f t="shared" ca="1" si="347"/>
        <v>7.952038577871798E-4</v>
      </c>
      <c r="S631" s="11">
        <f t="shared" ca="1" si="348"/>
        <v>1.3219746325955782E-6</v>
      </c>
      <c r="T631" s="11">
        <f t="shared" ca="1" si="349"/>
        <v>0.23205827164796072</v>
      </c>
      <c r="U631" s="11">
        <f t="shared" ca="1" si="350"/>
        <v>1.6733205198365858E-5</v>
      </c>
      <c r="V631" s="11">
        <f t="shared" ca="1" si="351"/>
        <v>0.16811028551756324</v>
      </c>
      <c r="W631" s="11">
        <f t="shared" ca="1" si="352"/>
        <v>2.0179809192228251</v>
      </c>
      <c r="X631" s="11"/>
      <c r="Y631" s="2">
        <f t="shared" ca="1" si="353"/>
        <v>1.0271370819617896E-4</v>
      </c>
      <c r="Z631" s="11">
        <f t="shared" ca="1" si="354"/>
        <v>1.6733205198365858E-5</v>
      </c>
      <c r="AA631" s="2">
        <f t="shared" ca="1" si="355"/>
        <v>1.192995534062046E-2</v>
      </c>
      <c r="AB631" s="2">
        <f t="shared" ca="1" si="356"/>
        <v>7.9210515457029307E-4</v>
      </c>
      <c r="AC631" s="2">
        <f t="shared" ca="1" si="357"/>
        <v>1.3219746325955782E-6</v>
      </c>
      <c r="AD631" s="2">
        <f t="shared" ca="1" si="358"/>
        <v>0.23203573694710178</v>
      </c>
      <c r="AE631" s="2">
        <f t="shared" ca="1" si="359"/>
        <v>1.6733205198365858E-5</v>
      </c>
      <c r="AF631" s="2">
        <f t="shared" ca="1" si="360"/>
        <v>0.16807700719076216</v>
      </c>
      <c r="AG631" s="2">
        <f t="shared" ca="1" si="361"/>
        <v>2.0179674156519654</v>
      </c>
      <c r="AI631" s="2">
        <f t="shared" ca="1" si="362"/>
        <v>1.0271370819617896E-4</v>
      </c>
      <c r="AJ631" s="11">
        <f t="shared" ca="1" si="363"/>
        <v>1.6733205198365858E-5</v>
      </c>
      <c r="AK631" s="2">
        <f t="shared" ca="1" si="364"/>
        <v>1.1910213254572692E-2</v>
      </c>
      <c r="AL631" s="2">
        <f t="shared" ca="1" si="365"/>
        <v>7.8286503366615265E-4</v>
      </c>
      <c r="AM631" s="2">
        <f t="shared" ca="1" si="366"/>
        <v>1.3219746325955782E-6</v>
      </c>
      <c r="AN631" s="2">
        <f t="shared" ca="1" si="367"/>
        <v>0.23203573694710178</v>
      </c>
      <c r="AO631" s="2">
        <f t="shared" ca="1" si="368"/>
        <v>1.6733205198365858E-5</v>
      </c>
      <c r="AP631" s="2">
        <f t="shared" ca="1" si="369"/>
        <v>0.16807700719076216</v>
      </c>
      <c r="AQ631" s="2">
        <f t="shared" ca="1" si="370"/>
        <v>2.0179674156519654</v>
      </c>
      <c r="AS631" s="2">
        <f t="shared" ca="1" si="371"/>
        <v>8.696009432855563</v>
      </c>
      <c r="AT631" s="2">
        <f t="shared" ca="1" si="372"/>
        <v>0.40062055257872908</v>
      </c>
      <c r="AU631" s="2">
        <f t="shared" ca="1" si="373"/>
        <v>3.1857500891943705E-4</v>
      </c>
      <c r="AV631" s="2">
        <f t="shared" ca="1" si="374"/>
        <v>0.1677917105086438</v>
      </c>
      <c r="AW631" s="2">
        <f t="shared" ca="1" si="375"/>
        <v>0.70950035244607823</v>
      </c>
      <c r="AX631" s="2">
        <f t="shared" ca="1" si="376"/>
        <v>5.3425712462605503E-2</v>
      </c>
      <c r="AY631" s="9">
        <f t="shared" ca="1" si="377"/>
        <v>0.70950035244607823</v>
      </c>
      <c r="AZ631" s="9">
        <f t="shared" ca="1" si="378"/>
        <v>0.70950035244607823</v>
      </c>
      <c r="BA631" s="9"/>
      <c r="BB631" s="2">
        <f t="shared" ca="1" si="379"/>
        <v>8.6967957703515744</v>
      </c>
      <c r="BC631" s="2">
        <f t="shared" ca="1" si="380"/>
        <v>0.40065721813041111</v>
      </c>
      <c r="BD631" s="2">
        <f t="shared" ca="1" si="381"/>
        <v>3.1366052656025135E-4</v>
      </c>
      <c r="BE631" s="2">
        <f t="shared" ca="1" si="382"/>
        <v>0.1677633466642019</v>
      </c>
      <c r="BF631" s="2">
        <f t="shared" ca="1" si="383"/>
        <v>0.70941700592466905</v>
      </c>
      <c r="BG631" s="2">
        <f t="shared" ca="1" si="384"/>
        <v>5.3346844981570232E-2</v>
      </c>
      <c r="BH631" s="2">
        <f t="shared" ca="1" si="385"/>
        <v>0.70941700592466905</v>
      </c>
      <c r="BI631" s="2">
        <f t="shared" ca="1" si="386"/>
        <v>0.70941700592466905</v>
      </c>
    </row>
    <row r="632" spans="1:61" ht="15" x14ac:dyDescent="0.25">
      <c r="A632" s="66">
        <v>566</v>
      </c>
      <c r="B632" s="66">
        <v>1498730417.6949999</v>
      </c>
      <c r="C632" s="67">
        <v>5.3858721614383202E-5</v>
      </c>
      <c r="D632" s="67">
        <v>1.1899192639761299E-5</v>
      </c>
      <c r="E632" s="67">
        <v>1.24300562386959E-2</v>
      </c>
      <c r="F632" s="67">
        <v>8.1351793759403001E-4</v>
      </c>
      <c r="G632" s="67">
        <v>8.8629104693225397E-5</v>
      </c>
      <c r="H632" s="67">
        <v>0.22599097871650201</v>
      </c>
      <c r="I632" s="67">
        <v>1.1899192639761299E-5</v>
      </c>
      <c r="J632" s="67">
        <v>0.16347519457975701</v>
      </c>
      <c r="K632" s="67">
        <v>1.96131634202469</v>
      </c>
      <c r="L632" s="67"/>
      <c r="M632" s="67"/>
      <c r="N632" s="16"/>
      <c r="O632" s="11">
        <f t="shared" ca="1" si="344"/>
        <v>4.1054790904423175E-5</v>
      </c>
      <c r="P632" s="11">
        <f t="shared" ca="1" si="345"/>
        <v>1.1134092409456559E-5</v>
      </c>
      <c r="Q632" s="11">
        <f t="shared" ca="1" si="346"/>
        <v>1.1593564626427615E-2</v>
      </c>
      <c r="R632" s="11">
        <f t="shared" ca="1" si="347"/>
        <v>8.0187144994768285E-4</v>
      </c>
      <c r="S632" s="11">
        <f t="shared" ca="1" si="348"/>
        <v>7.770145264625527E-5</v>
      </c>
      <c r="T632" s="11">
        <f t="shared" ca="1" si="349"/>
        <v>0.22485242367791972</v>
      </c>
      <c r="U632" s="11">
        <f t="shared" ca="1" si="350"/>
        <v>1.1134092409456559E-5</v>
      </c>
      <c r="V632" s="11">
        <f t="shared" ca="1" si="351"/>
        <v>0.16282499857406324</v>
      </c>
      <c r="W632" s="11">
        <f t="shared" ca="1" si="352"/>
        <v>1.9541934937611849</v>
      </c>
      <c r="X632" s="11"/>
      <c r="Y632" s="2">
        <f t="shared" ca="1" si="353"/>
        <v>4.1054790904423175E-5</v>
      </c>
      <c r="Z632" s="11">
        <f t="shared" ca="1" si="354"/>
        <v>1.1134092409456559E-5</v>
      </c>
      <c r="AA632" s="2">
        <f t="shared" ca="1" si="355"/>
        <v>1.1593479442288956E-2</v>
      </c>
      <c r="AB632" s="2">
        <f t="shared" ca="1" si="356"/>
        <v>7.9980960659147601E-4</v>
      </c>
      <c r="AC632" s="2">
        <f t="shared" ca="1" si="357"/>
        <v>7.770145264625527E-5</v>
      </c>
      <c r="AD632" s="2">
        <f t="shared" ca="1" si="358"/>
        <v>0.22483742933351236</v>
      </c>
      <c r="AE632" s="2">
        <f t="shared" ca="1" si="359"/>
        <v>1.1134092409456559E-5</v>
      </c>
      <c r="AF632" s="2">
        <f t="shared" ca="1" si="360"/>
        <v>0.16280285553801946</v>
      </c>
      <c r="AG632" s="2">
        <f t="shared" ca="1" si="361"/>
        <v>1.9541845086322736</v>
      </c>
      <c r="AI632" s="2">
        <f t="shared" ca="1" si="362"/>
        <v>4.1054790904423175E-5</v>
      </c>
      <c r="AJ632" s="11">
        <f t="shared" ca="1" si="363"/>
        <v>1.1134092409456559E-5</v>
      </c>
      <c r="AK632" s="2">
        <f t="shared" ca="1" si="364"/>
        <v>1.1580343273347888E-2</v>
      </c>
      <c r="AL632" s="2">
        <f t="shared" ca="1" si="365"/>
        <v>7.9366133082472111E-4</v>
      </c>
      <c r="AM632" s="2">
        <f t="shared" ca="1" si="366"/>
        <v>7.770145264625527E-5</v>
      </c>
      <c r="AN632" s="2">
        <f t="shared" ca="1" si="367"/>
        <v>0.22483742933351236</v>
      </c>
      <c r="AO632" s="2">
        <f t="shared" ca="1" si="368"/>
        <v>1.1134092409456559E-5</v>
      </c>
      <c r="AP632" s="2">
        <f t="shared" ca="1" si="369"/>
        <v>0.16280285553801946</v>
      </c>
      <c r="AQ632" s="2">
        <f t="shared" ca="1" si="370"/>
        <v>1.9541845086322736</v>
      </c>
      <c r="AS632" s="2">
        <f t="shared" ca="1" si="371"/>
        <v>8.6910048012663914</v>
      </c>
      <c r="AT632" s="2">
        <f t="shared" ca="1" si="372"/>
        <v>0.40038719624262303</v>
      </c>
      <c r="AU632" s="2">
        <f t="shared" ca="1" si="373"/>
        <v>3.2105906159155955E-4</v>
      </c>
      <c r="AV632" s="2">
        <f t="shared" ca="1" si="374"/>
        <v>0.16250393951247169</v>
      </c>
      <c r="AW632" s="2">
        <f t="shared" ca="1" si="375"/>
        <v>0.70936767233261444</v>
      </c>
      <c r="AX632" s="2">
        <f t="shared" ca="1" si="376"/>
        <v>5.355098780755474E-2</v>
      </c>
      <c r="AY632" s="9">
        <f t="shared" ca="1" si="377"/>
        <v>0.70936767233261444</v>
      </c>
      <c r="AZ632" s="9">
        <f t="shared" ca="1" si="378"/>
        <v>0.70936767233261444</v>
      </c>
      <c r="BA632" s="9"/>
      <c r="BB632" s="2">
        <f t="shared" ca="1" si="379"/>
        <v>8.6915444391313343</v>
      </c>
      <c r="BC632" s="2">
        <f t="shared" ca="1" si="380"/>
        <v>0.40041235843897838</v>
      </c>
      <c r="BD632" s="2">
        <f t="shared" ca="1" si="381"/>
        <v>3.1779180527734485E-4</v>
      </c>
      <c r="BE632" s="2">
        <f t="shared" ca="1" si="382"/>
        <v>0.1624850637327421</v>
      </c>
      <c r="BF632" s="2">
        <f t="shared" ca="1" si="383"/>
        <v>0.70931039817496699</v>
      </c>
      <c r="BG632" s="2">
        <f t="shared" ca="1" si="384"/>
        <v>5.349688396997871E-2</v>
      </c>
      <c r="BH632" s="2">
        <f t="shared" ca="1" si="385"/>
        <v>0.70931039817496699</v>
      </c>
      <c r="BI632" s="2">
        <f t="shared" ca="1" si="386"/>
        <v>0.70931039817496699</v>
      </c>
    </row>
    <row r="633" spans="1:61" ht="15" x14ac:dyDescent="0.25">
      <c r="A633" s="66">
        <v>567</v>
      </c>
      <c r="B633" s="66">
        <v>1498730418.2219999</v>
      </c>
      <c r="C633" s="67">
        <v>-3.7806323348355798E-6</v>
      </c>
      <c r="D633" s="67">
        <v>-4.9245219795796899E-5</v>
      </c>
      <c r="E633" s="67">
        <v>1.2278575050584301E-2</v>
      </c>
      <c r="F633" s="67">
        <v>8.7329012621889101E-4</v>
      </c>
      <c r="G633" s="67">
        <v>2.4657573017698901E-5</v>
      </c>
      <c r="H633" s="67">
        <v>0.22362044388439101</v>
      </c>
      <c r="I633" s="67">
        <v>-4.9245219795796899E-5</v>
      </c>
      <c r="J633" s="67">
        <v>0.16180408416636199</v>
      </c>
      <c r="K633" s="67">
        <v>1.9415431880990699</v>
      </c>
      <c r="L633" s="67"/>
      <c r="M633" s="67"/>
      <c r="N633" s="16"/>
      <c r="O633" s="11">
        <f t="shared" ca="1" si="344"/>
        <v>-1.6584563044795608E-5</v>
      </c>
      <c r="P633" s="11">
        <f t="shared" ca="1" si="345"/>
        <v>-5.0010320026101638E-5</v>
      </c>
      <c r="Q633" s="11">
        <f t="shared" ca="1" si="346"/>
        <v>1.1442083438316016E-2</v>
      </c>
      <c r="R633" s="11">
        <f t="shared" ca="1" si="347"/>
        <v>8.6164363857254385E-4</v>
      </c>
      <c r="S633" s="11">
        <f t="shared" ca="1" si="348"/>
        <v>1.3729920970728779E-5</v>
      </c>
      <c r="T633" s="11">
        <f t="shared" ca="1" si="349"/>
        <v>0.22248188884580872</v>
      </c>
      <c r="U633" s="11">
        <f t="shared" ca="1" si="350"/>
        <v>-5.0010320026101638E-5</v>
      </c>
      <c r="V633" s="11">
        <f t="shared" ca="1" si="351"/>
        <v>0.16115388816066822</v>
      </c>
      <c r="W633" s="11">
        <f t="shared" ca="1" si="352"/>
        <v>1.9344203398355648</v>
      </c>
      <c r="X633" s="11"/>
      <c r="Y633" s="2">
        <f t="shared" ca="1" si="353"/>
        <v>-1.6584563044795608E-5</v>
      </c>
      <c r="Z633" s="11">
        <f t="shared" ca="1" si="354"/>
        <v>-5.0010320026101638E-5</v>
      </c>
      <c r="AA633" s="2">
        <f t="shared" ca="1" si="355"/>
        <v>1.1442083438316016E-2</v>
      </c>
      <c r="AB633" s="2">
        <f t="shared" ca="1" si="356"/>
        <v>8.6164363857254385E-4</v>
      </c>
      <c r="AC633" s="2">
        <f t="shared" ca="1" si="357"/>
        <v>1.3729920970728779E-5</v>
      </c>
      <c r="AD633" s="2">
        <f t="shared" ca="1" si="358"/>
        <v>0.22248188884580872</v>
      </c>
      <c r="AE633" s="2">
        <f t="shared" ca="1" si="359"/>
        <v>-5.0010320026101638E-5</v>
      </c>
      <c r="AF633" s="2">
        <f t="shared" ca="1" si="360"/>
        <v>0.16115388816066822</v>
      </c>
      <c r="AG633" s="2">
        <f t="shared" ca="1" si="361"/>
        <v>1.9344203398355648</v>
      </c>
      <c r="AI633" s="2">
        <f t="shared" ca="1" si="362"/>
        <v>-1.6584563044795608E-5</v>
      </c>
      <c r="AJ633" s="11">
        <f t="shared" ca="1" si="363"/>
        <v>-5.0010320026101638E-5</v>
      </c>
      <c r="AK633" s="2">
        <f t="shared" ca="1" si="364"/>
        <v>1.1442083438316016E-2</v>
      </c>
      <c r="AL633" s="2">
        <f t="shared" ca="1" si="365"/>
        <v>8.6164363857254385E-4</v>
      </c>
      <c r="AM633" s="2">
        <f t="shared" ca="1" si="366"/>
        <v>1.3729920970728779E-5</v>
      </c>
      <c r="AN633" s="2">
        <f t="shared" ca="1" si="367"/>
        <v>0.22248188884580872</v>
      </c>
      <c r="AO633" s="2">
        <f t="shared" ca="1" si="368"/>
        <v>-5.0010320026101638E-5</v>
      </c>
      <c r="AP633" s="2">
        <f t="shared" ca="1" si="369"/>
        <v>0.16115388816066822</v>
      </c>
      <c r="AQ633" s="2">
        <f t="shared" ca="1" si="370"/>
        <v>1.9344203398355648</v>
      </c>
      <c r="AS633" s="2">
        <f t="shared" ca="1" si="371"/>
        <v>8.6947317369110291</v>
      </c>
      <c r="AT633" s="2">
        <f t="shared" ca="1" si="372"/>
        <v>0.40056097592176931</v>
      </c>
      <c r="AU633" s="2">
        <f t="shared" ca="1" si="373"/>
        <v>3.4514081676340243E-4</v>
      </c>
      <c r="AV633" s="2">
        <f t="shared" ca="1" si="374"/>
        <v>0.16080874734390482</v>
      </c>
      <c r="AW633" s="2">
        <f t="shared" ca="1" si="375"/>
        <v>0.70929403948930303</v>
      </c>
      <c r="AX633" s="2">
        <f t="shared" ca="1" si="376"/>
        <v>5.3437858542727007E-2</v>
      </c>
      <c r="AY633" s="9">
        <f t="shared" ca="1" si="377"/>
        <v>0.70929403948930303</v>
      </c>
      <c r="AZ633" s="9">
        <f t="shared" ca="1" si="378"/>
        <v>0.70929403948930303</v>
      </c>
      <c r="BA633" s="9"/>
      <c r="BB633" s="2">
        <f t="shared" ca="1" si="379"/>
        <v>8.6947317369110291</v>
      </c>
      <c r="BC633" s="2">
        <f t="shared" ca="1" si="380"/>
        <v>0.40056097592176931</v>
      </c>
      <c r="BD633" s="2">
        <f t="shared" ca="1" si="381"/>
        <v>3.4514081676340243E-4</v>
      </c>
      <c r="BE633" s="2">
        <f t="shared" ca="1" si="382"/>
        <v>0.16080874734390482</v>
      </c>
      <c r="BF633" s="2">
        <f t="shared" ca="1" si="383"/>
        <v>0.70929403948930303</v>
      </c>
      <c r="BG633" s="2">
        <f t="shared" ca="1" si="384"/>
        <v>5.3437858542727007E-2</v>
      </c>
      <c r="BH633" s="2">
        <f t="shared" ca="1" si="385"/>
        <v>0.70929403948930303</v>
      </c>
      <c r="BI633" s="2">
        <f t="shared" ca="1" si="386"/>
        <v>0.70929403948930303</v>
      </c>
    </row>
    <row r="634" spans="1:61" ht="15" x14ac:dyDescent="0.25">
      <c r="A634" s="66">
        <v>568</v>
      </c>
      <c r="B634" s="66">
        <v>1498730418.7479999</v>
      </c>
      <c r="C634" s="67">
        <v>8.9530654899720098E-5</v>
      </c>
      <c r="D634" s="67">
        <v>-3.0774711194892002E-6</v>
      </c>
      <c r="E634" s="67">
        <v>1.1128155371955399E-2</v>
      </c>
      <c r="F634" s="67">
        <v>7.7494177043793396E-4</v>
      </c>
      <c r="G634" s="67">
        <v>8.4270378482504497E-5</v>
      </c>
      <c r="H634" s="67">
        <v>0.20240841075803001</v>
      </c>
      <c r="I634" s="67">
        <v>-3.0774711194892002E-6</v>
      </c>
      <c r="J634" s="67">
        <v>0.14635766147247001</v>
      </c>
      <c r="K634" s="67">
        <v>1.75718833924757</v>
      </c>
      <c r="L634" s="67"/>
      <c r="M634" s="67"/>
      <c r="N634" s="16"/>
      <c r="O634" s="11">
        <f t="shared" ca="1" si="344"/>
        <v>7.6726724189760077E-5</v>
      </c>
      <c r="P634" s="11">
        <f t="shared" ca="1" si="345"/>
        <v>-3.8425713497939405E-6</v>
      </c>
      <c r="Q634" s="11">
        <f t="shared" ca="1" si="346"/>
        <v>1.0291663759687115E-2</v>
      </c>
      <c r="R634" s="11">
        <f t="shared" ca="1" si="347"/>
        <v>7.6329528279158679E-4</v>
      </c>
      <c r="S634" s="11">
        <f t="shared" ca="1" si="348"/>
        <v>7.334272643553437E-5</v>
      </c>
      <c r="T634" s="11">
        <f t="shared" ca="1" si="349"/>
        <v>0.20126985571944772</v>
      </c>
      <c r="U634" s="11">
        <f t="shared" ca="1" si="350"/>
        <v>-3.8425713497939405E-6</v>
      </c>
      <c r="V634" s="11">
        <f t="shared" ca="1" si="351"/>
        <v>0.14570746546677624</v>
      </c>
      <c r="W634" s="11">
        <f t="shared" ca="1" si="352"/>
        <v>1.7500654909840649</v>
      </c>
      <c r="X634" s="11"/>
      <c r="Y634" s="2">
        <f t="shared" ca="1" si="353"/>
        <v>7.6726724189760077E-5</v>
      </c>
      <c r="Z634" s="11">
        <f t="shared" ca="1" si="354"/>
        <v>-3.8425713497939405E-6</v>
      </c>
      <c r="AA634" s="2">
        <f t="shared" ca="1" si="355"/>
        <v>1.0291663759687115E-2</v>
      </c>
      <c r="AB634" s="2">
        <f t="shared" ca="1" si="356"/>
        <v>7.6329528279158679E-4</v>
      </c>
      <c r="AC634" s="2">
        <f t="shared" ca="1" si="357"/>
        <v>7.334272643553437E-5</v>
      </c>
      <c r="AD634" s="2">
        <f t="shared" ca="1" si="358"/>
        <v>0.20126985571944772</v>
      </c>
      <c r="AE634" s="2">
        <f t="shared" ca="1" si="359"/>
        <v>-3.8425713497939405E-6</v>
      </c>
      <c r="AF634" s="2">
        <f t="shared" ca="1" si="360"/>
        <v>0.14570746546677624</v>
      </c>
      <c r="AG634" s="2">
        <f t="shared" ca="1" si="361"/>
        <v>1.7500654909840649</v>
      </c>
      <c r="AI634" s="2">
        <f t="shared" ca="1" si="362"/>
        <v>7.6726724189760077E-5</v>
      </c>
      <c r="AJ634" s="11">
        <f t="shared" ca="1" si="363"/>
        <v>-3.8425713497939405E-6</v>
      </c>
      <c r="AK634" s="2">
        <f t="shared" ca="1" si="364"/>
        <v>1.0291663759687115E-2</v>
      </c>
      <c r="AL634" s="2">
        <f t="shared" ca="1" si="365"/>
        <v>7.6329528279158679E-4</v>
      </c>
      <c r="AM634" s="2">
        <f t="shared" ca="1" si="366"/>
        <v>7.334272643553437E-5</v>
      </c>
      <c r="AN634" s="2">
        <f t="shared" ca="1" si="367"/>
        <v>0.20126985571944772</v>
      </c>
      <c r="AO634" s="2">
        <f t="shared" ca="1" si="368"/>
        <v>-3.8425713497939405E-6</v>
      </c>
      <c r="AP634" s="2">
        <f t="shared" ca="1" si="369"/>
        <v>0.14570746546677624</v>
      </c>
      <c r="AQ634" s="2">
        <f t="shared" ca="1" si="370"/>
        <v>1.7500654909840649</v>
      </c>
      <c r="AS634" s="2">
        <f t="shared" ca="1" si="371"/>
        <v>8.6951197173982209</v>
      </c>
      <c r="AT634" s="2">
        <f t="shared" ca="1" si="372"/>
        <v>0.40057906674075355</v>
      </c>
      <c r="AU634" s="2">
        <f t="shared" ca="1" si="373"/>
        <v>3.057601120282734E-4</v>
      </c>
      <c r="AV634" s="2">
        <f t="shared" ca="1" si="374"/>
        <v>0.14540170535474797</v>
      </c>
      <c r="AW634" s="2">
        <f t="shared" ca="1" si="375"/>
        <v>0.7089119712170312</v>
      </c>
      <c r="AX634" s="2">
        <f t="shared" ca="1" si="376"/>
        <v>5.3133115470331935E-2</v>
      </c>
      <c r="AY634" s="9">
        <f t="shared" ca="1" si="377"/>
        <v>0.7089119712170312</v>
      </c>
      <c r="AZ634" s="9">
        <f t="shared" ca="1" si="378"/>
        <v>0.7089119712170312</v>
      </c>
      <c r="BA634" s="9"/>
      <c r="BB634" s="2">
        <f t="shared" ca="1" si="379"/>
        <v>8.6951197173982209</v>
      </c>
      <c r="BC634" s="2">
        <f t="shared" ca="1" si="380"/>
        <v>0.40057906674075355</v>
      </c>
      <c r="BD634" s="2">
        <f t="shared" ca="1" si="381"/>
        <v>3.057601120282734E-4</v>
      </c>
      <c r="BE634" s="2">
        <f t="shared" ca="1" si="382"/>
        <v>0.14540170535474797</v>
      </c>
      <c r="BF634" s="2">
        <f t="shared" ca="1" si="383"/>
        <v>0.7089119712170312</v>
      </c>
      <c r="BG634" s="2">
        <f t="shared" ca="1" si="384"/>
        <v>5.3133115470331935E-2</v>
      </c>
      <c r="BH634" s="2">
        <f t="shared" ca="1" si="385"/>
        <v>0.7089119712170312</v>
      </c>
      <c r="BI634" s="2">
        <f t="shared" ca="1" si="386"/>
        <v>0.7089119712170312</v>
      </c>
    </row>
    <row r="635" spans="1:61" ht="15" x14ac:dyDescent="0.25">
      <c r="A635" s="66">
        <v>569</v>
      </c>
      <c r="B635" s="66">
        <v>1498730419.2750001</v>
      </c>
      <c r="C635" s="67">
        <v>2.3621265930310301E-5</v>
      </c>
      <c r="D635" s="67">
        <v>1.5088521940601699E-5</v>
      </c>
      <c r="E635" s="67">
        <v>1.1174580014338501E-2</v>
      </c>
      <c r="F635" s="67">
        <v>8.4947607669504804E-4</v>
      </c>
      <c r="G635" s="67">
        <v>1.41986050174124E-4</v>
      </c>
      <c r="H635" s="67">
        <v>0.20077113136594099</v>
      </c>
      <c r="I635" s="67">
        <v>1.5088521940601699E-5</v>
      </c>
      <c r="J635" s="67">
        <v>0.145205990045988</v>
      </c>
      <c r="K635" s="67">
        <v>1.7422769095445201</v>
      </c>
      <c r="L635" s="67"/>
      <c r="M635" s="67"/>
      <c r="N635" s="16"/>
      <c r="O635" s="11">
        <f t="shared" ca="1" si="344"/>
        <v>1.0817335220350273E-5</v>
      </c>
      <c r="P635" s="11">
        <f t="shared" ca="1" si="345"/>
        <v>1.4323421710296959E-5</v>
      </c>
      <c r="Q635" s="11">
        <f t="shared" ca="1" si="346"/>
        <v>1.0338088402070216E-2</v>
      </c>
      <c r="R635" s="11">
        <f t="shared" ca="1" si="347"/>
        <v>8.3782958904870088E-4</v>
      </c>
      <c r="S635" s="11">
        <f t="shared" ca="1" si="348"/>
        <v>1.3105839812715389E-4</v>
      </c>
      <c r="T635" s="11">
        <f t="shared" ca="1" si="349"/>
        <v>0.1996325763273587</v>
      </c>
      <c r="U635" s="11">
        <f t="shared" ca="1" si="350"/>
        <v>1.4323421710296959E-5</v>
      </c>
      <c r="V635" s="11">
        <f t="shared" ca="1" si="351"/>
        <v>0.14455579404029423</v>
      </c>
      <c r="W635" s="11">
        <f t="shared" ca="1" si="352"/>
        <v>1.735154061281015</v>
      </c>
      <c r="X635" s="11"/>
      <c r="Y635" s="2">
        <f t="shared" ca="1" si="353"/>
        <v>1.0817335220350273E-5</v>
      </c>
      <c r="Z635" s="11">
        <f t="shared" ca="1" si="354"/>
        <v>1.4323421710296959E-5</v>
      </c>
      <c r="AA635" s="2">
        <f t="shared" ca="1" si="355"/>
        <v>1.0337978817175804E-2</v>
      </c>
      <c r="AB635" s="2">
        <f t="shared" ca="1" si="356"/>
        <v>8.3517713649078589E-4</v>
      </c>
      <c r="AC635" s="2">
        <f t="shared" ca="1" si="357"/>
        <v>1.3105839812715389E-4</v>
      </c>
      <c r="AD635" s="2">
        <f t="shared" ca="1" si="358"/>
        <v>0.1996132868953765</v>
      </c>
      <c r="AE635" s="2">
        <f t="shared" ca="1" si="359"/>
        <v>1.4323421710296959E-5</v>
      </c>
      <c r="AF635" s="2">
        <f t="shared" ca="1" si="360"/>
        <v>0.14452730819416168</v>
      </c>
      <c r="AG635" s="2">
        <f t="shared" ca="1" si="361"/>
        <v>1.7351425023873228</v>
      </c>
      <c r="AI635" s="2">
        <f t="shared" ca="1" si="362"/>
        <v>1.0817335220350273E-5</v>
      </c>
      <c r="AJ635" s="11">
        <f t="shared" ca="1" si="363"/>
        <v>1.4323421710296959E-5</v>
      </c>
      <c r="AK635" s="2">
        <f t="shared" ca="1" si="364"/>
        <v>1.0321079829770166E-2</v>
      </c>
      <c r="AL635" s="2">
        <f t="shared" ca="1" si="365"/>
        <v>8.2726770450837895E-4</v>
      </c>
      <c r="AM635" s="2">
        <f t="shared" ca="1" si="366"/>
        <v>1.3105839812715389E-4</v>
      </c>
      <c r="AN635" s="2">
        <f t="shared" ca="1" si="367"/>
        <v>0.1996132868953765</v>
      </c>
      <c r="AO635" s="2">
        <f t="shared" ca="1" si="368"/>
        <v>1.4323421710296959E-5</v>
      </c>
      <c r="AP635" s="2">
        <f t="shared" ca="1" si="369"/>
        <v>0.14452730819416168</v>
      </c>
      <c r="AQ635" s="2">
        <f t="shared" ca="1" si="370"/>
        <v>1.7351425023873228</v>
      </c>
      <c r="AS635" s="2">
        <f t="shared" ca="1" si="371"/>
        <v>8.6917380579996077</v>
      </c>
      <c r="AT635" s="2">
        <f t="shared" ca="1" si="372"/>
        <v>0.40042138649054909</v>
      </c>
      <c r="AU635" s="2">
        <f t="shared" ca="1" si="373"/>
        <v>3.3548488568968776E-4</v>
      </c>
      <c r="AV635" s="2">
        <f t="shared" ca="1" si="374"/>
        <v>0.14422030915460454</v>
      </c>
      <c r="AW635" s="2">
        <f t="shared" ca="1" si="375"/>
        <v>0.70905778746757064</v>
      </c>
      <c r="AX635" s="2">
        <f t="shared" ca="1" si="376"/>
        <v>5.3789114379758036E-2</v>
      </c>
      <c r="AY635" s="9">
        <f t="shared" ca="1" si="377"/>
        <v>0.70905778746757064</v>
      </c>
      <c r="AZ635" s="9">
        <f t="shared" ca="1" si="378"/>
        <v>0.70905778746757064</v>
      </c>
      <c r="BA635" s="9"/>
      <c r="BB635" s="2">
        <f t="shared" ca="1" si="379"/>
        <v>8.6925200690511382</v>
      </c>
      <c r="BC635" s="2">
        <f t="shared" ca="1" si="380"/>
        <v>0.4004578500902527</v>
      </c>
      <c r="BD635" s="2">
        <f t="shared" ca="1" si="381"/>
        <v>3.312858463965239E-4</v>
      </c>
      <c r="BE635" s="2">
        <f t="shared" ca="1" si="382"/>
        <v>0.14419602234776516</v>
      </c>
      <c r="BF635" s="2">
        <f t="shared" ca="1" si="383"/>
        <v>0.70897476682076777</v>
      </c>
      <c r="BG635" s="2">
        <f t="shared" ca="1" si="384"/>
        <v>5.3710752375753554E-2</v>
      </c>
      <c r="BH635" s="2">
        <f t="shared" ca="1" si="385"/>
        <v>0.70897476682076777</v>
      </c>
      <c r="BI635" s="2">
        <f t="shared" ca="1" si="386"/>
        <v>0.70897476682076777</v>
      </c>
    </row>
    <row r="636" spans="1:61" ht="15" x14ac:dyDescent="0.25">
      <c r="A636" s="66">
        <v>570</v>
      </c>
      <c r="B636" s="66">
        <v>1498730419.802</v>
      </c>
      <c r="C636" s="67">
        <v>-7.3239259914628902E-6</v>
      </c>
      <c r="D636" s="67">
        <v>6.2657134137779897E-5</v>
      </c>
      <c r="E636" s="67">
        <v>1.0891014048291099E-2</v>
      </c>
      <c r="F636" s="67">
        <v>7.3446220904312197E-4</v>
      </c>
      <c r="G636" s="67">
        <v>9.5909783805827906E-5</v>
      </c>
      <c r="H636" s="67">
        <v>0.19838017591520399</v>
      </c>
      <c r="I636" s="67">
        <v>6.2657134137779897E-5</v>
      </c>
      <c r="J636" s="67">
        <v>0.14355852356483501</v>
      </c>
      <c r="K636" s="67">
        <v>1.72233363820542</v>
      </c>
      <c r="L636" s="67"/>
      <c r="M636" s="67"/>
      <c r="N636" s="16"/>
      <c r="O636" s="11">
        <f t="shared" ca="1" si="344"/>
        <v>-2.0127856701422919E-5</v>
      </c>
      <c r="P636" s="11">
        <f t="shared" ca="1" si="345"/>
        <v>6.1892033907475158E-5</v>
      </c>
      <c r="Q636" s="11">
        <f t="shared" ca="1" si="346"/>
        <v>1.0054522436022815E-2</v>
      </c>
      <c r="R636" s="11">
        <f t="shared" ca="1" si="347"/>
        <v>7.2281572139677481E-4</v>
      </c>
      <c r="S636" s="11">
        <f t="shared" ca="1" si="348"/>
        <v>8.4982131758857779E-5</v>
      </c>
      <c r="T636" s="11">
        <f t="shared" ca="1" si="349"/>
        <v>0.1972416208766217</v>
      </c>
      <c r="U636" s="11">
        <f t="shared" ca="1" si="350"/>
        <v>6.1892033907475158E-5</v>
      </c>
      <c r="V636" s="11">
        <f t="shared" ca="1" si="351"/>
        <v>0.14290832755914123</v>
      </c>
      <c r="W636" s="11">
        <f t="shared" ca="1" si="352"/>
        <v>1.7152107899419149</v>
      </c>
      <c r="X636" s="11"/>
      <c r="Y636" s="2">
        <f t="shared" ca="1" si="353"/>
        <v>-2.0127856701422919E-5</v>
      </c>
      <c r="Z636" s="11">
        <f t="shared" ca="1" si="354"/>
        <v>6.1892033907475158E-5</v>
      </c>
      <c r="AA636" s="2">
        <f t="shared" ca="1" si="355"/>
        <v>1.0054048915649132E-2</v>
      </c>
      <c r="AB636" s="2">
        <f t="shared" ca="1" si="356"/>
        <v>7.1135437598833593E-4</v>
      </c>
      <c r="AC636" s="2">
        <f t="shared" ca="1" si="357"/>
        <v>8.4982131758857779E-5</v>
      </c>
      <c r="AD636" s="2">
        <f t="shared" ca="1" si="358"/>
        <v>0.19715827052902699</v>
      </c>
      <c r="AE636" s="2">
        <f t="shared" ca="1" si="359"/>
        <v>6.1892033907475158E-5</v>
      </c>
      <c r="AF636" s="2">
        <f t="shared" ca="1" si="360"/>
        <v>0.14278523916655061</v>
      </c>
      <c r="AG636" s="2">
        <f t="shared" ca="1" si="361"/>
        <v>1.7151608435356163</v>
      </c>
      <c r="AI636" s="2">
        <f t="shared" ca="1" si="362"/>
        <v>-2.0127856701422919E-5</v>
      </c>
      <c r="AJ636" s="11">
        <f t="shared" ca="1" si="363"/>
        <v>6.1892033907475158E-5</v>
      </c>
      <c r="AK636" s="2">
        <f t="shared" ca="1" si="364"/>
        <v>9.9810277673044023E-3</v>
      </c>
      <c r="AL636" s="2">
        <f t="shared" ca="1" si="365"/>
        <v>6.7717742844429474E-4</v>
      </c>
      <c r="AM636" s="2">
        <f t="shared" ca="1" si="366"/>
        <v>8.4982131758857779E-5</v>
      </c>
      <c r="AN636" s="2">
        <f t="shared" ca="1" si="367"/>
        <v>0.19715827052902699</v>
      </c>
      <c r="AO636" s="2">
        <f t="shared" ca="1" si="368"/>
        <v>6.1892033907475158E-5</v>
      </c>
      <c r="AP636" s="2">
        <f t="shared" ca="1" si="369"/>
        <v>0.14278523916655061</v>
      </c>
      <c r="AQ636" s="2">
        <f t="shared" ca="1" si="370"/>
        <v>1.7151608435356163</v>
      </c>
      <c r="AS636" s="2">
        <f t="shared" ca="1" si="371"/>
        <v>8.6959881100085425</v>
      </c>
      <c r="AT636" s="2">
        <f t="shared" ca="1" si="372"/>
        <v>0.40061955833196722</v>
      </c>
      <c r="AU636" s="2">
        <f t="shared" ca="1" si="373"/>
        <v>2.8957411506137819E-4</v>
      </c>
      <c r="AV636" s="2">
        <f t="shared" ca="1" si="374"/>
        <v>0.14261875344407984</v>
      </c>
      <c r="AW636" s="2">
        <f t="shared" ca="1" si="375"/>
        <v>0.70950878498544256</v>
      </c>
      <c r="AX636" s="2">
        <f t="shared" ca="1" si="376"/>
        <v>5.2974356824756604E-2</v>
      </c>
      <c r="AY636" s="9">
        <f t="shared" ca="1" si="377"/>
        <v>0.70950878498544256</v>
      </c>
      <c r="AZ636" s="9">
        <f t="shared" ca="1" si="378"/>
        <v>0.70950878498544256</v>
      </c>
      <c r="BA636" s="9"/>
      <c r="BB636" s="2">
        <f t="shared" ca="1" si="379"/>
        <v>8.6994110819363204</v>
      </c>
      <c r="BC636" s="2">
        <f t="shared" ca="1" si="380"/>
        <v>0.40077916585642315</v>
      </c>
      <c r="BD636" s="2">
        <f t="shared" ca="1" si="381"/>
        <v>2.7139860490870213E-4</v>
      </c>
      <c r="BE636" s="2">
        <f t="shared" ca="1" si="382"/>
        <v>0.1425138405616419</v>
      </c>
      <c r="BF636" s="2">
        <f t="shared" ca="1" si="383"/>
        <v>0.70914602936267512</v>
      </c>
      <c r="BG636" s="2">
        <f t="shared" ca="1" si="384"/>
        <v>5.2630556456983821E-2</v>
      </c>
      <c r="BH636" s="2">
        <f t="shared" ca="1" si="385"/>
        <v>0.70914602936267512</v>
      </c>
      <c r="BI636" s="2">
        <f t="shared" ca="1" si="386"/>
        <v>0.70914602936267512</v>
      </c>
    </row>
    <row r="637" spans="1:61" ht="15" x14ac:dyDescent="0.25">
      <c r="A637" s="66">
        <v>571</v>
      </c>
      <c r="B637" s="66">
        <v>1498730420.329</v>
      </c>
      <c r="C637" s="67">
        <v>1.7479395343899399E-5</v>
      </c>
      <c r="D637" s="67">
        <v>-7.6125446244399003E-6</v>
      </c>
      <c r="E637" s="67">
        <v>1.0697936935011801E-2</v>
      </c>
      <c r="F637" s="67">
        <v>8.11136649571122E-4</v>
      </c>
      <c r="G637" s="67">
        <v>-3.14130210478773E-5</v>
      </c>
      <c r="H637" s="67">
        <v>0.195143884550151</v>
      </c>
      <c r="I637" s="67">
        <v>-7.6125446244399003E-6</v>
      </c>
      <c r="J637" s="67">
        <v>0.141150308634238</v>
      </c>
      <c r="K637" s="67">
        <v>1.6938143550131199</v>
      </c>
      <c r="L637" s="67"/>
      <c r="M637" s="67"/>
      <c r="N637" s="16"/>
      <c r="O637" s="11">
        <f t="shared" ca="1" si="344"/>
        <v>4.6754646339393709E-6</v>
      </c>
      <c r="P637" s="11">
        <f t="shared" ca="1" si="345"/>
        <v>-8.3776448547446414E-6</v>
      </c>
      <c r="Q637" s="11">
        <f t="shared" ca="1" si="346"/>
        <v>9.8614453227435159E-3</v>
      </c>
      <c r="R637" s="11">
        <f t="shared" ca="1" si="347"/>
        <v>7.9949016192477484E-4</v>
      </c>
      <c r="S637" s="11">
        <f t="shared" ca="1" si="348"/>
        <v>-4.2340673094847421E-5</v>
      </c>
      <c r="T637" s="11">
        <f t="shared" ca="1" si="349"/>
        <v>0.19400532951156871</v>
      </c>
      <c r="U637" s="11">
        <f t="shared" ca="1" si="350"/>
        <v>-8.3776448547446414E-6</v>
      </c>
      <c r="V637" s="11">
        <f t="shared" ca="1" si="351"/>
        <v>0.14050011262854423</v>
      </c>
      <c r="W637" s="11">
        <f t="shared" ca="1" si="352"/>
        <v>1.6866915067496149</v>
      </c>
      <c r="X637" s="11"/>
      <c r="Y637" s="2">
        <f t="shared" ca="1" si="353"/>
        <v>4.6754646339393709E-6</v>
      </c>
      <c r="Z637" s="11">
        <f t="shared" ca="1" si="354"/>
        <v>-8.3776448547446414E-6</v>
      </c>
      <c r="AA637" s="2">
        <f t="shared" ca="1" si="355"/>
        <v>9.8614453227435159E-3</v>
      </c>
      <c r="AB637" s="2">
        <f t="shared" ca="1" si="356"/>
        <v>7.9949016192477484E-4</v>
      </c>
      <c r="AC637" s="2">
        <f t="shared" ca="1" si="357"/>
        <v>-4.2340673094847421E-5</v>
      </c>
      <c r="AD637" s="2">
        <f t="shared" ca="1" si="358"/>
        <v>0.19400532951156871</v>
      </c>
      <c r="AE637" s="2">
        <f t="shared" ca="1" si="359"/>
        <v>-8.3776448547446414E-6</v>
      </c>
      <c r="AF637" s="2">
        <f t="shared" ca="1" si="360"/>
        <v>0.14050011262854423</v>
      </c>
      <c r="AG637" s="2">
        <f t="shared" ca="1" si="361"/>
        <v>1.6866915067496149</v>
      </c>
      <c r="AI637" s="2">
        <f t="shared" ca="1" si="362"/>
        <v>4.6754646339393709E-6</v>
      </c>
      <c r="AJ637" s="11">
        <f t="shared" ca="1" si="363"/>
        <v>-8.3776448547446414E-6</v>
      </c>
      <c r="AK637" s="2">
        <f t="shared" ca="1" si="364"/>
        <v>9.8614453227435159E-3</v>
      </c>
      <c r="AL637" s="2">
        <f t="shared" ca="1" si="365"/>
        <v>7.9949016192477484E-4</v>
      </c>
      <c r="AM637" s="2">
        <f t="shared" ca="1" si="366"/>
        <v>-4.2340673094847421E-5</v>
      </c>
      <c r="AN637" s="2">
        <f t="shared" ca="1" si="367"/>
        <v>0.19400532951156871</v>
      </c>
      <c r="AO637" s="2">
        <f t="shared" ca="1" si="368"/>
        <v>-8.3776448547446414E-6</v>
      </c>
      <c r="AP637" s="2">
        <f t="shared" ca="1" si="369"/>
        <v>0.14050011262854423</v>
      </c>
      <c r="AQ637" s="2">
        <f t="shared" ca="1" si="370"/>
        <v>1.6866915067496149</v>
      </c>
      <c r="AS637" s="2">
        <f t="shared" ca="1" si="371"/>
        <v>8.6940472769282149</v>
      </c>
      <c r="AT637" s="2">
        <f t="shared" ca="1" si="372"/>
        <v>0.40052906083119744</v>
      </c>
      <c r="AU637" s="2">
        <f t="shared" ca="1" si="373"/>
        <v>3.20219043699512E-4</v>
      </c>
      <c r="AV637" s="2">
        <f t="shared" ca="1" si="374"/>
        <v>0.14017989358484473</v>
      </c>
      <c r="AW637" s="2">
        <f t="shared" ca="1" si="375"/>
        <v>0.70908873728282673</v>
      </c>
      <c r="AX637" s="2">
        <f t="shared" ca="1" si="376"/>
        <v>5.2811745848109451E-2</v>
      </c>
      <c r="AY637" s="9">
        <f t="shared" ca="1" si="377"/>
        <v>0.70908873728282673</v>
      </c>
      <c r="AZ637" s="9">
        <f t="shared" ca="1" si="378"/>
        <v>0.70908873728282673</v>
      </c>
      <c r="BA637" s="9"/>
      <c r="BB637" s="2">
        <f t="shared" ca="1" si="379"/>
        <v>8.6940472769282149</v>
      </c>
      <c r="BC637" s="2">
        <f t="shared" ca="1" si="380"/>
        <v>0.40052906083119744</v>
      </c>
      <c r="BD637" s="2">
        <f t="shared" ca="1" si="381"/>
        <v>3.20219043699512E-4</v>
      </c>
      <c r="BE637" s="2">
        <f t="shared" ca="1" si="382"/>
        <v>0.14017989358484473</v>
      </c>
      <c r="BF637" s="2">
        <f t="shared" ca="1" si="383"/>
        <v>0.70908873728282673</v>
      </c>
      <c r="BG637" s="2">
        <f t="shared" ca="1" si="384"/>
        <v>5.2811745848109451E-2</v>
      </c>
      <c r="BH637" s="2">
        <f t="shared" ca="1" si="385"/>
        <v>0.70908873728282673</v>
      </c>
      <c r="BI637" s="2">
        <f t="shared" ca="1" si="386"/>
        <v>0.70908873728282673</v>
      </c>
    </row>
    <row r="638" spans="1:61" ht="15" x14ac:dyDescent="0.25">
      <c r="A638" s="66">
        <v>572</v>
      </c>
      <c r="B638" s="66">
        <v>1498730420.8559999</v>
      </c>
      <c r="C638" s="67">
        <v>-2.3386698526808901E-5</v>
      </c>
      <c r="D638" s="67">
        <v>-6.4079359510952596E-6</v>
      </c>
      <c r="E638" s="67">
        <v>1.05117450595523E-2</v>
      </c>
      <c r="F638" s="67">
        <v>6.7469832577164495E-4</v>
      </c>
      <c r="G638" s="67">
        <v>1.7617579370895902E-5</v>
      </c>
      <c r="H638" s="67">
        <v>0.19020113540651201</v>
      </c>
      <c r="I638" s="67">
        <v>-6.4079359510952596E-6</v>
      </c>
      <c r="J638" s="67">
        <v>0.13748837493519001</v>
      </c>
      <c r="K638" s="67">
        <v>1.6514132158677901</v>
      </c>
      <c r="L638" s="67"/>
      <c r="M638" s="67"/>
      <c r="N638" s="16"/>
      <c r="O638" s="11">
        <f t="shared" ca="1" si="344"/>
        <v>-3.6190629236768929E-5</v>
      </c>
      <c r="P638" s="11">
        <f t="shared" ca="1" si="345"/>
        <v>-7.1730361813999999E-6</v>
      </c>
      <c r="Q638" s="11">
        <f t="shared" ca="1" si="346"/>
        <v>9.6752534472840154E-3</v>
      </c>
      <c r="R638" s="11">
        <f t="shared" ca="1" si="347"/>
        <v>6.6305183812529779E-4</v>
      </c>
      <c r="S638" s="11">
        <f t="shared" ca="1" si="348"/>
        <v>6.6899273239257793E-6</v>
      </c>
      <c r="T638" s="11">
        <f t="shared" ca="1" si="349"/>
        <v>0.18906258036792972</v>
      </c>
      <c r="U638" s="11">
        <f t="shared" ca="1" si="350"/>
        <v>-7.1730361813999999E-6</v>
      </c>
      <c r="V638" s="11">
        <f t="shared" ca="1" si="351"/>
        <v>0.13683817892949623</v>
      </c>
      <c r="W638" s="11">
        <f t="shared" ca="1" si="352"/>
        <v>1.644290367604285</v>
      </c>
      <c r="X638" s="11"/>
      <c r="Y638" s="2">
        <f t="shared" ca="1" si="353"/>
        <v>-3.6190629236768929E-5</v>
      </c>
      <c r="Z638" s="11">
        <f t="shared" ca="1" si="354"/>
        <v>-7.1730361813999999E-6</v>
      </c>
      <c r="AA638" s="2">
        <f t="shared" ca="1" si="355"/>
        <v>9.6752534472840154E-3</v>
      </c>
      <c r="AB638" s="2">
        <f t="shared" ca="1" si="356"/>
        <v>6.6305183812529779E-4</v>
      </c>
      <c r="AC638" s="2">
        <f t="shared" ca="1" si="357"/>
        <v>6.6899273239257793E-6</v>
      </c>
      <c r="AD638" s="2">
        <f t="shared" ca="1" si="358"/>
        <v>0.18906258036792972</v>
      </c>
      <c r="AE638" s="2">
        <f t="shared" ca="1" si="359"/>
        <v>-7.1730361813999999E-6</v>
      </c>
      <c r="AF638" s="2">
        <f t="shared" ca="1" si="360"/>
        <v>0.13683817892949623</v>
      </c>
      <c r="AG638" s="2">
        <f t="shared" ca="1" si="361"/>
        <v>1.644290367604285</v>
      </c>
      <c r="AI638" s="2">
        <f t="shared" ca="1" si="362"/>
        <v>-3.6190629236768929E-5</v>
      </c>
      <c r="AJ638" s="11">
        <f t="shared" ca="1" si="363"/>
        <v>-7.1730361813999999E-6</v>
      </c>
      <c r="AK638" s="2">
        <f t="shared" ca="1" si="364"/>
        <v>9.6752534472840154E-3</v>
      </c>
      <c r="AL638" s="2">
        <f t="shared" ca="1" si="365"/>
        <v>6.6305183812529779E-4</v>
      </c>
      <c r="AM638" s="2">
        <f t="shared" ca="1" si="366"/>
        <v>6.6899273239257793E-6</v>
      </c>
      <c r="AN638" s="2">
        <f t="shared" ca="1" si="367"/>
        <v>0.18906258036792972</v>
      </c>
      <c r="AO638" s="2">
        <f t="shared" ca="1" si="368"/>
        <v>-7.1730361813999999E-6</v>
      </c>
      <c r="AP638" s="2">
        <f t="shared" ca="1" si="369"/>
        <v>0.13683817892949623</v>
      </c>
      <c r="AQ638" s="2">
        <f t="shared" ca="1" si="370"/>
        <v>1.644290367604285</v>
      </c>
      <c r="AS638" s="2">
        <f t="shared" ca="1" si="371"/>
        <v>8.6970693217260369</v>
      </c>
      <c r="AT638" s="2">
        <f t="shared" ca="1" si="372"/>
        <v>0.40066997336530957</v>
      </c>
      <c r="AU638" s="2">
        <f t="shared" ca="1" si="373"/>
        <v>2.6566496232148263E-4</v>
      </c>
      <c r="AV638" s="2">
        <f t="shared" ca="1" si="374"/>
        <v>0.13657251396717476</v>
      </c>
      <c r="AW638" s="2">
        <f t="shared" ca="1" si="375"/>
        <v>0.70877801058760437</v>
      </c>
      <c r="AX638" s="2">
        <f t="shared" ca="1" si="376"/>
        <v>5.3188142916365304E-2</v>
      </c>
      <c r="AY638" s="9">
        <f t="shared" ca="1" si="377"/>
        <v>0.70877801058760437</v>
      </c>
      <c r="AZ638" s="9">
        <f t="shared" ca="1" si="378"/>
        <v>0.70877801058760437</v>
      </c>
      <c r="BA638" s="9"/>
      <c r="BB638" s="2">
        <f t="shared" ca="1" si="379"/>
        <v>8.6970693217260369</v>
      </c>
      <c r="BC638" s="2">
        <f t="shared" ca="1" si="380"/>
        <v>0.40066997336530957</v>
      </c>
      <c r="BD638" s="2">
        <f t="shared" ca="1" si="381"/>
        <v>2.6566496232148263E-4</v>
      </c>
      <c r="BE638" s="2">
        <f t="shared" ca="1" si="382"/>
        <v>0.13657251396717476</v>
      </c>
      <c r="BF638" s="2">
        <f t="shared" ca="1" si="383"/>
        <v>0.70877801058760437</v>
      </c>
      <c r="BG638" s="2">
        <f t="shared" ca="1" si="384"/>
        <v>5.3188142916365304E-2</v>
      </c>
      <c r="BH638" s="2">
        <f t="shared" ca="1" si="385"/>
        <v>0.70877801058760437</v>
      </c>
      <c r="BI638" s="2">
        <f t="shared" ca="1" si="386"/>
        <v>0.70877801058760437</v>
      </c>
    </row>
    <row r="639" spans="1:61" ht="15" x14ac:dyDescent="0.25">
      <c r="A639" s="66">
        <v>573</v>
      </c>
      <c r="B639" s="66">
        <v>1498730421.382</v>
      </c>
      <c r="C639" s="67">
        <v>2.1022777580787E-5</v>
      </c>
      <c r="D639" s="67">
        <v>-4.48773253636347E-5</v>
      </c>
      <c r="E639" s="67">
        <v>1.0510781672069799E-2</v>
      </c>
      <c r="F639" s="67">
        <v>6.7350784648843203E-4</v>
      </c>
      <c r="G639" s="67">
        <v>-1.12896239637842E-4</v>
      </c>
      <c r="H639" s="67">
        <v>0.19193460973769999</v>
      </c>
      <c r="I639" s="67">
        <v>-4.48773253636347E-5</v>
      </c>
      <c r="J639" s="67">
        <v>0.13897428580326401</v>
      </c>
      <c r="K639" s="67">
        <v>1.6652272386501901</v>
      </c>
      <c r="L639" s="67"/>
      <c r="M639" s="67"/>
      <c r="N639" s="16"/>
      <c r="O639" s="11">
        <f t="shared" ca="1" si="344"/>
        <v>8.2188468708269726E-6</v>
      </c>
      <c r="P639" s="11">
        <f t="shared" ca="1" si="345"/>
        <v>-4.5642425593939439E-5</v>
      </c>
      <c r="Q639" s="11">
        <f t="shared" ca="1" si="346"/>
        <v>9.6742900598015148E-3</v>
      </c>
      <c r="R639" s="11">
        <f t="shared" ca="1" si="347"/>
        <v>6.6186135884208487E-4</v>
      </c>
      <c r="S639" s="11">
        <f t="shared" ca="1" si="348"/>
        <v>-1.2382389168481213E-4</v>
      </c>
      <c r="T639" s="11">
        <f t="shared" ca="1" si="349"/>
        <v>0.1907960546991177</v>
      </c>
      <c r="U639" s="11">
        <f t="shared" ca="1" si="350"/>
        <v>-4.5642425593939439E-5</v>
      </c>
      <c r="V639" s="11">
        <f t="shared" ca="1" si="351"/>
        <v>0.13832408979757024</v>
      </c>
      <c r="W639" s="11">
        <f t="shared" ca="1" si="352"/>
        <v>1.658104390386685</v>
      </c>
      <c r="X639" s="11"/>
      <c r="Y639" s="2">
        <f t="shared" ca="1" si="353"/>
        <v>8.2188468708269726E-6</v>
      </c>
      <c r="Z639" s="11">
        <f t="shared" ca="1" si="354"/>
        <v>-4.5642425593939439E-5</v>
      </c>
      <c r="AA639" s="2">
        <f t="shared" ca="1" si="355"/>
        <v>9.6742900598015148E-3</v>
      </c>
      <c r="AB639" s="2">
        <f t="shared" ca="1" si="356"/>
        <v>6.6186135884208487E-4</v>
      </c>
      <c r="AC639" s="2">
        <f t="shared" ca="1" si="357"/>
        <v>-1.2382389168481213E-4</v>
      </c>
      <c r="AD639" s="2">
        <f t="shared" ca="1" si="358"/>
        <v>0.1907960546991177</v>
      </c>
      <c r="AE639" s="2">
        <f t="shared" ca="1" si="359"/>
        <v>-4.5642425593939439E-5</v>
      </c>
      <c r="AF639" s="2">
        <f t="shared" ca="1" si="360"/>
        <v>0.13832408979757024</v>
      </c>
      <c r="AG639" s="2">
        <f t="shared" ca="1" si="361"/>
        <v>1.658104390386685</v>
      </c>
      <c r="AI639" s="2">
        <f t="shared" ca="1" si="362"/>
        <v>8.2188468708269726E-6</v>
      </c>
      <c r="AJ639" s="11">
        <f t="shared" ca="1" si="363"/>
        <v>-4.5642425593939439E-5</v>
      </c>
      <c r="AK639" s="2">
        <f t="shared" ca="1" si="364"/>
        <v>9.6742900598015148E-3</v>
      </c>
      <c r="AL639" s="2">
        <f t="shared" ca="1" si="365"/>
        <v>6.6186135884208487E-4</v>
      </c>
      <c r="AM639" s="2">
        <f t="shared" ca="1" si="366"/>
        <v>-1.2382389168481213E-4</v>
      </c>
      <c r="AN639" s="2">
        <f t="shared" ca="1" si="367"/>
        <v>0.1907960546991177</v>
      </c>
      <c r="AO639" s="2">
        <f t="shared" ca="1" si="368"/>
        <v>-4.5642425593939439E-5</v>
      </c>
      <c r="AP639" s="2">
        <f t="shared" ca="1" si="369"/>
        <v>0.13832408979757024</v>
      </c>
      <c r="AQ639" s="2">
        <f t="shared" ca="1" si="370"/>
        <v>1.658104390386685</v>
      </c>
      <c r="AS639" s="2">
        <f t="shared" ca="1" si="371"/>
        <v>8.6904542811510908</v>
      </c>
      <c r="AT639" s="2">
        <f t="shared" ca="1" si="372"/>
        <v>0.40036152664899111</v>
      </c>
      <c r="AU639" s="2">
        <f t="shared" ca="1" si="373"/>
        <v>2.6498382405599282E-4</v>
      </c>
      <c r="AV639" s="2">
        <f t="shared" ca="1" si="374"/>
        <v>0.13805910597351426</v>
      </c>
      <c r="AW639" s="2">
        <f t="shared" ca="1" si="375"/>
        <v>0.71025547938554834</v>
      </c>
      <c r="AX639" s="2">
        <f t="shared" ca="1" si="376"/>
        <v>5.265863973336124E-2</v>
      </c>
      <c r="AY639" s="9" t="str">
        <f t="shared" ca="1" si="377"/>
        <v>rejected</v>
      </c>
      <c r="AZ639" s="9" t="e">
        <f t="shared" ca="1" si="378"/>
        <v>#N/A</v>
      </c>
      <c r="BA639" s="9"/>
      <c r="BB639" s="2">
        <f t="shared" ca="1" si="379"/>
        <v>8.6904542811510908</v>
      </c>
      <c r="BC639" s="2">
        <f t="shared" ca="1" si="380"/>
        <v>0.40036152664899111</v>
      </c>
      <c r="BD639" s="2">
        <f t="shared" ca="1" si="381"/>
        <v>2.6498382405599282E-4</v>
      </c>
      <c r="BE639" s="2">
        <f t="shared" ca="1" si="382"/>
        <v>0.13805910597351426</v>
      </c>
      <c r="BF639" s="2">
        <f t="shared" ca="1" si="383"/>
        <v>0.71025547938554834</v>
      </c>
      <c r="BG639" s="2">
        <f t="shared" ca="1" si="384"/>
        <v>5.265863973336124E-2</v>
      </c>
      <c r="BH639" s="2" t="str">
        <f t="shared" ca="1" si="385"/>
        <v>rejected</v>
      </c>
      <c r="BI639" s="2" t="e">
        <f t="shared" ca="1" si="386"/>
        <v>#N/A</v>
      </c>
    </row>
    <row r="640" spans="1:61" ht="15" x14ac:dyDescent="0.25">
      <c r="A640" s="66">
        <v>574</v>
      </c>
      <c r="B640" s="66">
        <v>1498730421.9089999</v>
      </c>
      <c r="C640" s="67">
        <v>-9.9223332974867194E-6</v>
      </c>
      <c r="D640" s="67">
        <v>-3.5735048847897601E-6</v>
      </c>
      <c r="E640" s="67">
        <v>1.05274002348983E-2</v>
      </c>
      <c r="F640" s="67">
        <v>7.3946253665839695E-4</v>
      </c>
      <c r="G640" s="67">
        <v>-1.21143900905852E-5</v>
      </c>
      <c r="H640" s="67">
        <v>0.191140205917876</v>
      </c>
      <c r="I640" s="67">
        <v>-3.5735048847897601E-6</v>
      </c>
      <c r="J640" s="67">
        <v>0.138093561982056</v>
      </c>
      <c r="K640" s="67">
        <v>1.6585336374280499</v>
      </c>
      <c r="L640" s="67"/>
      <c r="M640" s="67"/>
      <c r="N640" s="16"/>
      <c r="O640" s="11">
        <f t="shared" ca="1" si="344"/>
        <v>-2.2726264007446749E-5</v>
      </c>
      <c r="P640" s="11">
        <f t="shared" ca="1" si="345"/>
        <v>-4.3386051150945004E-6</v>
      </c>
      <c r="Q640" s="11">
        <f t="shared" ca="1" si="346"/>
        <v>9.6909086226300151E-3</v>
      </c>
      <c r="R640" s="11">
        <f t="shared" ca="1" si="347"/>
        <v>7.2781604901204979E-4</v>
      </c>
      <c r="S640" s="11">
        <f t="shared" ca="1" si="348"/>
        <v>-2.304204213755532E-5</v>
      </c>
      <c r="T640" s="11">
        <f t="shared" ca="1" si="349"/>
        <v>0.19000165087929372</v>
      </c>
      <c r="U640" s="11">
        <f t="shared" ca="1" si="350"/>
        <v>-4.3386051150945004E-6</v>
      </c>
      <c r="V640" s="11">
        <f t="shared" ca="1" si="351"/>
        <v>0.13744336597636223</v>
      </c>
      <c r="W640" s="11">
        <f t="shared" ca="1" si="352"/>
        <v>1.6514107891645449</v>
      </c>
      <c r="X640" s="11"/>
      <c r="Y640" s="2">
        <f t="shared" ca="1" si="353"/>
        <v>-2.2726264007446749E-5</v>
      </c>
      <c r="Z640" s="11">
        <f t="shared" ca="1" si="354"/>
        <v>-4.3386051150945004E-6</v>
      </c>
      <c r="AA640" s="2">
        <f t="shared" ca="1" si="355"/>
        <v>9.6909086226300151E-3</v>
      </c>
      <c r="AB640" s="2">
        <f t="shared" ca="1" si="356"/>
        <v>7.2781604901204979E-4</v>
      </c>
      <c r="AC640" s="2">
        <f t="shared" ca="1" si="357"/>
        <v>-2.304204213755532E-5</v>
      </c>
      <c r="AD640" s="2">
        <f t="shared" ca="1" si="358"/>
        <v>0.19000165087929372</v>
      </c>
      <c r="AE640" s="2">
        <f t="shared" ca="1" si="359"/>
        <v>-4.3386051150945004E-6</v>
      </c>
      <c r="AF640" s="2">
        <f t="shared" ca="1" si="360"/>
        <v>0.13744336597636223</v>
      </c>
      <c r="AG640" s="2">
        <f t="shared" ca="1" si="361"/>
        <v>1.6514107891645449</v>
      </c>
      <c r="AI640" s="2">
        <f t="shared" ca="1" si="362"/>
        <v>-2.2726264007446749E-5</v>
      </c>
      <c r="AJ640" s="11">
        <f t="shared" ca="1" si="363"/>
        <v>-4.3386051150945004E-6</v>
      </c>
      <c r="AK640" s="2">
        <f t="shared" ca="1" si="364"/>
        <v>9.6909086226300151E-3</v>
      </c>
      <c r="AL640" s="2">
        <f t="shared" ca="1" si="365"/>
        <v>7.2781604901204979E-4</v>
      </c>
      <c r="AM640" s="2">
        <f t="shared" ca="1" si="366"/>
        <v>-2.304204213755532E-5</v>
      </c>
      <c r="AN640" s="2">
        <f t="shared" ca="1" si="367"/>
        <v>0.19000165087929372</v>
      </c>
      <c r="AO640" s="2">
        <f t="shared" ca="1" si="368"/>
        <v>-4.3386051150945004E-6</v>
      </c>
      <c r="AP640" s="2">
        <f t="shared" ca="1" si="369"/>
        <v>0.13744336597636223</v>
      </c>
      <c r="AQ640" s="2">
        <f t="shared" ca="1" si="370"/>
        <v>1.6514107891645449</v>
      </c>
      <c r="AS640" s="2">
        <f t="shared" ca="1" si="371"/>
        <v>8.6915602128829441</v>
      </c>
      <c r="AT640" s="2">
        <f t="shared" ca="1" si="372"/>
        <v>0.40041309393664237</v>
      </c>
      <c r="AU640" s="2">
        <f t="shared" ca="1" si="373"/>
        <v>2.9142707600165779E-4</v>
      </c>
      <c r="AV640" s="2">
        <f t="shared" ca="1" si="374"/>
        <v>0.13715193890036056</v>
      </c>
      <c r="AW640" s="2">
        <f t="shared" ca="1" si="375"/>
        <v>0.70849317781611343</v>
      </c>
      <c r="AX640" s="2">
        <f t="shared" ca="1" si="376"/>
        <v>5.2976540566751891E-2</v>
      </c>
      <c r="AY640" s="9">
        <f t="shared" ca="1" si="377"/>
        <v>0.70849317781611343</v>
      </c>
      <c r="AZ640" s="9">
        <f t="shared" ca="1" si="378"/>
        <v>0.70849317781611343</v>
      </c>
      <c r="BA640" s="9"/>
      <c r="BB640" s="2">
        <f t="shared" ca="1" si="379"/>
        <v>8.6915602128829441</v>
      </c>
      <c r="BC640" s="2">
        <f t="shared" ca="1" si="380"/>
        <v>0.40041309393664237</v>
      </c>
      <c r="BD640" s="2">
        <f t="shared" ca="1" si="381"/>
        <v>2.9142707600165779E-4</v>
      </c>
      <c r="BE640" s="2">
        <f t="shared" ca="1" si="382"/>
        <v>0.13715193890036056</v>
      </c>
      <c r="BF640" s="2">
        <f t="shared" ca="1" si="383"/>
        <v>0.70849317781611343</v>
      </c>
      <c r="BG640" s="2">
        <f t="shared" ca="1" si="384"/>
        <v>5.2976540566751891E-2</v>
      </c>
      <c r="BH640" s="2">
        <f t="shared" ca="1" si="385"/>
        <v>0.70849317781611343</v>
      </c>
      <c r="BI640" s="2">
        <f t="shared" ca="1" si="386"/>
        <v>0.70849317781611343</v>
      </c>
    </row>
    <row r="641" spans="1:61" ht="15" x14ac:dyDescent="0.25">
      <c r="A641" s="66">
        <v>575</v>
      </c>
      <c r="B641" s="66">
        <v>1498730422.437</v>
      </c>
      <c r="C641" s="67">
        <v>-1.7245080911261E-5</v>
      </c>
      <c r="D641" s="67">
        <v>-3.7935518875082998E-5</v>
      </c>
      <c r="E641" s="67">
        <v>1.0736637538344701E-2</v>
      </c>
      <c r="F641" s="67">
        <v>7.0160353591592597E-4</v>
      </c>
      <c r="G641" s="67">
        <v>-6.4047376484664006E-5</v>
      </c>
      <c r="H641" s="67">
        <v>0.19439034256802001</v>
      </c>
      <c r="I641" s="67">
        <v>-3.7935518875082998E-5</v>
      </c>
      <c r="J641" s="67">
        <v>0.140515967733535</v>
      </c>
      <c r="K641" s="67">
        <v>1.6869605597678901</v>
      </c>
      <c r="L641" s="67"/>
      <c r="M641" s="67"/>
      <c r="N641" s="16"/>
      <c r="O641" s="11">
        <f t="shared" ca="1" si="344"/>
        <v>-3.0049011621221028E-5</v>
      </c>
      <c r="P641" s="11">
        <f t="shared" ca="1" si="345"/>
        <v>-3.8700619105387736E-5</v>
      </c>
      <c r="Q641" s="11">
        <f t="shared" ca="1" si="346"/>
        <v>9.900145926076416E-3</v>
      </c>
      <c r="R641" s="11">
        <f t="shared" ca="1" si="347"/>
        <v>6.8995704826957881E-4</v>
      </c>
      <c r="S641" s="11">
        <f t="shared" ca="1" si="348"/>
        <v>-7.4975028531634134E-5</v>
      </c>
      <c r="T641" s="11">
        <f t="shared" ca="1" si="349"/>
        <v>0.19325178752943772</v>
      </c>
      <c r="U641" s="11">
        <f t="shared" ca="1" si="350"/>
        <v>-3.8700619105387736E-5</v>
      </c>
      <c r="V641" s="11">
        <f t="shared" ca="1" si="351"/>
        <v>0.13986577172784123</v>
      </c>
      <c r="W641" s="11">
        <f t="shared" ca="1" si="352"/>
        <v>1.679837711504385</v>
      </c>
      <c r="X641" s="11"/>
      <c r="Y641" s="2">
        <f t="shared" ca="1" si="353"/>
        <v>-3.0049011621221028E-5</v>
      </c>
      <c r="Z641" s="11">
        <f t="shared" ca="1" si="354"/>
        <v>-3.8700619105387736E-5</v>
      </c>
      <c r="AA641" s="2">
        <f t="shared" ca="1" si="355"/>
        <v>9.900145926076416E-3</v>
      </c>
      <c r="AB641" s="2">
        <f t="shared" ca="1" si="356"/>
        <v>6.8995704826957881E-4</v>
      </c>
      <c r="AC641" s="2">
        <f t="shared" ca="1" si="357"/>
        <v>-7.4975028531634134E-5</v>
      </c>
      <c r="AD641" s="2">
        <f t="shared" ca="1" si="358"/>
        <v>0.19325178752943772</v>
      </c>
      <c r="AE641" s="2">
        <f t="shared" ca="1" si="359"/>
        <v>-3.8700619105387736E-5</v>
      </c>
      <c r="AF641" s="2">
        <f t="shared" ca="1" si="360"/>
        <v>0.13986577172784123</v>
      </c>
      <c r="AG641" s="2">
        <f t="shared" ca="1" si="361"/>
        <v>1.679837711504385</v>
      </c>
      <c r="AI641" s="2">
        <f t="shared" ca="1" si="362"/>
        <v>-3.0049011621221028E-5</v>
      </c>
      <c r="AJ641" s="11">
        <f t="shared" ca="1" si="363"/>
        <v>-3.8700619105387736E-5</v>
      </c>
      <c r="AK641" s="2">
        <f t="shared" ca="1" si="364"/>
        <v>9.900145926076416E-3</v>
      </c>
      <c r="AL641" s="2">
        <f t="shared" ca="1" si="365"/>
        <v>6.8995704826957881E-4</v>
      </c>
      <c r="AM641" s="2">
        <f t="shared" ca="1" si="366"/>
        <v>-7.4975028531634134E-5</v>
      </c>
      <c r="AN641" s="2">
        <f t="shared" ca="1" si="367"/>
        <v>0.19325178752943772</v>
      </c>
      <c r="AO641" s="2">
        <f t="shared" ca="1" si="368"/>
        <v>-3.8700619105387736E-5</v>
      </c>
      <c r="AP641" s="2">
        <f t="shared" ca="1" si="369"/>
        <v>0.13986577172784123</v>
      </c>
      <c r="AQ641" s="2">
        <f t="shared" ca="1" si="370"/>
        <v>1.679837711504385</v>
      </c>
      <c r="AS641" s="2">
        <f t="shared" ca="1" si="371"/>
        <v>8.692482139387705</v>
      </c>
      <c r="AT641" s="2">
        <f t="shared" ca="1" si="372"/>
        <v>0.40045608150555106</v>
      </c>
      <c r="AU641" s="2">
        <f t="shared" ca="1" si="373"/>
        <v>2.7629749595717187E-4</v>
      </c>
      <c r="AV641" s="2">
        <f t="shared" ca="1" si="374"/>
        <v>0.13958947423188406</v>
      </c>
      <c r="AW641" s="2">
        <f t="shared" ca="1" si="375"/>
        <v>0.70891970802833126</v>
      </c>
      <c r="AX641" s="2">
        <f t="shared" ca="1" si="376"/>
        <v>5.3215933149503271E-2</v>
      </c>
      <c r="AY641" s="9">
        <f t="shared" ca="1" si="377"/>
        <v>0.70891970802833126</v>
      </c>
      <c r="AZ641" s="9">
        <f t="shared" ca="1" si="378"/>
        <v>0.70891970802833126</v>
      </c>
      <c r="BA641" s="9"/>
      <c r="BB641" s="2">
        <f t="shared" ca="1" si="379"/>
        <v>8.692482139387705</v>
      </c>
      <c r="BC641" s="2">
        <f t="shared" ca="1" si="380"/>
        <v>0.40045608150555106</v>
      </c>
      <c r="BD641" s="2">
        <f t="shared" ca="1" si="381"/>
        <v>2.7629749595717187E-4</v>
      </c>
      <c r="BE641" s="2">
        <f t="shared" ca="1" si="382"/>
        <v>0.13958947423188406</v>
      </c>
      <c r="BF641" s="2">
        <f t="shared" ca="1" si="383"/>
        <v>0.70891970802833126</v>
      </c>
      <c r="BG641" s="2">
        <f t="shared" ca="1" si="384"/>
        <v>5.3215933149503271E-2</v>
      </c>
      <c r="BH641" s="2">
        <f t="shared" ca="1" si="385"/>
        <v>0.70891970802833126</v>
      </c>
      <c r="BI641" s="2">
        <f t="shared" ca="1" si="386"/>
        <v>0.70891970802833126</v>
      </c>
    </row>
    <row r="642" spans="1:61" ht="15" x14ac:dyDescent="0.25">
      <c r="A642" s="66">
        <v>576</v>
      </c>
      <c r="B642" s="66">
        <v>1498730422.964</v>
      </c>
      <c r="C642" s="67">
        <v>-7.2754474460416595E-5</v>
      </c>
      <c r="D642" s="67">
        <v>3.7121316607829602E-7</v>
      </c>
      <c r="E642" s="67">
        <v>1.0866725837632501E-2</v>
      </c>
      <c r="F642" s="67">
        <v>6.2850876992152905E-4</v>
      </c>
      <c r="G642" s="67">
        <v>-7.0704685313583299E-5</v>
      </c>
      <c r="H642" s="67">
        <v>0.195669553130459</v>
      </c>
      <c r="I642" s="67">
        <v>3.7121316607829602E-7</v>
      </c>
      <c r="J642" s="67">
        <v>0.141494552090107</v>
      </c>
      <c r="K642" s="67">
        <v>1.6982513282554399</v>
      </c>
      <c r="L642" s="67"/>
      <c r="M642" s="67"/>
      <c r="N642" s="16"/>
      <c r="O642" s="11">
        <f t="shared" ca="1" si="344"/>
        <v>-8.5558405170376616E-5</v>
      </c>
      <c r="P642" s="11">
        <f t="shared" ca="1" si="345"/>
        <v>-3.9388706422644439E-7</v>
      </c>
      <c r="Q642" s="11">
        <f t="shared" ca="1" si="346"/>
        <v>1.0030234225364216E-2</v>
      </c>
      <c r="R642" s="11">
        <f t="shared" ca="1" si="347"/>
        <v>6.1686228227518188E-4</v>
      </c>
      <c r="S642" s="11">
        <f t="shared" ca="1" si="348"/>
        <v>-8.1632337360553427E-5</v>
      </c>
      <c r="T642" s="11">
        <f t="shared" ca="1" si="349"/>
        <v>0.19453099809187671</v>
      </c>
      <c r="U642" s="11">
        <f t="shared" ca="1" si="350"/>
        <v>-3.9388706422644439E-7</v>
      </c>
      <c r="V642" s="11">
        <f t="shared" ca="1" si="351"/>
        <v>0.14084435608441323</v>
      </c>
      <c r="W642" s="11">
        <f t="shared" ca="1" si="352"/>
        <v>1.6911284799919348</v>
      </c>
      <c r="X642" s="11"/>
      <c r="Y642" s="2">
        <f t="shared" ca="1" si="353"/>
        <v>-8.5558405170376616E-5</v>
      </c>
      <c r="Z642" s="11">
        <f t="shared" ca="1" si="354"/>
        <v>-3.9388706422644439E-7</v>
      </c>
      <c r="AA642" s="2">
        <f t="shared" ca="1" si="355"/>
        <v>1.0030234225364216E-2</v>
      </c>
      <c r="AB642" s="2">
        <f t="shared" ca="1" si="356"/>
        <v>6.1686228227518188E-4</v>
      </c>
      <c r="AC642" s="2">
        <f t="shared" ca="1" si="357"/>
        <v>-8.1632337360553427E-5</v>
      </c>
      <c r="AD642" s="2">
        <f t="shared" ca="1" si="358"/>
        <v>0.19453099809187671</v>
      </c>
      <c r="AE642" s="2">
        <f t="shared" ca="1" si="359"/>
        <v>-3.9388706422644439E-7</v>
      </c>
      <c r="AF642" s="2">
        <f t="shared" ca="1" si="360"/>
        <v>0.14084435608441323</v>
      </c>
      <c r="AG642" s="2">
        <f t="shared" ca="1" si="361"/>
        <v>1.6911284799919348</v>
      </c>
      <c r="AI642" s="2">
        <f t="shared" ca="1" si="362"/>
        <v>-8.5558405170376616E-5</v>
      </c>
      <c r="AJ642" s="11">
        <f t="shared" ca="1" si="363"/>
        <v>-3.9388706422644439E-7</v>
      </c>
      <c r="AK642" s="2">
        <f t="shared" ca="1" si="364"/>
        <v>1.0030234225364216E-2</v>
      </c>
      <c r="AL642" s="2">
        <f t="shared" ca="1" si="365"/>
        <v>6.1686228227518188E-4</v>
      </c>
      <c r="AM642" s="2">
        <f t="shared" ca="1" si="366"/>
        <v>-8.1632337360553427E-5</v>
      </c>
      <c r="AN642" s="2">
        <f t="shared" ca="1" si="367"/>
        <v>0.19453099809187671</v>
      </c>
      <c r="AO642" s="2">
        <f t="shared" ca="1" si="368"/>
        <v>-3.9388706422644439E-7</v>
      </c>
      <c r="AP642" s="2">
        <f t="shared" ca="1" si="369"/>
        <v>0.14084435608441323</v>
      </c>
      <c r="AQ642" s="2">
        <f t="shared" ca="1" si="370"/>
        <v>1.6911284799919348</v>
      </c>
      <c r="AS642" s="2">
        <f t="shared" ca="1" si="371"/>
        <v>8.6933624799129294</v>
      </c>
      <c r="AT642" s="2">
        <f t="shared" ca="1" si="372"/>
        <v>0.40049713005592819</v>
      </c>
      <c r="AU642" s="2">
        <f t="shared" ca="1" si="373"/>
        <v>2.4705157369096022E-4</v>
      </c>
      <c r="AV642" s="2">
        <f t="shared" ca="1" si="374"/>
        <v>0.14059730451072228</v>
      </c>
      <c r="AW642" s="2">
        <f t="shared" ca="1" si="375"/>
        <v>0.70930648252300854</v>
      </c>
      <c r="AX642" s="2">
        <f t="shared" ca="1" si="376"/>
        <v>5.3566203803659347E-2</v>
      </c>
      <c r="AY642" s="9">
        <f t="shared" ca="1" si="377"/>
        <v>0.70930648252300854</v>
      </c>
      <c r="AZ642" s="9">
        <f t="shared" ca="1" si="378"/>
        <v>0.70930648252300854</v>
      </c>
      <c r="BA642" s="9"/>
      <c r="BB642" s="2">
        <f t="shared" ca="1" si="379"/>
        <v>8.6933624799129294</v>
      </c>
      <c r="BC642" s="2">
        <f t="shared" ca="1" si="380"/>
        <v>0.40049713005592819</v>
      </c>
      <c r="BD642" s="2">
        <f t="shared" ca="1" si="381"/>
        <v>2.4705157369096022E-4</v>
      </c>
      <c r="BE642" s="2">
        <f t="shared" ca="1" si="382"/>
        <v>0.14059730451072228</v>
      </c>
      <c r="BF642" s="2">
        <f t="shared" ca="1" si="383"/>
        <v>0.70930648252300854</v>
      </c>
      <c r="BG642" s="2">
        <f t="shared" ca="1" si="384"/>
        <v>5.3566203803659347E-2</v>
      </c>
      <c r="BH642" s="2">
        <f t="shared" ca="1" si="385"/>
        <v>0.70930648252300854</v>
      </c>
      <c r="BI642" s="2">
        <f t="shared" ca="1" si="386"/>
        <v>0.70930648252300854</v>
      </c>
    </row>
    <row r="643" spans="1:61" ht="15" x14ac:dyDescent="0.25">
      <c r="A643" s="66">
        <v>577</v>
      </c>
      <c r="B643" s="66">
        <v>1498730423.4909999</v>
      </c>
      <c r="C643" s="67">
        <v>-3.4724969629655398E-5</v>
      </c>
      <c r="D643" s="67">
        <v>-9.6201932324315995E-6</v>
      </c>
      <c r="E643" s="67">
        <v>1.0788093754353099E-2</v>
      </c>
      <c r="F643" s="67">
        <v>6.7088879705912803E-4</v>
      </c>
      <c r="G643" s="67">
        <v>7.8474748126562403E-5</v>
      </c>
      <c r="H643" s="67">
        <v>0.19570983862163999</v>
      </c>
      <c r="I643" s="67">
        <v>-9.6201932324315995E-6</v>
      </c>
      <c r="J643" s="67">
        <v>0.14143988268341501</v>
      </c>
      <c r="K643" s="67">
        <v>1.6985265520892501</v>
      </c>
      <c r="L643" s="67"/>
      <c r="M643" s="67"/>
      <c r="N643" s="16"/>
      <c r="O643" s="11">
        <f t="shared" ref="O643:O666" ca="1" si="387">C643-AVERAGE(OFFSET(C$67,$J$2,0,$J$3))</f>
        <v>-4.7528900339615426E-5</v>
      </c>
      <c r="P643" s="11">
        <f t="shared" ref="P643:P666" ca="1" si="388">D643-AVERAGE(OFFSET(D$67,$J$2,0,$J$3))</f>
        <v>-1.038529346273634E-5</v>
      </c>
      <c r="Q643" s="11">
        <f t="shared" ref="Q643:Q666" ca="1" si="389">E643-AVERAGE(OFFSET(E$67,$J$2,0,$J$3))</f>
        <v>9.9516021420848148E-3</v>
      </c>
      <c r="R643" s="11">
        <f t="shared" ref="R643:R666" ca="1" si="390">F643-AVERAGE(OFFSET(F$67,$J$2,0,$J$3))</f>
        <v>6.5924230941278087E-4</v>
      </c>
      <c r="S643" s="11">
        <f t="shared" ref="S643:S666" ca="1" si="391">G643-AVERAGE(OFFSET(G$67,$J$2,0,$J$3))</f>
        <v>6.7547096079592276E-5</v>
      </c>
      <c r="T643" s="11">
        <f t="shared" ref="T643:T666" ca="1" si="392">H643-AVERAGE(OFFSET(H$67,$J$2,0,$J$3))</f>
        <v>0.1945712835830577</v>
      </c>
      <c r="U643" s="11">
        <f t="shared" ref="U643:U666" ca="1" si="393">I643-AVERAGE(OFFSET(I$67,$J$2,0,$J$3))</f>
        <v>-1.038529346273634E-5</v>
      </c>
      <c r="V643" s="11">
        <f t="shared" ref="V643:V666" ca="1" si="394">J643-AVERAGE(OFFSET(J$67,$J$2,0,$J$3))</f>
        <v>0.14078968667772124</v>
      </c>
      <c r="W643" s="11">
        <f t="shared" ref="W643:W666" ca="1" si="395">K643-AVERAGE(OFFSET(K$67,$J$2,0,$J$3))</f>
        <v>1.691403703825745</v>
      </c>
      <c r="X643" s="11"/>
      <c r="Y643" s="2">
        <f t="shared" ref="Y643:Y666" ca="1" si="396">O643</f>
        <v>-4.7528900339615426E-5</v>
      </c>
      <c r="Z643" s="11">
        <f t="shared" ref="Z643:Z666" ca="1" si="397">P643</f>
        <v>-1.038529346273634E-5</v>
      </c>
      <c r="AA643" s="2">
        <f t="shared" ref="AA643:AA666" ca="1" si="398">IF($U643&gt;0,Q643-($B$14/$B$18*$U643), Q643)</f>
        <v>9.9516021420848148E-3</v>
      </c>
      <c r="AB643" s="2">
        <f t="shared" ref="AB643:AB666" ca="1" si="399">IF($U643&gt;0,R643-($B$15/$B$18*$U643), R643)</f>
        <v>6.5924230941278087E-4</v>
      </c>
      <c r="AC643" s="2">
        <f t="shared" ref="AC643:AC666" ca="1" si="400">S643</f>
        <v>6.7547096079592276E-5</v>
      </c>
      <c r="AD643" s="2">
        <f t="shared" ref="AD643:AD666" ca="1" si="401">IF($U643&gt;0,T643-($B$17/$B$18*$U643), T643)</f>
        <v>0.1945712835830577</v>
      </c>
      <c r="AE643" s="2">
        <f t="shared" ref="AE643:AE666" ca="1" si="402">U643</f>
        <v>-1.038529346273634E-5</v>
      </c>
      <c r="AF643" s="2">
        <f t="shared" ref="AF643:AF666" ca="1" si="403">IF($U643&gt;0,V643-($B$19/$B$18*$U643), V643)</f>
        <v>0.14078968667772124</v>
      </c>
      <c r="AG643" s="2">
        <f t="shared" ref="AG643:AG666" ca="1" si="404">IF($U643&gt;0,W643-($B$20/$B$18*$U643), W643)</f>
        <v>1.691403703825745</v>
      </c>
      <c r="AI643" s="2">
        <f t="shared" ref="AI643:AI666" ca="1" si="405">Y643</f>
        <v>-4.7528900339615426E-5</v>
      </c>
      <c r="AJ643" s="11">
        <f t="shared" ref="AJ643:AJ666" ca="1" si="406">Z643</f>
        <v>-1.038529346273634E-5</v>
      </c>
      <c r="AK643" s="2">
        <f t="shared" ref="AK643:AK666" ca="1" si="407">IF($AJ643&gt;0,AA643-($B$25/$B$24*$AJ643),AA643)</f>
        <v>9.9516021420848148E-3</v>
      </c>
      <c r="AL643" s="2">
        <f t="shared" ref="AL643:AL666" ca="1" si="408">IF($AJ643&gt;0,AB643-($B$26/$B$25*$AJ643),AB643)</f>
        <v>6.5924230941278087E-4</v>
      </c>
      <c r="AM643" s="2">
        <f t="shared" ref="AM643:AM666" ca="1" si="409">AC643</f>
        <v>6.7547096079592276E-5</v>
      </c>
      <c r="AN643" s="2">
        <f t="shared" ref="AN643:AN666" ca="1" si="410">AD643</f>
        <v>0.1945712835830577</v>
      </c>
      <c r="AO643" s="2">
        <f t="shared" ref="AO643:AO666" ca="1" si="411">AE643</f>
        <v>-1.038529346273634E-5</v>
      </c>
      <c r="AP643" s="2">
        <f t="shared" ref="AP643:AP666" ca="1" si="412">AF643</f>
        <v>0.14078968667772124</v>
      </c>
      <c r="AQ643" s="2">
        <f t="shared" ref="AQ643:AQ666" ca="1" si="413">AG643</f>
        <v>1.691403703825745</v>
      </c>
      <c r="AS643" s="2">
        <f t="shared" ref="AS643:AS666" ca="1" si="414">IF(AND(T643&gt;0,W643&gt;0),W643/T643, #N/A)</f>
        <v>8.6929770553922801</v>
      </c>
      <c r="AT643" s="2">
        <f t="shared" ref="AT643:AT666" ca="1" si="415">$B$8*((AS643/$B$10)^$B$11)</f>
        <v>0.40047915846100374</v>
      </c>
      <c r="AU643" s="2">
        <f t="shared" ref="AU643:AU666" ca="1" si="416">AT643*R643</f>
        <v>2.6401280529551912E-4</v>
      </c>
      <c r="AV643" s="2">
        <f t="shared" ref="AV643:AV666" ca="1" si="417">V643-AU643</f>
        <v>0.1405256738724257</v>
      </c>
      <c r="AW643" s="2">
        <f t="shared" ref="AW643:AW666" ca="1" si="418">(AV643/T643)/((AS643/$B$10)^$B$12)</f>
        <v>0.70881415009782978</v>
      </c>
      <c r="AX643" s="2">
        <f t="shared" ref="AX643:AX666" ca="1" si="419">(Q643/T643)/((AS643/$B$10)^$B$13)</f>
        <v>5.3132856866647732E-2</v>
      </c>
      <c r="AY643" s="9">
        <f t="shared" ref="AY643:AY666" ca="1" si="420">IF(AND(AW643&lt;$M$3,AW643&gt;$M$4),AW643,"rejected")</f>
        <v>0.70881415009782978</v>
      </c>
      <c r="AZ643" s="9">
        <f t="shared" ref="AZ643:AZ666" ca="1" si="421">IF(AND(AW643&lt;$M$3,AW643&gt;$M$4),AW643,#N/A)</f>
        <v>0.70881415009782978</v>
      </c>
      <c r="BA643" s="9"/>
      <c r="BB643" s="2">
        <f t="shared" ref="BB643:BB666" ca="1" si="422">IF(AND(AQ643&gt;0, AN643&gt;0),AQ643/AN643, #N/A)</f>
        <v>8.6929770553922801</v>
      </c>
      <c r="BC643" s="2">
        <f t="shared" ref="BC643:BC666" ca="1" si="423">$B$8*((BB643/$B$10)^$B$11)</f>
        <v>0.40047915846100374</v>
      </c>
      <c r="BD643" s="2">
        <f t="shared" ref="BD643:BD666" ca="1" si="424">BC643*AL643</f>
        <v>2.6401280529551912E-4</v>
      </c>
      <c r="BE643" s="2">
        <f t="shared" ref="BE643:BE666" ca="1" si="425">AP643-BD643</f>
        <v>0.1405256738724257</v>
      </c>
      <c r="BF643" s="2">
        <f t="shared" ref="BF643:BF666" ca="1" si="426">(BE643/AN643)/((BB643/$B$10)^$B$12)</f>
        <v>0.70881415009782978</v>
      </c>
      <c r="BG643" s="2">
        <f t="shared" ref="BG643:BG666" ca="1" si="427">(AK643/AN643)/((BB643/$B$10)^$B$13)</f>
        <v>5.3132856866647732E-2</v>
      </c>
      <c r="BH643" s="2">
        <f t="shared" ref="BH643:BH666" ca="1" si="428">IF(AND(BF643&lt;$P$3,BF643&gt;$P$4),BF643,"rejected")</f>
        <v>0.70881415009782978</v>
      </c>
      <c r="BI643" s="2">
        <f t="shared" ref="BI643:BI666" ca="1" si="429">IF(AND(BF643&lt;$P$3,BF643&gt;$P$4),BF643,#N/A)</f>
        <v>0.70881415009782978</v>
      </c>
    </row>
    <row r="644" spans="1:61" ht="15" x14ac:dyDescent="0.25">
      <c r="A644" s="66">
        <v>578</v>
      </c>
      <c r="B644" s="66">
        <v>1498730424.0179999</v>
      </c>
      <c r="C644" s="67">
        <v>3.9921029900312897E-5</v>
      </c>
      <c r="D644" s="67">
        <v>4.9043517361780903E-5</v>
      </c>
      <c r="E644" s="67">
        <v>1.11178123483492E-2</v>
      </c>
      <c r="F644" s="67">
        <v>7.26842710327422E-4</v>
      </c>
      <c r="G644" s="67">
        <v>1.24379709640963E-5</v>
      </c>
      <c r="H644" s="67">
        <v>0.20103017663323999</v>
      </c>
      <c r="I644" s="67">
        <v>4.9043517361780903E-5</v>
      </c>
      <c r="J644" s="67">
        <v>0.14533972318584601</v>
      </c>
      <c r="K644" s="67">
        <v>1.74454782224183</v>
      </c>
      <c r="L644" s="67"/>
      <c r="M644" s="67"/>
      <c r="N644" s="16"/>
      <c r="O644" s="11">
        <f t="shared" ca="1" si="387"/>
        <v>2.7117099190352869E-5</v>
      </c>
      <c r="P644" s="11">
        <f t="shared" ca="1" si="388"/>
        <v>4.8278417131476164E-5</v>
      </c>
      <c r="Q644" s="11">
        <f t="shared" ca="1" si="389"/>
        <v>1.0281320736080915E-2</v>
      </c>
      <c r="R644" s="11">
        <f t="shared" ca="1" si="390"/>
        <v>7.1519622268107483E-4</v>
      </c>
      <c r="S644" s="11">
        <f t="shared" ca="1" si="391"/>
        <v>1.5103189171261779E-6</v>
      </c>
      <c r="T644" s="11">
        <f t="shared" ca="1" si="392"/>
        <v>0.1998916215946577</v>
      </c>
      <c r="U644" s="11">
        <f t="shared" ca="1" si="393"/>
        <v>4.8278417131476164E-5</v>
      </c>
      <c r="V644" s="11">
        <f t="shared" ca="1" si="394"/>
        <v>0.14468952718015224</v>
      </c>
      <c r="W644" s="11">
        <f t="shared" ca="1" si="395"/>
        <v>1.737424973978325</v>
      </c>
      <c r="X644" s="11"/>
      <c r="Y644" s="2">
        <f t="shared" ca="1" si="396"/>
        <v>2.7117099190352869E-5</v>
      </c>
      <c r="Z644" s="11">
        <f t="shared" ca="1" si="397"/>
        <v>4.8278417131476164E-5</v>
      </c>
      <c r="AA644" s="2">
        <f t="shared" ca="1" si="398"/>
        <v>1.0280951370062744E-2</v>
      </c>
      <c r="AB644" s="2">
        <f t="shared" ca="1" si="399"/>
        <v>7.0625588610490509E-4</v>
      </c>
      <c r="AC644" s="2">
        <f t="shared" ca="1" si="400"/>
        <v>1.5103189171261779E-6</v>
      </c>
      <c r="AD644" s="2">
        <f t="shared" ca="1" si="401"/>
        <v>0.19982660478077749</v>
      </c>
      <c r="AE644" s="2">
        <f t="shared" ca="1" si="402"/>
        <v>4.8278417131476164E-5</v>
      </c>
      <c r="AF644" s="2">
        <f t="shared" ca="1" si="403"/>
        <v>0.14459351300213352</v>
      </c>
      <c r="AG644" s="2">
        <f t="shared" ca="1" si="404"/>
        <v>1.73738601365847</v>
      </c>
      <c r="AI644" s="2">
        <f t="shared" ca="1" si="405"/>
        <v>2.7117099190352869E-5</v>
      </c>
      <c r="AJ644" s="11">
        <f t="shared" ca="1" si="406"/>
        <v>4.8278417131476164E-5</v>
      </c>
      <c r="AK644" s="2">
        <f t="shared" ca="1" si="407"/>
        <v>1.0223991770633899E-2</v>
      </c>
      <c r="AL644" s="2">
        <f t="shared" ca="1" si="408"/>
        <v>6.7959641434997033E-4</v>
      </c>
      <c r="AM644" s="2">
        <f t="shared" ca="1" si="409"/>
        <v>1.5103189171261779E-6</v>
      </c>
      <c r="AN644" s="2">
        <f t="shared" ca="1" si="410"/>
        <v>0.19982660478077749</v>
      </c>
      <c r="AO644" s="2">
        <f t="shared" ca="1" si="411"/>
        <v>4.8278417131476164E-5</v>
      </c>
      <c r="AP644" s="2">
        <f t="shared" ca="1" si="412"/>
        <v>0.14459351300213352</v>
      </c>
      <c r="AQ644" s="2">
        <f t="shared" ca="1" si="413"/>
        <v>1.73738601365847</v>
      </c>
      <c r="AS644" s="2">
        <f t="shared" ca="1" si="414"/>
        <v>8.6918349059246385</v>
      </c>
      <c r="AT644" s="2">
        <f t="shared" ca="1" si="415"/>
        <v>0.40042590231200115</v>
      </c>
      <c r="AU644" s="2">
        <f t="shared" ca="1" si="416"/>
        <v>2.863830927972043E-4</v>
      </c>
      <c r="AV644" s="2">
        <f t="shared" ca="1" si="417"/>
        <v>0.14440314408735502</v>
      </c>
      <c r="AW644" s="2">
        <f t="shared" ca="1" si="418"/>
        <v>0.70903266192497161</v>
      </c>
      <c r="AX644" s="2">
        <f t="shared" ca="1" si="419"/>
        <v>5.3425037032873511E-2</v>
      </c>
      <c r="AY644" s="9">
        <f t="shared" ca="1" si="420"/>
        <v>0.70903266192497161</v>
      </c>
      <c r="AZ644" s="9">
        <f t="shared" ca="1" si="421"/>
        <v>0.70903266192497161</v>
      </c>
      <c r="BA644" s="9"/>
      <c r="BB644" s="2">
        <f t="shared" ca="1" si="422"/>
        <v>8.6944679641857157</v>
      </c>
      <c r="BC644" s="2">
        <f t="shared" ca="1" si="423"/>
        <v>0.40054867668865074</v>
      </c>
      <c r="BD644" s="2">
        <f t="shared" ca="1" si="424"/>
        <v>2.722114444502326E-4</v>
      </c>
      <c r="BE644" s="2">
        <f t="shared" ca="1" si="425"/>
        <v>0.1443213015576833</v>
      </c>
      <c r="BF644" s="2">
        <f t="shared" ca="1" si="426"/>
        <v>0.70875325574504056</v>
      </c>
      <c r="BG644" s="2">
        <f t="shared" ca="1" si="427"/>
        <v>5.3160896793646266E-2</v>
      </c>
      <c r="BH644" s="2">
        <f t="shared" ca="1" si="428"/>
        <v>0.70875325574504056</v>
      </c>
      <c r="BI644" s="2">
        <f t="shared" ca="1" si="429"/>
        <v>0.70875325574504056</v>
      </c>
    </row>
    <row r="645" spans="1:61" ht="15" x14ac:dyDescent="0.25">
      <c r="A645" s="66">
        <v>579</v>
      </c>
      <c r="B645" s="66">
        <v>1498730424.5450001</v>
      </c>
      <c r="C645" s="67">
        <v>4.2519567744249099E-5</v>
      </c>
      <c r="D645" s="67">
        <v>7.4263272144700496E-5</v>
      </c>
      <c r="E645" s="67">
        <v>1.0776311492269E-2</v>
      </c>
      <c r="F645" s="67">
        <v>7.6184526226350999E-4</v>
      </c>
      <c r="G645" s="67">
        <v>1.8405084703654499E-4</v>
      </c>
      <c r="H645" s="67">
        <v>0.193562122153844</v>
      </c>
      <c r="I645" s="67">
        <v>7.4263272144700496E-5</v>
      </c>
      <c r="J645" s="67">
        <v>0.13992695633892699</v>
      </c>
      <c r="K645" s="67">
        <v>1.68016596406556</v>
      </c>
      <c r="L645" s="67"/>
      <c r="M645" s="67"/>
      <c r="N645" s="16"/>
      <c r="O645" s="11">
        <f t="shared" ca="1" si="387"/>
        <v>2.9715637034289071E-5</v>
      </c>
      <c r="P645" s="11">
        <f t="shared" ca="1" si="388"/>
        <v>7.3498171914395758E-5</v>
      </c>
      <c r="Q645" s="11">
        <f t="shared" ca="1" si="389"/>
        <v>9.9398198800007154E-3</v>
      </c>
      <c r="R645" s="11">
        <f t="shared" ca="1" si="390"/>
        <v>7.5019877461716283E-4</v>
      </c>
      <c r="S645" s="11">
        <f t="shared" ca="1" si="391"/>
        <v>1.7312319498957488E-4</v>
      </c>
      <c r="T645" s="11">
        <f t="shared" ca="1" si="392"/>
        <v>0.19242356711526171</v>
      </c>
      <c r="U645" s="11">
        <f t="shared" ca="1" si="393"/>
        <v>7.3498171914395758E-5</v>
      </c>
      <c r="V645" s="11">
        <f t="shared" ca="1" si="394"/>
        <v>0.13927676033323322</v>
      </c>
      <c r="W645" s="11">
        <f t="shared" ca="1" si="395"/>
        <v>1.6730431158020549</v>
      </c>
      <c r="X645" s="11"/>
      <c r="Y645" s="2">
        <f t="shared" ca="1" si="396"/>
        <v>2.9715637034289071E-5</v>
      </c>
      <c r="Z645" s="11">
        <f t="shared" ca="1" si="397"/>
        <v>7.3498171914395758E-5</v>
      </c>
      <c r="AA645" s="2">
        <f t="shared" ca="1" si="398"/>
        <v>9.9392575639863177E-3</v>
      </c>
      <c r="AB645" s="2">
        <f t="shared" ca="1" si="399"/>
        <v>7.3658817108684374E-4</v>
      </c>
      <c r="AC645" s="2">
        <f t="shared" ca="1" si="400"/>
        <v>1.7312319498957488E-4</v>
      </c>
      <c r="AD645" s="2">
        <f t="shared" ca="1" si="401"/>
        <v>0.19232458671681821</v>
      </c>
      <c r="AE645" s="2">
        <f t="shared" ca="1" si="402"/>
        <v>7.3498171914395758E-5</v>
      </c>
      <c r="AF645" s="2">
        <f t="shared" ca="1" si="403"/>
        <v>0.13913059011926324</v>
      </c>
      <c r="AG645" s="2">
        <f t="shared" ca="1" si="404"/>
        <v>1.6729838033295947</v>
      </c>
      <c r="AI645" s="2">
        <f t="shared" ca="1" si="405"/>
        <v>2.9715637034289071E-5</v>
      </c>
      <c r="AJ645" s="11">
        <f t="shared" ca="1" si="406"/>
        <v>7.3498171914395758E-5</v>
      </c>
      <c r="AK645" s="2">
        <f t="shared" ca="1" si="407"/>
        <v>9.8525433202364555E-3</v>
      </c>
      <c r="AL645" s="2">
        <f t="shared" ca="1" si="408"/>
        <v>6.9600228292785338E-4</v>
      </c>
      <c r="AM645" s="2">
        <f t="shared" ca="1" si="409"/>
        <v>1.7312319498957488E-4</v>
      </c>
      <c r="AN645" s="2">
        <f t="shared" ca="1" si="410"/>
        <v>0.19232458671681821</v>
      </c>
      <c r="AO645" s="2">
        <f t="shared" ca="1" si="411"/>
        <v>7.3498171914395758E-5</v>
      </c>
      <c r="AP645" s="2">
        <f t="shared" ca="1" si="412"/>
        <v>0.13913059011926324</v>
      </c>
      <c r="AQ645" s="2">
        <f t="shared" ca="1" si="413"/>
        <v>1.6729838033295947</v>
      </c>
      <c r="AS645" s="2">
        <f t="shared" ca="1" si="414"/>
        <v>8.6945852885052393</v>
      </c>
      <c r="AT645" s="2">
        <f t="shared" ca="1" si="415"/>
        <v>0.40055414730357941</v>
      </c>
      <c r="AU645" s="2">
        <f t="shared" ca="1" si="416"/>
        <v>3.0049523047496779E-4</v>
      </c>
      <c r="AV645" s="2">
        <f t="shared" ca="1" si="417"/>
        <v>0.13897626510275826</v>
      </c>
      <c r="AW645" s="2">
        <f t="shared" ca="1" si="418"/>
        <v>0.7087570029569995</v>
      </c>
      <c r="AX645" s="2">
        <f t="shared" ca="1" si="419"/>
        <v>5.3672443411132573E-2</v>
      </c>
      <c r="AY645" s="9">
        <f t="shared" ca="1" si="420"/>
        <v>0.7087570029569995</v>
      </c>
      <c r="AZ645" s="9">
        <f t="shared" ca="1" si="421"/>
        <v>0.7087570029569995</v>
      </c>
      <c r="BA645" s="9"/>
      <c r="BB645" s="2">
        <f t="shared" ca="1" si="422"/>
        <v>8.6987515839195471</v>
      </c>
      <c r="BC645" s="2">
        <f t="shared" ca="1" si="423"/>
        <v>0.40074841449448645</v>
      </c>
      <c r="BD645" s="2">
        <f t="shared" ca="1" si="424"/>
        <v>2.7892181136788023E-4</v>
      </c>
      <c r="BE645" s="2">
        <f t="shared" ca="1" si="425"/>
        <v>0.13885166830789536</v>
      </c>
      <c r="BF645" s="2">
        <f t="shared" ca="1" si="426"/>
        <v>0.70831511029610816</v>
      </c>
      <c r="BG645" s="2">
        <f t="shared" ca="1" si="427"/>
        <v>5.3254652193977785E-2</v>
      </c>
      <c r="BH645" s="2">
        <f t="shared" ca="1" si="428"/>
        <v>0.70831511029610816</v>
      </c>
      <c r="BI645" s="2">
        <f t="shared" ca="1" si="429"/>
        <v>0.70831511029610816</v>
      </c>
    </row>
    <row r="646" spans="1:61" ht="15" x14ac:dyDescent="0.25">
      <c r="A646" s="66">
        <v>580</v>
      </c>
      <c r="B646" s="66">
        <v>1498730425.0710001</v>
      </c>
      <c r="C646" s="67">
        <v>7.0158982337740504E-5</v>
      </c>
      <c r="D646" s="67">
        <v>3.1113491866938899E-6</v>
      </c>
      <c r="E646" s="67">
        <v>1.0610978890875001E-2</v>
      </c>
      <c r="F646" s="67">
        <v>6.8303172047767498E-4</v>
      </c>
      <c r="G646" s="67">
        <v>9.4778769372235998E-5</v>
      </c>
      <c r="H646" s="67">
        <v>0.19178001742263201</v>
      </c>
      <c r="I646" s="67">
        <v>3.1113491866938899E-6</v>
      </c>
      <c r="J646" s="67">
        <v>0.13858806988924599</v>
      </c>
      <c r="K646" s="67">
        <v>1.6633652249944499</v>
      </c>
      <c r="L646" s="67"/>
      <c r="M646" s="67"/>
      <c r="N646" s="16"/>
      <c r="O646" s="11">
        <f t="shared" ca="1" si="387"/>
        <v>5.7355051627780476E-5</v>
      </c>
      <c r="P646" s="11">
        <f t="shared" ca="1" si="388"/>
        <v>2.3462489563891496E-6</v>
      </c>
      <c r="Q646" s="11">
        <f t="shared" ca="1" si="389"/>
        <v>9.7744872786067159E-3</v>
      </c>
      <c r="R646" s="11">
        <f t="shared" ca="1" si="390"/>
        <v>6.7138523283132782E-4</v>
      </c>
      <c r="S646" s="11">
        <f t="shared" ca="1" si="391"/>
        <v>8.385111732526587E-5</v>
      </c>
      <c r="T646" s="11">
        <f t="shared" ca="1" si="392"/>
        <v>0.19064146238404972</v>
      </c>
      <c r="U646" s="11">
        <f t="shared" ca="1" si="393"/>
        <v>2.3462489563891496E-6</v>
      </c>
      <c r="V646" s="11">
        <f t="shared" ca="1" si="394"/>
        <v>0.13793787388355222</v>
      </c>
      <c r="W646" s="11">
        <f t="shared" ca="1" si="395"/>
        <v>1.6562423767309449</v>
      </c>
      <c r="X646" s="11"/>
      <c r="Y646" s="2">
        <f t="shared" ca="1" si="396"/>
        <v>5.7355051627780476E-5</v>
      </c>
      <c r="Z646" s="11">
        <f t="shared" ca="1" si="397"/>
        <v>2.3462489563891496E-6</v>
      </c>
      <c r="AA646" s="2">
        <f t="shared" ca="1" si="398"/>
        <v>9.7744693280464832E-3</v>
      </c>
      <c r="AB646" s="2">
        <f t="shared" ca="1" si="399"/>
        <v>6.7095074768024087E-4</v>
      </c>
      <c r="AC646" s="2">
        <f t="shared" ca="1" si="400"/>
        <v>8.385111732526587E-5</v>
      </c>
      <c r="AD646" s="2">
        <f t="shared" ca="1" si="401"/>
        <v>0.1906383026774815</v>
      </c>
      <c r="AE646" s="2">
        <f t="shared" ca="1" si="402"/>
        <v>2.3462489563891496E-6</v>
      </c>
      <c r="AF646" s="2">
        <f t="shared" ca="1" si="403"/>
        <v>0.1379332077578099</v>
      </c>
      <c r="AG646" s="2">
        <f t="shared" ca="1" si="404"/>
        <v>1.656240483325667</v>
      </c>
      <c r="AI646" s="2">
        <f t="shared" ca="1" si="405"/>
        <v>5.7355051627780476E-5</v>
      </c>
      <c r="AJ646" s="11">
        <f t="shared" ca="1" si="406"/>
        <v>2.3462489563891496E-6</v>
      </c>
      <c r="AK646" s="2">
        <f t="shared" ca="1" si="407"/>
        <v>9.7717011883961639E-3</v>
      </c>
      <c r="AL646" s="2">
        <f t="shared" ca="1" si="408"/>
        <v>6.6965514269773786E-4</v>
      </c>
      <c r="AM646" s="2">
        <f t="shared" ca="1" si="409"/>
        <v>8.385111732526587E-5</v>
      </c>
      <c r="AN646" s="2">
        <f t="shared" ca="1" si="410"/>
        <v>0.1906383026774815</v>
      </c>
      <c r="AO646" s="2">
        <f t="shared" ca="1" si="411"/>
        <v>2.3462489563891496E-6</v>
      </c>
      <c r="AP646" s="2">
        <f t="shared" ca="1" si="412"/>
        <v>0.1379332077578099</v>
      </c>
      <c r="AQ646" s="2">
        <f t="shared" ca="1" si="413"/>
        <v>1.656240483325667</v>
      </c>
      <c r="AS646" s="2">
        <f t="shared" ca="1" si="414"/>
        <v>8.6877343260954589</v>
      </c>
      <c r="AT646" s="2">
        <f t="shared" ca="1" si="415"/>
        <v>0.40023470116218796</v>
      </c>
      <c r="AU646" s="2">
        <f t="shared" ca="1" si="416"/>
        <v>2.6871166802695248E-4</v>
      </c>
      <c r="AV646" s="2">
        <f t="shared" ca="1" si="417"/>
        <v>0.13766916221552528</v>
      </c>
      <c r="AW646" s="2">
        <f t="shared" ca="1" si="418"/>
        <v>0.70893545599902297</v>
      </c>
      <c r="AX646" s="2">
        <f t="shared" ca="1" si="419"/>
        <v>5.3230119162929815E-2</v>
      </c>
      <c r="AY646" s="9">
        <f t="shared" ca="1" si="420"/>
        <v>0.70893545599902297</v>
      </c>
      <c r="AZ646" s="9">
        <f t="shared" ca="1" si="421"/>
        <v>0.70893545599902297</v>
      </c>
      <c r="BA646" s="9"/>
      <c r="BB646" s="2">
        <f t="shared" ca="1" si="422"/>
        <v>8.6878683877482121</v>
      </c>
      <c r="BC646" s="2">
        <f t="shared" ca="1" si="423"/>
        <v>0.40024095214918487</v>
      </c>
      <c r="BD646" s="2">
        <f t="shared" ca="1" si="424"/>
        <v>2.6802341192494087E-4</v>
      </c>
      <c r="BE646" s="2">
        <f t="shared" ca="1" si="425"/>
        <v>0.13766518434588496</v>
      </c>
      <c r="BF646" s="2">
        <f t="shared" ca="1" si="426"/>
        <v>0.70892121251310058</v>
      </c>
      <c r="BG646" s="2">
        <f t="shared" ca="1" si="427"/>
        <v>5.3216668888461667E-2</v>
      </c>
      <c r="BH646" s="2">
        <f t="shared" ca="1" si="428"/>
        <v>0.70892121251310058</v>
      </c>
      <c r="BI646" s="2">
        <f t="shared" ca="1" si="429"/>
        <v>0.70892121251310058</v>
      </c>
    </row>
    <row r="647" spans="1:61" ht="15" x14ac:dyDescent="0.25">
      <c r="A647" s="66">
        <v>581</v>
      </c>
      <c r="B647" s="66">
        <v>1498730425.598</v>
      </c>
      <c r="C647" s="67">
        <v>-6.5195931186048505E-5</v>
      </c>
      <c r="D647" s="67">
        <v>7.0859294629721194E-5</v>
      </c>
      <c r="E647" s="67">
        <v>1.1086062332472399E-2</v>
      </c>
      <c r="F647" s="67">
        <v>5.4661089074175E-4</v>
      </c>
      <c r="G647" s="67">
        <v>9.4951325055649308E-6</v>
      </c>
      <c r="H647" s="67">
        <v>0.20270247210579301</v>
      </c>
      <c r="I647" s="67">
        <v>7.0859294629721194E-5</v>
      </c>
      <c r="J647" s="67">
        <v>0.14653973845250201</v>
      </c>
      <c r="K647" s="67">
        <v>1.75832097723074</v>
      </c>
      <c r="L647" s="67"/>
      <c r="M647" s="67"/>
      <c r="N647" s="16"/>
      <c r="O647" s="11">
        <f t="shared" ca="1" si="387"/>
        <v>-7.799986189600854E-5</v>
      </c>
      <c r="P647" s="11">
        <f t="shared" ca="1" si="388"/>
        <v>7.0094194399416456E-5</v>
      </c>
      <c r="Q647" s="11">
        <f t="shared" ca="1" si="389"/>
        <v>1.0249570720204115E-2</v>
      </c>
      <c r="R647" s="11">
        <f t="shared" ca="1" si="390"/>
        <v>5.3496440309540284E-4</v>
      </c>
      <c r="S647" s="11">
        <f t="shared" ca="1" si="391"/>
        <v>-1.4325195414051917E-6</v>
      </c>
      <c r="T647" s="11">
        <f t="shared" ca="1" si="392"/>
        <v>0.20156391706721072</v>
      </c>
      <c r="U647" s="11">
        <f t="shared" ca="1" si="393"/>
        <v>7.0094194399416456E-5</v>
      </c>
      <c r="V647" s="11">
        <f t="shared" ca="1" si="394"/>
        <v>0.14588954244680824</v>
      </c>
      <c r="W647" s="11">
        <f t="shared" ca="1" si="395"/>
        <v>1.7511981289672349</v>
      </c>
      <c r="X647" s="11"/>
      <c r="Y647" s="2">
        <f t="shared" ca="1" si="396"/>
        <v>-7.799986189600854E-5</v>
      </c>
      <c r="Z647" s="11">
        <f t="shared" ca="1" si="397"/>
        <v>7.0094194399416456E-5</v>
      </c>
      <c r="AA647" s="2">
        <f t="shared" ca="1" si="398"/>
        <v>1.0249034447164929E-2</v>
      </c>
      <c r="AB647" s="2">
        <f t="shared" ca="1" si="399"/>
        <v>5.2198415794238418E-4</v>
      </c>
      <c r="AC647" s="2">
        <f t="shared" ca="1" si="400"/>
        <v>-1.4325195414051917E-6</v>
      </c>
      <c r="AD647" s="2">
        <f t="shared" ca="1" si="401"/>
        <v>0.2014695208242904</v>
      </c>
      <c r="AE647" s="2">
        <f t="shared" ca="1" si="402"/>
        <v>7.0094194399416456E-5</v>
      </c>
      <c r="AF647" s="2">
        <f t="shared" ca="1" si="403"/>
        <v>0.14575014192667898</v>
      </c>
      <c r="AG647" s="2">
        <f t="shared" ca="1" si="404"/>
        <v>1.7511415634790513</v>
      </c>
      <c r="AI647" s="2">
        <f t="shared" ca="1" si="405"/>
        <v>-7.799986189600854E-5</v>
      </c>
      <c r="AJ647" s="11">
        <f t="shared" ca="1" si="406"/>
        <v>7.0094194399416456E-5</v>
      </c>
      <c r="AK647" s="2">
        <f t="shared" ca="1" si="407"/>
        <v>1.0166336267056713E-2</v>
      </c>
      <c r="AL647" s="2">
        <f t="shared" ca="1" si="408"/>
        <v>4.8327795532005695E-4</v>
      </c>
      <c r="AM647" s="2">
        <f t="shared" ca="1" si="409"/>
        <v>-1.4325195414051917E-6</v>
      </c>
      <c r="AN647" s="2">
        <f t="shared" ca="1" si="410"/>
        <v>0.2014695208242904</v>
      </c>
      <c r="AO647" s="2">
        <f t="shared" ca="1" si="411"/>
        <v>7.0094194399416456E-5</v>
      </c>
      <c r="AP647" s="2">
        <f t="shared" ca="1" si="412"/>
        <v>0.14575014192667898</v>
      </c>
      <c r="AQ647" s="2">
        <f t="shared" ca="1" si="413"/>
        <v>1.7511415634790513</v>
      </c>
      <c r="AS647" s="2">
        <f t="shared" ca="1" si="414"/>
        <v>8.6880536677767815</v>
      </c>
      <c r="AT647" s="2">
        <f t="shared" ca="1" si="415"/>
        <v>0.40024959133334959</v>
      </c>
      <c r="AU647" s="2">
        <f t="shared" ca="1" si="416"/>
        <v>2.1411928371682429E-4</v>
      </c>
      <c r="AV647" s="2">
        <f t="shared" ca="1" si="417"/>
        <v>0.14567542316309143</v>
      </c>
      <c r="AW647" s="2">
        <f t="shared" ca="1" si="418"/>
        <v>0.70950073254015955</v>
      </c>
      <c r="AX647" s="2">
        <f t="shared" ca="1" si="419"/>
        <v>5.2794664549529795E-2</v>
      </c>
      <c r="AY647" s="9">
        <f t="shared" ca="1" si="420"/>
        <v>0.70950073254015955</v>
      </c>
      <c r="AZ647" s="9">
        <f t="shared" ca="1" si="421"/>
        <v>0.70950073254015955</v>
      </c>
      <c r="BA647" s="9"/>
      <c r="BB647" s="2">
        <f t="shared" ca="1" si="422"/>
        <v>8.6918435915986105</v>
      </c>
      <c r="BC647" s="2">
        <f t="shared" ca="1" si="423"/>
        <v>0.40042630730731443</v>
      </c>
      <c r="BD647" s="2">
        <f t="shared" ca="1" si="424"/>
        <v>1.9351720705183969E-4</v>
      </c>
      <c r="BE647" s="2">
        <f t="shared" ca="1" si="425"/>
        <v>0.14555662471962713</v>
      </c>
      <c r="BF647" s="2">
        <f t="shared" ca="1" si="426"/>
        <v>0.70909853442759729</v>
      </c>
      <c r="BG647" s="2">
        <f t="shared" ca="1" si="427"/>
        <v>5.2413851818232604E-2</v>
      </c>
      <c r="BH647" s="2">
        <f t="shared" ca="1" si="428"/>
        <v>0.70909853442759729</v>
      </c>
      <c r="BI647" s="2">
        <f t="shared" ca="1" si="429"/>
        <v>0.70909853442759729</v>
      </c>
    </row>
    <row r="648" spans="1:61" ht="15" x14ac:dyDescent="0.25">
      <c r="A648" s="66">
        <v>582</v>
      </c>
      <c r="B648" s="66">
        <v>1498730426.125</v>
      </c>
      <c r="C648" s="67">
        <v>1.65244251589724E-6</v>
      </c>
      <c r="D648" s="67">
        <v>-5.4533656073562503E-5</v>
      </c>
      <c r="E648" s="67">
        <v>1.15872035610686E-2</v>
      </c>
      <c r="F648" s="67">
        <v>7.1327062219253003E-4</v>
      </c>
      <c r="G648" s="67">
        <v>-3.7507781491706002E-5</v>
      </c>
      <c r="H648" s="67">
        <v>0.21232565816924601</v>
      </c>
      <c r="I648" s="67">
        <v>-5.4533656073562503E-5</v>
      </c>
      <c r="J648" s="67">
        <v>0.153543793252269</v>
      </c>
      <c r="K648" s="67">
        <v>1.84190688663791</v>
      </c>
      <c r="L648" s="67"/>
      <c r="M648" s="67"/>
      <c r="N648" s="16"/>
      <c r="O648" s="11">
        <f t="shared" ca="1" si="387"/>
        <v>-1.1151488194062787E-5</v>
      </c>
      <c r="P648" s="11">
        <f t="shared" ca="1" si="388"/>
        <v>-5.5298756303867242E-5</v>
      </c>
      <c r="Q648" s="11">
        <f t="shared" ca="1" si="389"/>
        <v>1.0750711948800316E-2</v>
      </c>
      <c r="R648" s="11">
        <f t="shared" ca="1" si="390"/>
        <v>7.0162413454618287E-4</v>
      </c>
      <c r="S648" s="11">
        <f t="shared" ca="1" si="391"/>
        <v>-4.8435433538676123E-5</v>
      </c>
      <c r="T648" s="11">
        <f t="shared" ca="1" si="392"/>
        <v>0.21118710313066372</v>
      </c>
      <c r="U648" s="11">
        <f t="shared" ca="1" si="393"/>
        <v>-5.5298756303867242E-5</v>
      </c>
      <c r="V648" s="11">
        <f t="shared" ca="1" si="394"/>
        <v>0.15289359724657522</v>
      </c>
      <c r="W648" s="11">
        <f t="shared" ca="1" si="395"/>
        <v>1.834784038374405</v>
      </c>
      <c r="X648" s="11"/>
      <c r="Y648" s="2">
        <f t="shared" ca="1" si="396"/>
        <v>-1.1151488194062787E-5</v>
      </c>
      <c r="Z648" s="11">
        <f t="shared" ca="1" si="397"/>
        <v>-5.5298756303867242E-5</v>
      </c>
      <c r="AA648" s="2">
        <f t="shared" ca="1" si="398"/>
        <v>1.0750711948800316E-2</v>
      </c>
      <c r="AB648" s="2">
        <f t="shared" ca="1" si="399"/>
        <v>7.0162413454618287E-4</v>
      </c>
      <c r="AC648" s="2">
        <f t="shared" ca="1" si="400"/>
        <v>-4.8435433538676123E-5</v>
      </c>
      <c r="AD648" s="2">
        <f t="shared" ca="1" si="401"/>
        <v>0.21118710313066372</v>
      </c>
      <c r="AE648" s="2">
        <f t="shared" ca="1" si="402"/>
        <v>-5.5298756303867242E-5</v>
      </c>
      <c r="AF648" s="2">
        <f t="shared" ca="1" si="403"/>
        <v>0.15289359724657522</v>
      </c>
      <c r="AG648" s="2">
        <f t="shared" ca="1" si="404"/>
        <v>1.834784038374405</v>
      </c>
      <c r="AI648" s="2">
        <f t="shared" ca="1" si="405"/>
        <v>-1.1151488194062787E-5</v>
      </c>
      <c r="AJ648" s="11">
        <f t="shared" ca="1" si="406"/>
        <v>-5.5298756303867242E-5</v>
      </c>
      <c r="AK648" s="2">
        <f t="shared" ca="1" si="407"/>
        <v>1.0750711948800316E-2</v>
      </c>
      <c r="AL648" s="2">
        <f t="shared" ca="1" si="408"/>
        <v>7.0162413454618287E-4</v>
      </c>
      <c r="AM648" s="2">
        <f t="shared" ca="1" si="409"/>
        <v>-4.8435433538676123E-5</v>
      </c>
      <c r="AN648" s="2">
        <f t="shared" ca="1" si="410"/>
        <v>0.21118710313066372</v>
      </c>
      <c r="AO648" s="2">
        <f t="shared" ca="1" si="411"/>
        <v>-5.5298756303867242E-5</v>
      </c>
      <c r="AP648" s="2">
        <f t="shared" ca="1" si="412"/>
        <v>0.15289359724657522</v>
      </c>
      <c r="AQ648" s="2">
        <f t="shared" ca="1" si="413"/>
        <v>1.834784038374405</v>
      </c>
      <c r="AS648" s="2">
        <f t="shared" ca="1" si="414"/>
        <v>8.6879549516771597</v>
      </c>
      <c r="AT648" s="2">
        <f t="shared" ca="1" si="415"/>
        <v>0.40024498842702028</v>
      </c>
      <c r="AU648" s="2">
        <f t="shared" ca="1" si="416"/>
        <v>2.8082154361155508E-4</v>
      </c>
      <c r="AV648" s="2">
        <f t="shared" ca="1" si="417"/>
        <v>0.15261277570296367</v>
      </c>
      <c r="AW648" s="2">
        <f t="shared" ca="1" si="418"/>
        <v>0.70942311159687943</v>
      </c>
      <c r="AX648" s="2">
        <f t="shared" ca="1" si="419"/>
        <v>5.2852061460934636E-2</v>
      </c>
      <c r="AY648" s="9">
        <f t="shared" ca="1" si="420"/>
        <v>0.70942311159687943</v>
      </c>
      <c r="AZ648" s="9">
        <f t="shared" ca="1" si="421"/>
        <v>0.70942311159687943</v>
      </c>
      <c r="BA648" s="9"/>
      <c r="BB648" s="2">
        <f t="shared" ca="1" si="422"/>
        <v>8.6879549516771597</v>
      </c>
      <c r="BC648" s="2">
        <f t="shared" ca="1" si="423"/>
        <v>0.40024498842702028</v>
      </c>
      <c r="BD648" s="2">
        <f t="shared" ca="1" si="424"/>
        <v>2.8082154361155508E-4</v>
      </c>
      <c r="BE648" s="2">
        <f t="shared" ca="1" si="425"/>
        <v>0.15261277570296367</v>
      </c>
      <c r="BF648" s="2">
        <f t="shared" ca="1" si="426"/>
        <v>0.70942311159687943</v>
      </c>
      <c r="BG648" s="2">
        <f t="shared" ca="1" si="427"/>
        <v>5.2852061460934636E-2</v>
      </c>
      <c r="BH648" s="2">
        <f t="shared" ca="1" si="428"/>
        <v>0.70942311159687943</v>
      </c>
      <c r="BI648" s="2">
        <f t="shared" ca="1" si="429"/>
        <v>0.70942311159687943</v>
      </c>
    </row>
    <row r="649" spans="1:61" ht="15" x14ac:dyDescent="0.25">
      <c r="A649" s="66">
        <v>583</v>
      </c>
      <c r="B649" s="66">
        <v>1498730426.652</v>
      </c>
      <c r="C649" s="67">
        <v>4.9134058419861702E-5</v>
      </c>
      <c r="D649" s="67">
        <v>2.5791243071345801E-5</v>
      </c>
      <c r="E649" s="67">
        <v>1.1706811667818701E-2</v>
      </c>
      <c r="F649" s="67">
        <v>7.2874757955800897E-4</v>
      </c>
      <c r="G649" s="67">
        <v>4.3119334540134701E-5</v>
      </c>
      <c r="H649" s="67">
        <v>0.21441969794510801</v>
      </c>
      <c r="I649" s="67">
        <v>2.5791243071345801E-5</v>
      </c>
      <c r="J649" s="67">
        <v>0.155221318895789</v>
      </c>
      <c r="K649" s="67">
        <v>1.86169598531543</v>
      </c>
      <c r="L649" s="67"/>
      <c r="M649" s="67"/>
      <c r="N649" s="16"/>
      <c r="O649" s="11">
        <f t="shared" ca="1" si="387"/>
        <v>3.6330127709901674E-5</v>
      </c>
      <c r="P649" s="11">
        <f t="shared" ca="1" si="388"/>
        <v>2.5026142841041059E-5</v>
      </c>
      <c r="Q649" s="11">
        <f t="shared" ca="1" si="389"/>
        <v>1.0870320055550416E-2</v>
      </c>
      <c r="R649" s="11">
        <f t="shared" ca="1" si="390"/>
        <v>7.1710109191166181E-4</v>
      </c>
      <c r="S649" s="11">
        <f t="shared" ca="1" si="391"/>
        <v>3.2191682493164581E-5</v>
      </c>
      <c r="T649" s="11">
        <f t="shared" ca="1" si="392"/>
        <v>0.21328114290652572</v>
      </c>
      <c r="U649" s="11">
        <f t="shared" ca="1" si="393"/>
        <v>2.5026142841041059E-5</v>
      </c>
      <c r="V649" s="11">
        <f t="shared" ca="1" si="394"/>
        <v>0.15457112289009522</v>
      </c>
      <c r="W649" s="11">
        <f t="shared" ca="1" si="395"/>
        <v>1.8545731370519249</v>
      </c>
      <c r="X649" s="11"/>
      <c r="Y649" s="2">
        <f t="shared" ca="1" si="396"/>
        <v>3.6330127709901674E-5</v>
      </c>
      <c r="Z649" s="11">
        <f t="shared" ca="1" si="397"/>
        <v>2.5026142841041059E-5</v>
      </c>
      <c r="AA649" s="2">
        <f t="shared" ca="1" si="398"/>
        <v>1.0870128586830424E-2</v>
      </c>
      <c r="AB649" s="2">
        <f t="shared" ca="1" si="399"/>
        <v>7.1246667857551428E-4</v>
      </c>
      <c r="AC649" s="2">
        <f t="shared" ca="1" si="400"/>
        <v>3.2191682493164581E-5</v>
      </c>
      <c r="AD649" s="2">
        <f t="shared" ca="1" si="401"/>
        <v>0.21324744006024549</v>
      </c>
      <c r="AE649" s="2">
        <f t="shared" ca="1" si="402"/>
        <v>2.5026142841041059E-5</v>
      </c>
      <c r="AF649" s="2">
        <f t="shared" ca="1" si="403"/>
        <v>0.15452135190180208</v>
      </c>
      <c r="AG649" s="2">
        <f t="shared" ca="1" si="404"/>
        <v>1.854552941142702</v>
      </c>
      <c r="AI649" s="2">
        <f t="shared" ca="1" si="405"/>
        <v>3.6330127709901674E-5</v>
      </c>
      <c r="AJ649" s="11">
        <f t="shared" ca="1" si="406"/>
        <v>2.5026142841041059E-5</v>
      </c>
      <c r="AK649" s="2">
        <f t="shared" ca="1" si="407"/>
        <v>1.0840602368777484E-2</v>
      </c>
      <c r="AL649" s="2">
        <f t="shared" ca="1" si="408"/>
        <v>6.9864717520636357E-4</v>
      </c>
      <c r="AM649" s="2">
        <f t="shared" ca="1" si="409"/>
        <v>3.2191682493164581E-5</v>
      </c>
      <c r="AN649" s="2">
        <f t="shared" ca="1" si="410"/>
        <v>0.21324744006024549</v>
      </c>
      <c r="AO649" s="2">
        <f t="shared" ca="1" si="411"/>
        <v>2.5026142841041059E-5</v>
      </c>
      <c r="AP649" s="2">
        <f t="shared" ca="1" si="412"/>
        <v>0.15452135190180208</v>
      </c>
      <c r="AQ649" s="2">
        <f t="shared" ca="1" si="413"/>
        <v>1.854552941142702</v>
      </c>
      <c r="AS649" s="2">
        <f t="shared" ca="1" si="414"/>
        <v>8.6954388549236388</v>
      </c>
      <c r="AT649" s="2">
        <f t="shared" ca="1" si="415"/>
        <v>0.40059394754595218</v>
      </c>
      <c r="AU649" s="2">
        <f t="shared" ca="1" si="416"/>
        <v>2.8726635719840529E-4</v>
      </c>
      <c r="AV649" s="2">
        <f t="shared" ca="1" si="417"/>
        <v>0.15428385653289681</v>
      </c>
      <c r="AW649" s="2">
        <f t="shared" ca="1" si="418"/>
        <v>0.70984175945794414</v>
      </c>
      <c r="AX649" s="2">
        <f t="shared" ca="1" si="419"/>
        <v>5.296202843620465E-2</v>
      </c>
      <c r="AY649" s="9" t="str">
        <f t="shared" ca="1" si="420"/>
        <v>rejected</v>
      </c>
      <c r="AZ649" s="9" t="e">
        <f t="shared" ca="1" si="421"/>
        <v>#N/A</v>
      </c>
      <c r="BA649" s="9"/>
      <c r="BB649" s="2">
        <f t="shared" ca="1" si="422"/>
        <v>8.6967184254064858</v>
      </c>
      <c r="BC649" s="2">
        <f t="shared" ca="1" si="423"/>
        <v>0.40065361166817581</v>
      </c>
      <c r="BD649" s="2">
        <f t="shared" ca="1" si="424"/>
        <v>2.7991551402819836E-4</v>
      </c>
      <c r="BE649" s="2">
        <f t="shared" ca="1" si="425"/>
        <v>0.15424143638777388</v>
      </c>
      <c r="BF649" s="2">
        <f t="shared" ca="1" si="426"/>
        <v>0.70970615452629193</v>
      </c>
      <c r="BG649" s="2">
        <f t="shared" ca="1" si="427"/>
        <v>5.2833540663550893E-2</v>
      </c>
      <c r="BH649" s="2" t="str">
        <f t="shared" ca="1" si="428"/>
        <v>rejected</v>
      </c>
      <c r="BI649" s="2" t="e">
        <f t="shared" ca="1" si="429"/>
        <v>#N/A</v>
      </c>
    </row>
    <row r="650" spans="1:61" ht="15" x14ac:dyDescent="0.25">
      <c r="A650" s="66">
        <v>584</v>
      </c>
      <c r="B650" s="66">
        <v>1498730427.1789999</v>
      </c>
      <c r="C650" s="67">
        <v>4.8189128480829697E-5</v>
      </c>
      <c r="D650" s="67">
        <v>-1.51469218096564E-5</v>
      </c>
      <c r="E650" s="67">
        <v>1.16288361655091E-2</v>
      </c>
      <c r="F650" s="67">
        <v>9.0663074920867303E-4</v>
      </c>
      <c r="G650" s="67">
        <v>1.05594624293621E-4</v>
      </c>
      <c r="H650" s="67">
        <v>0.21204055773977201</v>
      </c>
      <c r="I650" s="67">
        <v>-1.51469218096564E-5</v>
      </c>
      <c r="J650" s="67">
        <v>0.15349979761843299</v>
      </c>
      <c r="K650" s="67">
        <v>1.84042258112965</v>
      </c>
      <c r="L650" s="67"/>
      <c r="M650" s="67"/>
      <c r="N650" s="16"/>
      <c r="O650" s="11">
        <f t="shared" ca="1" si="387"/>
        <v>3.5385197770869669E-5</v>
      </c>
      <c r="P650" s="11">
        <f t="shared" ca="1" si="388"/>
        <v>-1.591202203996114E-5</v>
      </c>
      <c r="Q650" s="11">
        <f t="shared" ca="1" si="389"/>
        <v>1.0792344553240815E-2</v>
      </c>
      <c r="R650" s="11">
        <f t="shared" ca="1" si="390"/>
        <v>8.9498426156232587E-4</v>
      </c>
      <c r="S650" s="11">
        <f t="shared" ca="1" si="391"/>
        <v>9.4666972246650868E-5</v>
      </c>
      <c r="T650" s="11">
        <f t="shared" ca="1" si="392"/>
        <v>0.21090200270118972</v>
      </c>
      <c r="U650" s="11">
        <f t="shared" ca="1" si="393"/>
        <v>-1.591202203996114E-5</v>
      </c>
      <c r="V650" s="11">
        <f t="shared" ca="1" si="394"/>
        <v>0.15284960161273922</v>
      </c>
      <c r="W650" s="11">
        <f t="shared" ca="1" si="395"/>
        <v>1.8332997328661449</v>
      </c>
      <c r="X650" s="11"/>
      <c r="Y650" s="2">
        <f t="shared" ca="1" si="396"/>
        <v>3.5385197770869669E-5</v>
      </c>
      <c r="Z650" s="11">
        <f t="shared" ca="1" si="397"/>
        <v>-1.591202203996114E-5</v>
      </c>
      <c r="AA650" s="2">
        <f t="shared" ca="1" si="398"/>
        <v>1.0792344553240815E-2</v>
      </c>
      <c r="AB650" s="2">
        <f t="shared" ca="1" si="399"/>
        <v>8.9498426156232587E-4</v>
      </c>
      <c r="AC650" s="2">
        <f t="shared" ca="1" si="400"/>
        <v>9.4666972246650868E-5</v>
      </c>
      <c r="AD650" s="2">
        <f t="shared" ca="1" si="401"/>
        <v>0.21090200270118972</v>
      </c>
      <c r="AE650" s="2">
        <f t="shared" ca="1" si="402"/>
        <v>-1.591202203996114E-5</v>
      </c>
      <c r="AF650" s="2">
        <f t="shared" ca="1" si="403"/>
        <v>0.15284960161273922</v>
      </c>
      <c r="AG650" s="2">
        <f t="shared" ca="1" si="404"/>
        <v>1.8332997328661449</v>
      </c>
      <c r="AI650" s="2">
        <f t="shared" ca="1" si="405"/>
        <v>3.5385197770869669E-5</v>
      </c>
      <c r="AJ650" s="11">
        <f t="shared" ca="1" si="406"/>
        <v>-1.591202203996114E-5</v>
      </c>
      <c r="AK650" s="2">
        <f t="shared" ca="1" si="407"/>
        <v>1.0792344553240815E-2</v>
      </c>
      <c r="AL650" s="2">
        <f t="shared" ca="1" si="408"/>
        <v>8.9498426156232587E-4</v>
      </c>
      <c r="AM650" s="2">
        <f t="shared" ca="1" si="409"/>
        <v>9.4666972246650868E-5</v>
      </c>
      <c r="AN650" s="2">
        <f t="shared" ca="1" si="410"/>
        <v>0.21090200270118972</v>
      </c>
      <c r="AO650" s="2">
        <f t="shared" ca="1" si="411"/>
        <v>-1.591202203996114E-5</v>
      </c>
      <c r="AP650" s="2">
        <f t="shared" ca="1" si="412"/>
        <v>0.15284960161273922</v>
      </c>
      <c r="AQ650" s="2">
        <f t="shared" ca="1" si="413"/>
        <v>1.8332997328661449</v>
      </c>
      <c r="AS650" s="2">
        <f t="shared" ca="1" si="414"/>
        <v>8.6926615650189039</v>
      </c>
      <c r="AT650" s="2">
        <f t="shared" ca="1" si="415"/>
        <v>0.40046444776638845</v>
      </c>
      <c r="AU650" s="2">
        <f t="shared" ca="1" si="416"/>
        <v>3.5840937806616579E-4</v>
      </c>
      <c r="AV650" s="2">
        <f t="shared" ca="1" si="417"/>
        <v>0.15249119223467306</v>
      </c>
      <c r="AW650" s="2">
        <f t="shared" ca="1" si="418"/>
        <v>0.70962260248026354</v>
      </c>
      <c r="AX650" s="2">
        <f t="shared" ca="1" si="419"/>
        <v>5.3157907453860218E-2</v>
      </c>
      <c r="AY650" s="9" t="str">
        <f t="shared" ca="1" si="420"/>
        <v>rejected</v>
      </c>
      <c r="AZ650" s="9" t="e">
        <f t="shared" ca="1" si="421"/>
        <v>#N/A</v>
      </c>
      <c r="BA650" s="9"/>
      <c r="BB650" s="2">
        <f t="shared" ca="1" si="422"/>
        <v>8.6926615650189039</v>
      </c>
      <c r="BC650" s="2">
        <f t="shared" ca="1" si="423"/>
        <v>0.40046444776638845</v>
      </c>
      <c r="BD650" s="2">
        <f t="shared" ca="1" si="424"/>
        <v>3.5840937806616579E-4</v>
      </c>
      <c r="BE650" s="2">
        <f t="shared" ca="1" si="425"/>
        <v>0.15249119223467306</v>
      </c>
      <c r="BF650" s="2">
        <f t="shared" ca="1" si="426"/>
        <v>0.70962260248026354</v>
      </c>
      <c r="BG650" s="2">
        <f t="shared" ca="1" si="427"/>
        <v>5.3157907453860218E-2</v>
      </c>
      <c r="BH650" s="2" t="str">
        <f t="shared" ca="1" si="428"/>
        <v>rejected</v>
      </c>
      <c r="BI650" s="2" t="e">
        <f t="shared" ca="1" si="429"/>
        <v>#N/A</v>
      </c>
    </row>
    <row r="651" spans="1:61" ht="15" x14ac:dyDescent="0.25">
      <c r="A651" s="66">
        <v>585</v>
      </c>
      <c r="B651" s="66">
        <v>1498730427.7060001</v>
      </c>
      <c r="C651" s="67">
        <v>-3.9449211014029703E-5</v>
      </c>
      <c r="D651" s="67">
        <v>5.3770255918381703E-5</v>
      </c>
      <c r="E651" s="67">
        <v>1.14914310154739E-2</v>
      </c>
      <c r="F651" s="67">
        <v>7.3446220904312197E-4</v>
      </c>
      <c r="G651" s="67">
        <v>1.3756391000451201E-5</v>
      </c>
      <c r="H651" s="67">
        <v>0.20937086473496799</v>
      </c>
      <c r="I651" s="67">
        <v>5.3770255918381703E-5</v>
      </c>
      <c r="J651" s="67">
        <v>0.151372888735162</v>
      </c>
      <c r="K651" s="67">
        <v>1.81802126709555</v>
      </c>
      <c r="L651" s="67"/>
      <c r="M651" s="67"/>
      <c r="N651" s="16"/>
      <c r="O651" s="11">
        <f t="shared" ca="1" si="387"/>
        <v>-5.2253141723989731E-5</v>
      </c>
      <c r="P651" s="11">
        <f t="shared" ca="1" si="388"/>
        <v>5.3005155688076964E-5</v>
      </c>
      <c r="Q651" s="11">
        <f t="shared" ca="1" si="389"/>
        <v>1.0654939403205615E-2</v>
      </c>
      <c r="R651" s="11">
        <f t="shared" ca="1" si="390"/>
        <v>7.2281572139677481E-4</v>
      </c>
      <c r="S651" s="11">
        <f t="shared" ca="1" si="391"/>
        <v>2.8287389534810782E-6</v>
      </c>
      <c r="T651" s="11">
        <f t="shared" ca="1" si="392"/>
        <v>0.2082323096963857</v>
      </c>
      <c r="U651" s="11">
        <f t="shared" ca="1" si="393"/>
        <v>5.3005155688076964E-5</v>
      </c>
      <c r="V651" s="11">
        <f t="shared" ca="1" si="394"/>
        <v>0.15072269272946823</v>
      </c>
      <c r="W651" s="11">
        <f t="shared" ca="1" si="395"/>
        <v>1.8108984188320449</v>
      </c>
      <c r="X651" s="11"/>
      <c r="Y651" s="2">
        <f t="shared" ca="1" si="396"/>
        <v>-5.2253141723989731E-5</v>
      </c>
      <c r="Z651" s="11">
        <f t="shared" ca="1" si="397"/>
        <v>5.3005155688076964E-5</v>
      </c>
      <c r="AA651" s="2">
        <f t="shared" ca="1" si="398"/>
        <v>1.0654533874100432E-2</v>
      </c>
      <c r="AB651" s="2">
        <f t="shared" ca="1" si="399"/>
        <v>7.1300007373721781E-4</v>
      </c>
      <c r="AC651" s="2">
        <f t="shared" ca="1" si="400"/>
        <v>2.8287389534810782E-6</v>
      </c>
      <c r="AD651" s="2">
        <f t="shared" ca="1" si="401"/>
        <v>0.20816092735730282</v>
      </c>
      <c r="AE651" s="2">
        <f t="shared" ca="1" si="402"/>
        <v>5.3005155688076964E-5</v>
      </c>
      <c r="AF651" s="2">
        <f t="shared" ca="1" si="403"/>
        <v>0.15061727820354692</v>
      </c>
      <c r="AG651" s="2">
        <f t="shared" ca="1" si="404"/>
        <v>1.8108556440696921</v>
      </c>
      <c r="AI651" s="2">
        <f t="shared" ca="1" si="405"/>
        <v>-5.2253141723989731E-5</v>
      </c>
      <c r="AJ651" s="11">
        <f t="shared" ca="1" si="406"/>
        <v>5.3005155688076964E-5</v>
      </c>
      <c r="AK651" s="2">
        <f t="shared" ca="1" si="407"/>
        <v>1.0591997597746665E-2</v>
      </c>
      <c r="AL651" s="2">
        <f t="shared" ca="1" si="408"/>
        <v>6.8373048424168908E-4</v>
      </c>
      <c r="AM651" s="2">
        <f t="shared" ca="1" si="409"/>
        <v>2.8287389534810782E-6</v>
      </c>
      <c r="AN651" s="2">
        <f t="shared" ca="1" si="410"/>
        <v>0.20816092735730282</v>
      </c>
      <c r="AO651" s="2">
        <f t="shared" ca="1" si="411"/>
        <v>5.3005155688076964E-5</v>
      </c>
      <c r="AP651" s="2">
        <f t="shared" ca="1" si="412"/>
        <v>0.15061727820354692</v>
      </c>
      <c r="AQ651" s="2">
        <f t="shared" ca="1" si="413"/>
        <v>1.8108556440696921</v>
      </c>
      <c r="AS651" s="2">
        <f t="shared" ca="1" si="414"/>
        <v>8.696529474568262</v>
      </c>
      <c r="AT651" s="2">
        <f t="shared" ca="1" si="415"/>
        <v>0.40064480121605039</v>
      </c>
      <c r="AU651" s="2">
        <f t="shared" ca="1" si="416"/>
        <v>2.895923610148469E-4</v>
      </c>
      <c r="AV651" s="2">
        <f t="shared" ca="1" si="417"/>
        <v>0.15043310036845339</v>
      </c>
      <c r="AW651" s="2">
        <f t="shared" ca="1" si="418"/>
        <v>0.70886148232954571</v>
      </c>
      <c r="AX651" s="2">
        <f t="shared" ca="1" si="419"/>
        <v>5.3178164135278809E-2</v>
      </c>
      <c r="AY651" s="9">
        <f t="shared" ca="1" si="420"/>
        <v>0.70886148232954571</v>
      </c>
      <c r="AZ651" s="9">
        <f t="shared" ca="1" si="421"/>
        <v>0.70886148232954571</v>
      </c>
      <c r="BA651" s="9"/>
      <c r="BB651" s="2">
        <f t="shared" ca="1" si="422"/>
        <v>8.6993061909327754</v>
      </c>
      <c r="BC651" s="2">
        <f t="shared" ca="1" si="423"/>
        <v>0.40077427495094808</v>
      </c>
      <c r="BD651" s="2">
        <f t="shared" ca="1" si="424"/>
        <v>2.740215890838236E-4</v>
      </c>
      <c r="BE651" s="2">
        <f t="shared" ca="1" si="425"/>
        <v>0.1503432566144631</v>
      </c>
      <c r="BF651" s="2">
        <f t="shared" ca="1" si="426"/>
        <v>0.70856713991605469</v>
      </c>
      <c r="BG651" s="2">
        <f t="shared" ca="1" si="427"/>
        <v>5.2899430829032708E-2</v>
      </c>
      <c r="BH651" s="2">
        <f t="shared" ca="1" si="428"/>
        <v>0.70856713991605469</v>
      </c>
      <c r="BI651" s="2">
        <f t="shared" ca="1" si="429"/>
        <v>0.70856713991605469</v>
      </c>
    </row>
    <row r="652" spans="1:61" ht="15" x14ac:dyDescent="0.25">
      <c r="A652" s="66">
        <v>586</v>
      </c>
      <c r="B652" s="66">
        <v>1498730428.233</v>
      </c>
      <c r="C652" s="67">
        <v>8.7404477238627298E-5</v>
      </c>
      <c r="D652" s="67">
        <v>8.9934485601749692E-6</v>
      </c>
      <c r="E652" s="67">
        <v>1.1383878195754401E-2</v>
      </c>
      <c r="F652" s="67">
        <v>7.8232351433823696E-4</v>
      </c>
      <c r="G652" s="67">
        <v>4.9280206504289496E-6</v>
      </c>
      <c r="H652" s="67">
        <v>0.20645345335255499</v>
      </c>
      <c r="I652" s="67">
        <v>8.9934485601749692E-6</v>
      </c>
      <c r="J652" s="67">
        <v>0.14938438820487501</v>
      </c>
      <c r="K652" s="67">
        <v>1.7915094778348599</v>
      </c>
      <c r="L652" s="67"/>
      <c r="M652" s="67"/>
      <c r="N652" s="16"/>
      <c r="O652" s="11">
        <f t="shared" ca="1" si="387"/>
        <v>7.4600546528667263E-5</v>
      </c>
      <c r="P652" s="11">
        <f t="shared" ca="1" si="388"/>
        <v>8.2283483298702289E-6</v>
      </c>
      <c r="Q652" s="11">
        <f t="shared" ca="1" si="389"/>
        <v>1.0547386583486116E-2</v>
      </c>
      <c r="R652" s="11">
        <f t="shared" ca="1" si="390"/>
        <v>7.7067702669188979E-4</v>
      </c>
      <c r="S652" s="11">
        <f t="shared" ca="1" si="391"/>
        <v>-5.9996313965411728E-6</v>
      </c>
      <c r="T652" s="11">
        <f t="shared" ca="1" si="392"/>
        <v>0.2053148983139727</v>
      </c>
      <c r="U652" s="11">
        <f t="shared" ca="1" si="393"/>
        <v>8.2283483298702289E-6</v>
      </c>
      <c r="V652" s="11">
        <f t="shared" ca="1" si="394"/>
        <v>0.14873419219918124</v>
      </c>
      <c r="W652" s="11">
        <f t="shared" ca="1" si="395"/>
        <v>1.7843866295713549</v>
      </c>
      <c r="X652" s="11"/>
      <c r="Y652" s="2">
        <f t="shared" ca="1" si="396"/>
        <v>7.4600546528667263E-5</v>
      </c>
      <c r="Z652" s="11">
        <f t="shared" ca="1" si="397"/>
        <v>8.2283483298702289E-6</v>
      </c>
      <c r="AA652" s="2">
        <f t="shared" ca="1" si="398"/>
        <v>1.0547323630464055E-2</v>
      </c>
      <c r="AB652" s="2">
        <f t="shared" ca="1" si="399"/>
        <v>7.691532774079258E-4</v>
      </c>
      <c r="AC652" s="2">
        <f t="shared" ca="1" si="400"/>
        <v>-5.9996313965411728E-6</v>
      </c>
      <c r="AD652" s="2">
        <f t="shared" ca="1" si="401"/>
        <v>0.20530381715133955</v>
      </c>
      <c r="AE652" s="2">
        <f t="shared" ca="1" si="402"/>
        <v>8.2283483298702289E-6</v>
      </c>
      <c r="AF652" s="2">
        <f t="shared" ca="1" si="403"/>
        <v>0.14871782799032177</v>
      </c>
      <c r="AG652" s="2">
        <f t="shared" ca="1" si="404"/>
        <v>1.7843799893560814</v>
      </c>
      <c r="AI652" s="2">
        <f t="shared" ca="1" si="405"/>
        <v>7.4600546528667263E-5</v>
      </c>
      <c r="AJ652" s="11">
        <f t="shared" ca="1" si="406"/>
        <v>8.2283483298702289E-6</v>
      </c>
      <c r="AK652" s="2">
        <f t="shared" ca="1" si="407"/>
        <v>1.0537615701897258E-2</v>
      </c>
      <c r="AL652" s="2">
        <f t="shared" ca="1" si="408"/>
        <v>7.6460956133511942E-4</v>
      </c>
      <c r="AM652" s="2">
        <f t="shared" ca="1" si="409"/>
        <v>-5.9996313965411728E-6</v>
      </c>
      <c r="AN652" s="2">
        <f t="shared" ca="1" si="410"/>
        <v>0.20530381715133955</v>
      </c>
      <c r="AO652" s="2">
        <f t="shared" ca="1" si="411"/>
        <v>8.2283483298702289E-6</v>
      </c>
      <c r="AP652" s="2">
        <f t="shared" ca="1" si="412"/>
        <v>0.14871782799032177</v>
      </c>
      <c r="AQ652" s="2">
        <f t="shared" ca="1" si="413"/>
        <v>1.7843799893560814</v>
      </c>
      <c r="AS652" s="2">
        <f t="shared" ca="1" si="414"/>
        <v>8.6909749084190953</v>
      </c>
      <c r="AT652" s="2">
        <f t="shared" ca="1" si="415"/>
        <v>0.40038580240159882</v>
      </c>
      <c r="AU652" s="2">
        <f t="shared" ca="1" si="416"/>
        <v>3.0856813972451067E-4</v>
      </c>
      <c r="AV652" s="2">
        <f t="shared" ca="1" si="417"/>
        <v>0.14842562405945672</v>
      </c>
      <c r="AW652" s="2">
        <f t="shared" ca="1" si="418"/>
        <v>0.70956836276508217</v>
      </c>
      <c r="AX652" s="2">
        <f t="shared" ca="1" si="419"/>
        <v>5.3354486375836604E-2</v>
      </c>
      <c r="AY652" s="9" t="str">
        <f t="shared" ca="1" si="420"/>
        <v>rejected</v>
      </c>
      <c r="AZ652" s="9" t="e">
        <f t="shared" ca="1" si="421"/>
        <v>#N/A</v>
      </c>
      <c r="BA652" s="9"/>
      <c r="BB652" s="2">
        <f t="shared" ca="1" si="422"/>
        <v>8.6914116557352035</v>
      </c>
      <c r="BC652" s="2">
        <f t="shared" ca="1" si="423"/>
        <v>0.40040616702237902</v>
      </c>
      <c r="BD652" s="2">
        <f t="shared" ca="1" si="424"/>
        <v>3.0615438372285779E-4</v>
      </c>
      <c r="BE652" s="2">
        <f t="shared" ca="1" si="425"/>
        <v>0.1484116736065989</v>
      </c>
      <c r="BF652" s="2">
        <f t="shared" ca="1" si="426"/>
        <v>0.70952201005436555</v>
      </c>
      <c r="BG652" s="2">
        <f t="shared" ca="1" si="427"/>
        <v>5.3310678160023946E-2</v>
      </c>
      <c r="BH652" s="2" t="str">
        <f t="shared" ca="1" si="428"/>
        <v>rejected</v>
      </c>
      <c r="BI652" s="2" t="e">
        <f t="shared" ca="1" si="429"/>
        <v>#N/A</v>
      </c>
    </row>
    <row r="653" spans="1:61" ht="15" x14ac:dyDescent="0.25">
      <c r="A653" s="66">
        <v>587</v>
      </c>
      <c r="B653" s="66">
        <v>1498730428.76</v>
      </c>
      <c r="C653" s="67">
        <v>6.4016823667270895E-5</v>
      </c>
      <c r="D653" s="67">
        <v>-5.9821810295608499E-5</v>
      </c>
      <c r="E653" s="67">
        <v>1.16950186903727E-2</v>
      </c>
      <c r="F653" s="67">
        <v>7.26366493587212E-4</v>
      </c>
      <c r="G653" s="67">
        <v>-3.2404626445724801E-6</v>
      </c>
      <c r="H653" s="67">
        <v>0.21313265640107101</v>
      </c>
      <c r="I653" s="67">
        <v>-5.9821810295608499E-5</v>
      </c>
      <c r="J653" s="67">
        <v>0.15401046250227399</v>
      </c>
      <c r="K653" s="67">
        <v>1.8489299608874299</v>
      </c>
      <c r="L653" s="67"/>
      <c r="M653" s="67"/>
      <c r="N653" s="16"/>
      <c r="O653" s="11">
        <f t="shared" ca="1" si="387"/>
        <v>5.1212892957310867E-5</v>
      </c>
      <c r="P653" s="11">
        <f t="shared" ca="1" si="388"/>
        <v>-6.0586910525913238E-5</v>
      </c>
      <c r="Q653" s="11">
        <f t="shared" ca="1" si="389"/>
        <v>1.0858527078104415E-2</v>
      </c>
      <c r="R653" s="11">
        <f t="shared" ca="1" si="390"/>
        <v>7.1472000594086484E-4</v>
      </c>
      <c r="S653" s="11">
        <f t="shared" ca="1" si="391"/>
        <v>-1.4168114691542603E-5</v>
      </c>
      <c r="T653" s="11">
        <f t="shared" ca="1" si="392"/>
        <v>0.21199410136248872</v>
      </c>
      <c r="U653" s="11">
        <f t="shared" ca="1" si="393"/>
        <v>-6.0586910525913238E-5</v>
      </c>
      <c r="V653" s="11">
        <f t="shared" ca="1" si="394"/>
        <v>0.15336026649658022</v>
      </c>
      <c r="W653" s="11">
        <f t="shared" ca="1" si="395"/>
        <v>1.8418071126239248</v>
      </c>
      <c r="X653" s="11"/>
      <c r="Y653" s="2">
        <f t="shared" ca="1" si="396"/>
        <v>5.1212892957310867E-5</v>
      </c>
      <c r="Z653" s="11">
        <f t="shared" ca="1" si="397"/>
        <v>-6.0586910525913238E-5</v>
      </c>
      <c r="AA653" s="2">
        <f t="shared" ca="1" si="398"/>
        <v>1.0858527078104415E-2</v>
      </c>
      <c r="AB653" s="2">
        <f t="shared" ca="1" si="399"/>
        <v>7.1472000594086484E-4</v>
      </c>
      <c r="AC653" s="2">
        <f t="shared" ca="1" si="400"/>
        <v>-1.4168114691542603E-5</v>
      </c>
      <c r="AD653" s="2">
        <f t="shared" ca="1" si="401"/>
        <v>0.21199410136248872</v>
      </c>
      <c r="AE653" s="2">
        <f t="shared" ca="1" si="402"/>
        <v>-6.0586910525913238E-5</v>
      </c>
      <c r="AF653" s="2">
        <f t="shared" ca="1" si="403"/>
        <v>0.15336026649658022</v>
      </c>
      <c r="AG653" s="2">
        <f t="shared" ca="1" si="404"/>
        <v>1.8418071126239248</v>
      </c>
      <c r="AI653" s="2">
        <f t="shared" ca="1" si="405"/>
        <v>5.1212892957310867E-5</v>
      </c>
      <c r="AJ653" s="11">
        <f t="shared" ca="1" si="406"/>
        <v>-6.0586910525913238E-5</v>
      </c>
      <c r="AK653" s="2">
        <f t="shared" ca="1" si="407"/>
        <v>1.0858527078104415E-2</v>
      </c>
      <c r="AL653" s="2">
        <f t="shared" ca="1" si="408"/>
        <v>7.1472000594086484E-4</v>
      </c>
      <c r="AM653" s="2">
        <f t="shared" ca="1" si="409"/>
        <v>-1.4168114691542603E-5</v>
      </c>
      <c r="AN653" s="2">
        <f t="shared" ca="1" si="410"/>
        <v>0.21199410136248872</v>
      </c>
      <c r="AO653" s="2">
        <f t="shared" ca="1" si="411"/>
        <v>-6.0586910525913238E-5</v>
      </c>
      <c r="AP653" s="2">
        <f t="shared" ca="1" si="412"/>
        <v>0.15336026649658022</v>
      </c>
      <c r="AQ653" s="2">
        <f t="shared" ca="1" si="413"/>
        <v>1.8418071126239248</v>
      </c>
      <c r="AS653" s="2">
        <f t="shared" ca="1" si="414"/>
        <v>8.6880111323221154</v>
      </c>
      <c r="AT653" s="2">
        <f t="shared" ca="1" si="415"/>
        <v>0.40024760800214088</v>
      </c>
      <c r="AU653" s="2">
        <f t="shared" ca="1" si="416"/>
        <v>2.8606497276910706E-4</v>
      </c>
      <c r="AV653" s="2">
        <f t="shared" ca="1" si="417"/>
        <v>0.1530742015238111</v>
      </c>
      <c r="AW653" s="2">
        <f t="shared" ca="1" si="418"/>
        <v>0.7088570219944893</v>
      </c>
      <c r="AX653" s="2">
        <f t="shared" ca="1" si="419"/>
        <v>5.3179238475104397E-2</v>
      </c>
      <c r="AY653" s="9">
        <f t="shared" ca="1" si="420"/>
        <v>0.7088570219944893</v>
      </c>
      <c r="AZ653" s="9">
        <f t="shared" ca="1" si="421"/>
        <v>0.7088570219944893</v>
      </c>
      <c r="BA653" s="9"/>
      <c r="BB653" s="2">
        <f t="shared" ca="1" si="422"/>
        <v>8.6880111323221154</v>
      </c>
      <c r="BC653" s="2">
        <f t="shared" ca="1" si="423"/>
        <v>0.40024760800214088</v>
      </c>
      <c r="BD653" s="2">
        <f t="shared" ca="1" si="424"/>
        <v>2.8606497276910706E-4</v>
      </c>
      <c r="BE653" s="2">
        <f t="shared" ca="1" si="425"/>
        <v>0.1530742015238111</v>
      </c>
      <c r="BF653" s="2">
        <f t="shared" ca="1" si="426"/>
        <v>0.7088570219944893</v>
      </c>
      <c r="BG653" s="2">
        <f t="shared" ca="1" si="427"/>
        <v>5.3179238475104397E-2</v>
      </c>
      <c r="BH653" s="2">
        <f t="shared" ca="1" si="428"/>
        <v>0.7088570219944893</v>
      </c>
      <c r="BI653" s="2">
        <f t="shared" ca="1" si="429"/>
        <v>0.7088570219944893</v>
      </c>
    </row>
    <row r="654" spans="1:61" ht="15" x14ac:dyDescent="0.25">
      <c r="A654" s="66">
        <v>588</v>
      </c>
      <c r="B654" s="66">
        <v>1498730429.2869999</v>
      </c>
      <c r="C654" s="67">
        <v>-6.23614626120388E-5</v>
      </c>
      <c r="D654" s="67">
        <v>-1.9752293690051499E-5</v>
      </c>
      <c r="E654" s="67">
        <v>1.17356930099462E-2</v>
      </c>
      <c r="F654" s="67">
        <v>9.4402119993494996E-4</v>
      </c>
      <c r="G654" s="67">
        <v>3.4453180558638398E-5</v>
      </c>
      <c r="H654" s="67">
        <v>0.212975108541792</v>
      </c>
      <c r="I654" s="67">
        <v>-1.9752293690051499E-5</v>
      </c>
      <c r="J654" s="67">
        <v>0.154201128601586</v>
      </c>
      <c r="K654" s="67">
        <v>1.84920553610801</v>
      </c>
      <c r="L654" s="67"/>
      <c r="M654" s="67"/>
      <c r="N654" s="16"/>
      <c r="O654" s="11">
        <f t="shared" ca="1" si="387"/>
        <v>-7.5165393321998834E-5</v>
      </c>
      <c r="P654" s="11">
        <f t="shared" ca="1" si="388"/>
        <v>-2.0517393920356241E-5</v>
      </c>
      <c r="Q654" s="11">
        <f t="shared" ca="1" si="389"/>
        <v>1.0899201397677916E-2</v>
      </c>
      <c r="R654" s="11">
        <f t="shared" ca="1" si="390"/>
        <v>9.323747122886028E-4</v>
      </c>
      <c r="S654" s="11">
        <f t="shared" ca="1" si="391"/>
        <v>2.3525528511668277E-5</v>
      </c>
      <c r="T654" s="11">
        <f t="shared" ca="1" si="392"/>
        <v>0.21183655350320971</v>
      </c>
      <c r="U654" s="11">
        <f t="shared" ca="1" si="393"/>
        <v>-2.0517393920356241E-5</v>
      </c>
      <c r="V654" s="11">
        <f t="shared" ca="1" si="394"/>
        <v>0.15355093259589223</v>
      </c>
      <c r="W654" s="11">
        <f t="shared" ca="1" si="395"/>
        <v>1.8420826878445049</v>
      </c>
      <c r="X654" s="11"/>
      <c r="Y654" s="2">
        <f t="shared" ca="1" si="396"/>
        <v>-7.5165393321998834E-5</v>
      </c>
      <c r="Z654" s="11">
        <f t="shared" ca="1" si="397"/>
        <v>-2.0517393920356241E-5</v>
      </c>
      <c r="AA654" s="2">
        <f t="shared" ca="1" si="398"/>
        <v>1.0899201397677916E-2</v>
      </c>
      <c r="AB654" s="2">
        <f t="shared" ca="1" si="399"/>
        <v>9.323747122886028E-4</v>
      </c>
      <c r="AC654" s="2">
        <f t="shared" ca="1" si="400"/>
        <v>2.3525528511668277E-5</v>
      </c>
      <c r="AD654" s="2">
        <f t="shared" ca="1" si="401"/>
        <v>0.21183655350320971</v>
      </c>
      <c r="AE654" s="2">
        <f t="shared" ca="1" si="402"/>
        <v>-2.0517393920356241E-5</v>
      </c>
      <c r="AF654" s="2">
        <f t="shared" ca="1" si="403"/>
        <v>0.15355093259589223</v>
      </c>
      <c r="AG654" s="2">
        <f t="shared" ca="1" si="404"/>
        <v>1.8420826878445049</v>
      </c>
      <c r="AI654" s="2">
        <f t="shared" ca="1" si="405"/>
        <v>-7.5165393321998834E-5</v>
      </c>
      <c r="AJ654" s="11">
        <f t="shared" ca="1" si="406"/>
        <v>-2.0517393920356241E-5</v>
      </c>
      <c r="AK654" s="2">
        <f t="shared" ca="1" si="407"/>
        <v>1.0899201397677916E-2</v>
      </c>
      <c r="AL654" s="2">
        <f t="shared" ca="1" si="408"/>
        <v>9.323747122886028E-4</v>
      </c>
      <c r="AM654" s="2">
        <f t="shared" ca="1" si="409"/>
        <v>2.3525528511668277E-5</v>
      </c>
      <c r="AN654" s="2">
        <f t="shared" ca="1" si="410"/>
        <v>0.21183655350320971</v>
      </c>
      <c r="AO654" s="2">
        <f t="shared" ca="1" si="411"/>
        <v>-2.0517393920356241E-5</v>
      </c>
      <c r="AP654" s="2">
        <f t="shared" ca="1" si="412"/>
        <v>0.15355093259589223</v>
      </c>
      <c r="AQ654" s="2">
        <f t="shared" ca="1" si="413"/>
        <v>1.8420826878445049</v>
      </c>
      <c r="AS654" s="2">
        <f t="shared" ca="1" si="414"/>
        <v>8.6957734979227457</v>
      </c>
      <c r="AT654" s="2">
        <f t="shared" ca="1" si="415"/>
        <v>0.40060955135044013</v>
      </c>
      <c r="AU654" s="2">
        <f t="shared" ca="1" si="416"/>
        <v>3.7351821518043286E-4</v>
      </c>
      <c r="AV654" s="2">
        <f t="shared" ca="1" si="417"/>
        <v>0.15317741438071178</v>
      </c>
      <c r="AW654" s="2">
        <f t="shared" ca="1" si="418"/>
        <v>0.7095433495116128</v>
      </c>
      <c r="AX654" s="2">
        <f t="shared" ca="1" si="419"/>
        <v>5.3466975268868885E-2</v>
      </c>
      <c r="AY654" s="9" t="str">
        <f t="shared" ca="1" si="420"/>
        <v>rejected</v>
      </c>
      <c r="AZ654" s="9" t="e">
        <f t="shared" ca="1" si="421"/>
        <v>#N/A</v>
      </c>
      <c r="BA654" s="9"/>
      <c r="BB654" s="2">
        <f t="shared" ca="1" si="422"/>
        <v>8.6957734979227457</v>
      </c>
      <c r="BC654" s="2">
        <f t="shared" ca="1" si="423"/>
        <v>0.40060955135044013</v>
      </c>
      <c r="BD654" s="2">
        <f t="shared" ca="1" si="424"/>
        <v>3.7351821518043286E-4</v>
      </c>
      <c r="BE654" s="2">
        <f t="shared" ca="1" si="425"/>
        <v>0.15317741438071178</v>
      </c>
      <c r="BF654" s="2">
        <f t="shared" ca="1" si="426"/>
        <v>0.7095433495116128</v>
      </c>
      <c r="BG654" s="2">
        <f t="shared" ca="1" si="427"/>
        <v>5.3466975268868885E-2</v>
      </c>
      <c r="BH654" s="2" t="str">
        <f t="shared" ca="1" si="428"/>
        <v>rejected</v>
      </c>
      <c r="BI654" s="2" t="e">
        <f t="shared" ca="1" si="429"/>
        <v>#N/A</v>
      </c>
    </row>
    <row r="655" spans="1:61" ht="15" x14ac:dyDescent="0.25">
      <c r="A655" s="66">
        <v>589</v>
      </c>
      <c r="B655" s="66">
        <v>1498730429.8139999</v>
      </c>
      <c r="C655" s="67">
        <v>4.0393490820292603E-5</v>
      </c>
      <c r="D655" s="67">
        <v>-1.54211278869855E-6</v>
      </c>
      <c r="E655" s="67">
        <v>1.1936681865069E-2</v>
      </c>
      <c r="F655" s="67">
        <v>8.5519139681207901E-4</v>
      </c>
      <c r="G655" s="67">
        <v>8.0335909479711196E-5</v>
      </c>
      <c r="H655" s="67">
        <v>0.21733325015080701</v>
      </c>
      <c r="I655" s="67">
        <v>-1.54211278869855E-6</v>
      </c>
      <c r="J655" s="67">
        <v>0.15709109959279799</v>
      </c>
      <c r="K655" s="67">
        <v>1.8846605363120701</v>
      </c>
      <c r="L655" s="67"/>
      <c r="M655" s="67"/>
      <c r="N655" s="16"/>
      <c r="O655" s="11">
        <f t="shared" ca="1" si="387"/>
        <v>2.7589560110332575E-5</v>
      </c>
      <c r="P655" s="11">
        <f t="shared" ca="1" si="388"/>
        <v>-2.3072130190032903E-6</v>
      </c>
      <c r="Q655" s="11">
        <f t="shared" ca="1" si="389"/>
        <v>1.1100190252800715E-2</v>
      </c>
      <c r="R655" s="11">
        <f t="shared" ca="1" si="390"/>
        <v>8.4354490916573185E-4</v>
      </c>
      <c r="S655" s="11">
        <f t="shared" ca="1" si="391"/>
        <v>6.9408257432741069E-5</v>
      </c>
      <c r="T655" s="11">
        <f t="shared" ca="1" si="392"/>
        <v>0.21619469511222472</v>
      </c>
      <c r="U655" s="11">
        <f t="shared" ca="1" si="393"/>
        <v>-2.3072130190032903E-6</v>
      </c>
      <c r="V655" s="11">
        <f t="shared" ca="1" si="394"/>
        <v>0.15644090358710422</v>
      </c>
      <c r="W655" s="11">
        <f t="shared" ca="1" si="395"/>
        <v>1.877537688048565</v>
      </c>
      <c r="X655" s="11"/>
      <c r="Y655" s="2">
        <f t="shared" ca="1" si="396"/>
        <v>2.7589560110332575E-5</v>
      </c>
      <c r="Z655" s="11">
        <f t="shared" ca="1" si="397"/>
        <v>-2.3072130190032903E-6</v>
      </c>
      <c r="AA655" s="2">
        <f t="shared" ca="1" si="398"/>
        <v>1.1100190252800715E-2</v>
      </c>
      <c r="AB655" s="2">
        <f t="shared" ca="1" si="399"/>
        <v>8.4354490916573185E-4</v>
      </c>
      <c r="AC655" s="2">
        <f t="shared" ca="1" si="400"/>
        <v>6.9408257432741069E-5</v>
      </c>
      <c r="AD655" s="2">
        <f t="shared" ca="1" si="401"/>
        <v>0.21619469511222472</v>
      </c>
      <c r="AE655" s="2">
        <f t="shared" ca="1" si="402"/>
        <v>-2.3072130190032903E-6</v>
      </c>
      <c r="AF655" s="2">
        <f t="shared" ca="1" si="403"/>
        <v>0.15644090358710422</v>
      </c>
      <c r="AG655" s="2">
        <f t="shared" ca="1" si="404"/>
        <v>1.877537688048565</v>
      </c>
      <c r="AI655" s="2">
        <f t="shared" ca="1" si="405"/>
        <v>2.7589560110332575E-5</v>
      </c>
      <c r="AJ655" s="11">
        <f t="shared" ca="1" si="406"/>
        <v>-2.3072130190032903E-6</v>
      </c>
      <c r="AK655" s="2">
        <f t="shared" ca="1" si="407"/>
        <v>1.1100190252800715E-2</v>
      </c>
      <c r="AL655" s="2">
        <f t="shared" ca="1" si="408"/>
        <v>8.4354490916573185E-4</v>
      </c>
      <c r="AM655" s="2">
        <f t="shared" ca="1" si="409"/>
        <v>6.9408257432741069E-5</v>
      </c>
      <c r="AN655" s="2">
        <f t="shared" ca="1" si="410"/>
        <v>0.21619469511222472</v>
      </c>
      <c r="AO655" s="2">
        <f t="shared" ca="1" si="411"/>
        <v>-2.3072130190032903E-6</v>
      </c>
      <c r="AP655" s="2">
        <f t="shared" ca="1" si="412"/>
        <v>0.15644090358710422</v>
      </c>
      <c r="AQ655" s="2">
        <f t="shared" ca="1" si="413"/>
        <v>1.877537688048565</v>
      </c>
      <c r="AS655" s="2">
        <f t="shared" ca="1" si="414"/>
        <v>8.684476217485134</v>
      </c>
      <c r="AT655" s="2">
        <f t="shared" ca="1" si="415"/>
        <v>0.40008278339966025</v>
      </c>
      <c r="AU655" s="2">
        <f t="shared" ca="1" si="416"/>
        <v>3.3748779518163959E-4</v>
      </c>
      <c r="AV655" s="2">
        <f t="shared" ca="1" si="417"/>
        <v>0.15610341579192258</v>
      </c>
      <c r="AW655" s="2">
        <f t="shared" ca="1" si="418"/>
        <v>0.70898459292322114</v>
      </c>
      <c r="AX655" s="2">
        <f t="shared" ca="1" si="419"/>
        <v>5.3284330549133369E-2</v>
      </c>
      <c r="AY655" s="9">
        <f t="shared" ca="1" si="420"/>
        <v>0.70898459292322114</v>
      </c>
      <c r="AZ655" s="9">
        <f t="shared" ca="1" si="421"/>
        <v>0.70898459292322114</v>
      </c>
      <c r="BA655" s="9"/>
      <c r="BB655" s="2">
        <f t="shared" ca="1" si="422"/>
        <v>8.684476217485134</v>
      </c>
      <c r="BC655" s="2">
        <f t="shared" ca="1" si="423"/>
        <v>0.40008278339966025</v>
      </c>
      <c r="BD655" s="2">
        <f t="shared" ca="1" si="424"/>
        <v>3.3748779518163959E-4</v>
      </c>
      <c r="BE655" s="2">
        <f t="shared" ca="1" si="425"/>
        <v>0.15610341579192258</v>
      </c>
      <c r="BF655" s="2">
        <f t="shared" ca="1" si="426"/>
        <v>0.70898459292322114</v>
      </c>
      <c r="BG655" s="2">
        <f t="shared" ca="1" si="427"/>
        <v>5.3284330549133369E-2</v>
      </c>
      <c r="BH655" s="2">
        <f t="shared" ca="1" si="428"/>
        <v>0.70898459292322114</v>
      </c>
      <c r="BI655" s="2">
        <f t="shared" ca="1" si="429"/>
        <v>0.70898459292322114</v>
      </c>
    </row>
    <row r="656" spans="1:61" ht="15" x14ac:dyDescent="0.25">
      <c r="A656" s="66">
        <v>590</v>
      </c>
      <c r="B656" s="66">
        <v>1498730430.3410001</v>
      </c>
      <c r="C656" s="67">
        <v>5.4319903940314998E-6</v>
      </c>
      <c r="D656" s="67">
        <v>-3.5498842855569599E-6</v>
      </c>
      <c r="E656" s="67">
        <v>1.2714054297403399E-2</v>
      </c>
      <c r="F656" s="67">
        <v>8.9972438593751499E-4</v>
      </c>
      <c r="G656" s="67">
        <v>2.5319950465559402E-4</v>
      </c>
      <c r="H656" s="67">
        <v>0.23275803968533601</v>
      </c>
      <c r="I656" s="67">
        <v>-3.5498842855569599E-6</v>
      </c>
      <c r="J656" s="67">
        <v>0.16822402058056099</v>
      </c>
      <c r="K656" s="67">
        <v>2.0184012601549601</v>
      </c>
      <c r="L656" s="67"/>
      <c r="M656" s="67"/>
      <c r="N656" s="16"/>
      <c r="O656" s="11">
        <f t="shared" ca="1" si="387"/>
        <v>-7.371940315928528E-6</v>
      </c>
      <c r="P656" s="11">
        <f t="shared" ca="1" si="388"/>
        <v>-4.3149845158617002E-6</v>
      </c>
      <c r="Q656" s="11">
        <f t="shared" ca="1" si="389"/>
        <v>1.1877562685135115E-2</v>
      </c>
      <c r="R656" s="11">
        <f t="shared" ca="1" si="390"/>
        <v>8.8807789829116782E-4</v>
      </c>
      <c r="S656" s="11">
        <f t="shared" ca="1" si="391"/>
        <v>2.4227185260862391E-4</v>
      </c>
      <c r="T656" s="11">
        <f t="shared" ca="1" si="392"/>
        <v>0.23161948464675372</v>
      </c>
      <c r="U656" s="11">
        <f t="shared" ca="1" si="393"/>
        <v>-4.3149845158617002E-6</v>
      </c>
      <c r="V656" s="11">
        <f t="shared" ca="1" si="394"/>
        <v>0.16757382457486722</v>
      </c>
      <c r="W656" s="11">
        <f t="shared" ca="1" si="395"/>
        <v>2.0112784118914551</v>
      </c>
      <c r="X656" s="11"/>
      <c r="Y656" s="2">
        <f t="shared" ca="1" si="396"/>
        <v>-7.371940315928528E-6</v>
      </c>
      <c r="Z656" s="11">
        <f t="shared" ca="1" si="397"/>
        <v>-4.3149845158617002E-6</v>
      </c>
      <c r="AA656" s="2">
        <f t="shared" ca="1" si="398"/>
        <v>1.1877562685135115E-2</v>
      </c>
      <c r="AB656" s="2">
        <f t="shared" ca="1" si="399"/>
        <v>8.8807789829116782E-4</v>
      </c>
      <c r="AC656" s="2">
        <f t="shared" ca="1" si="400"/>
        <v>2.4227185260862391E-4</v>
      </c>
      <c r="AD656" s="2">
        <f t="shared" ca="1" si="401"/>
        <v>0.23161948464675372</v>
      </c>
      <c r="AE656" s="2">
        <f t="shared" ca="1" si="402"/>
        <v>-4.3149845158617002E-6</v>
      </c>
      <c r="AF656" s="2">
        <f t="shared" ca="1" si="403"/>
        <v>0.16757382457486722</v>
      </c>
      <c r="AG656" s="2">
        <f t="shared" ca="1" si="404"/>
        <v>2.0112784118914551</v>
      </c>
      <c r="AI656" s="2">
        <f t="shared" ca="1" si="405"/>
        <v>-7.371940315928528E-6</v>
      </c>
      <c r="AJ656" s="11">
        <f t="shared" ca="1" si="406"/>
        <v>-4.3149845158617002E-6</v>
      </c>
      <c r="AK656" s="2">
        <f t="shared" ca="1" si="407"/>
        <v>1.1877562685135115E-2</v>
      </c>
      <c r="AL656" s="2">
        <f t="shared" ca="1" si="408"/>
        <v>8.8807789829116782E-4</v>
      </c>
      <c r="AM656" s="2">
        <f t="shared" ca="1" si="409"/>
        <v>2.4227185260862391E-4</v>
      </c>
      <c r="AN656" s="2">
        <f t="shared" ca="1" si="410"/>
        <v>0.23161948464675372</v>
      </c>
      <c r="AO656" s="2">
        <f t="shared" ca="1" si="411"/>
        <v>-4.3149845158617002E-6</v>
      </c>
      <c r="AP656" s="2">
        <f t="shared" ca="1" si="412"/>
        <v>0.16757382457486722</v>
      </c>
      <c r="AQ656" s="2">
        <f t="shared" ca="1" si="413"/>
        <v>2.0112784118914551</v>
      </c>
      <c r="AS656" s="2">
        <f t="shared" ca="1" si="414"/>
        <v>8.6835458379457382</v>
      </c>
      <c r="AT656" s="2">
        <f t="shared" ca="1" si="415"/>
        <v>0.40003940216794903</v>
      </c>
      <c r="AU656" s="2">
        <f t="shared" ca="1" si="416"/>
        <v>3.5526615151096742E-4</v>
      </c>
      <c r="AV656" s="2">
        <f t="shared" ca="1" si="417"/>
        <v>0.16721855842335626</v>
      </c>
      <c r="AW656" s="2">
        <f t="shared" ca="1" si="418"/>
        <v>0.70892818069643682</v>
      </c>
      <c r="AX656" s="2">
        <f t="shared" ca="1" si="419"/>
        <v>5.3213123740658091E-2</v>
      </c>
      <c r="AY656" s="9">
        <f t="shared" ca="1" si="420"/>
        <v>0.70892818069643682</v>
      </c>
      <c r="AZ656" s="9">
        <f t="shared" ca="1" si="421"/>
        <v>0.70892818069643682</v>
      </c>
      <c r="BA656" s="9"/>
      <c r="BB656" s="2">
        <f t="shared" ca="1" si="422"/>
        <v>8.6835458379457382</v>
      </c>
      <c r="BC656" s="2">
        <f t="shared" ca="1" si="423"/>
        <v>0.40003940216794903</v>
      </c>
      <c r="BD656" s="2">
        <f t="shared" ca="1" si="424"/>
        <v>3.5526615151096742E-4</v>
      </c>
      <c r="BE656" s="2">
        <f t="shared" ca="1" si="425"/>
        <v>0.16721855842335626</v>
      </c>
      <c r="BF656" s="2">
        <f t="shared" ca="1" si="426"/>
        <v>0.70892818069643682</v>
      </c>
      <c r="BG656" s="2">
        <f t="shared" ca="1" si="427"/>
        <v>5.3213123740658091E-2</v>
      </c>
      <c r="BH656" s="2">
        <f t="shared" ca="1" si="428"/>
        <v>0.70892818069643682</v>
      </c>
      <c r="BI656" s="2">
        <f t="shared" ca="1" si="429"/>
        <v>0.70892818069643682</v>
      </c>
    </row>
    <row r="657" spans="1:81" ht="15" x14ac:dyDescent="0.25">
      <c r="A657" s="66">
        <v>591</v>
      </c>
      <c r="B657" s="66">
        <v>1498730430.8670001</v>
      </c>
      <c r="C657" s="67">
        <v>6.5198005073992694E-5</v>
      </c>
      <c r="D657" s="67">
        <v>4.47660130985578E-5</v>
      </c>
      <c r="E657" s="67">
        <v>1.3729535708443499E-2</v>
      </c>
      <c r="F657" s="67">
        <v>1.0400043682200701E-3</v>
      </c>
      <c r="G657" s="67">
        <v>1.3067121971463601E-4</v>
      </c>
      <c r="H657" s="67">
        <v>0.25295691808495302</v>
      </c>
      <c r="I657" s="67">
        <v>4.47660130985578E-5</v>
      </c>
      <c r="J657" s="67">
        <v>0.18289654243039999</v>
      </c>
      <c r="K657" s="67">
        <v>2.1926764974161701</v>
      </c>
      <c r="L657" s="67"/>
      <c r="M657" s="67"/>
      <c r="N657" s="16"/>
      <c r="O657" s="11">
        <f t="shared" ca="1" si="387"/>
        <v>5.2394074364032666E-5</v>
      </c>
      <c r="P657" s="11">
        <f t="shared" ca="1" si="388"/>
        <v>4.4000912868253061E-5</v>
      </c>
      <c r="Q657" s="11">
        <f t="shared" ca="1" si="389"/>
        <v>1.2893044096175215E-2</v>
      </c>
      <c r="R657" s="11">
        <f t="shared" ca="1" si="390"/>
        <v>1.028357880573723E-3</v>
      </c>
      <c r="S657" s="11">
        <f t="shared" ca="1" si="391"/>
        <v>1.1974356766766588E-4</v>
      </c>
      <c r="T657" s="11">
        <f t="shared" ca="1" si="392"/>
        <v>0.25181836304637073</v>
      </c>
      <c r="U657" s="11">
        <f t="shared" ca="1" si="393"/>
        <v>4.4000912868253061E-5</v>
      </c>
      <c r="V657" s="11">
        <f t="shared" ca="1" si="394"/>
        <v>0.18224634642470622</v>
      </c>
      <c r="W657" s="11">
        <f t="shared" ca="1" si="395"/>
        <v>2.185553649152665</v>
      </c>
      <c r="X657" s="11"/>
      <c r="Y657" s="2">
        <f t="shared" ca="1" si="396"/>
        <v>5.2394074364032666E-5</v>
      </c>
      <c r="Z657" s="11">
        <f t="shared" ca="1" si="397"/>
        <v>4.4000912868253061E-5</v>
      </c>
      <c r="AA657" s="2">
        <f t="shared" ca="1" si="398"/>
        <v>1.2892707456265548E-2</v>
      </c>
      <c r="AB657" s="2">
        <f t="shared" ca="1" si="399"/>
        <v>1.0202096645783724E-3</v>
      </c>
      <c r="AC657" s="2">
        <f t="shared" ca="1" si="400"/>
        <v>1.1974356766766588E-4</v>
      </c>
      <c r="AD657" s="2">
        <f t="shared" ca="1" si="401"/>
        <v>0.25175910677136226</v>
      </c>
      <c r="AE657" s="2">
        <f t="shared" ca="1" si="402"/>
        <v>4.4000912868253061E-5</v>
      </c>
      <c r="AF657" s="2">
        <f t="shared" ca="1" si="403"/>
        <v>0.18215883917546039</v>
      </c>
      <c r="AG657" s="2">
        <f t="shared" ca="1" si="404"/>
        <v>2.1855181407466087</v>
      </c>
      <c r="AI657" s="2">
        <f t="shared" ca="1" si="405"/>
        <v>5.2394074364032666E-5</v>
      </c>
      <c r="AJ657" s="11">
        <f t="shared" ca="1" si="406"/>
        <v>4.4000912868253061E-5</v>
      </c>
      <c r="AK657" s="2">
        <f t="shared" ca="1" si="407"/>
        <v>1.2840794520415685E-2</v>
      </c>
      <c r="AL657" s="2">
        <f t="shared" ca="1" si="408"/>
        <v>9.9591224217929078E-4</v>
      </c>
      <c r="AM657" s="2">
        <f t="shared" ca="1" si="409"/>
        <v>1.1974356766766588E-4</v>
      </c>
      <c r="AN657" s="2">
        <f t="shared" ca="1" si="410"/>
        <v>0.25175910677136226</v>
      </c>
      <c r="AO657" s="2">
        <f t="shared" ca="1" si="411"/>
        <v>4.4000912868253061E-5</v>
      </c>
      <c r="AP657" s="2">
        <f t="shared" ca="1" si="412"/>
        <v>0.18215883917546039</v>
      </c>
      <c r="AQ657" s="2">
        <f t="shared" ca="1" si="413"/>
        <v>2.1855181407466087</v>
      </c>
      <c r="AS657" s="2">
        <f t="shared" ca="1" si="414"/>
        <v>8.6790876674478632</v>
      </c>
      <c r="AT657" s="2">
        <f t="shared" ca="1" si="415"/>
        <v>0.39983152979836711</v>
      </c>
      <c r="AU657" s="2">
        <f t="shared" ca="1" si="416"/>
        <v>4.1116990456999819E-4</v>
      </c>
      <c r="AV657" s="2">
        <f t="shared" ca="1" si="417"/>
        <v>0.18183517652013623</v>
      </c>
      <c r="AW657" s="2">
        <f t="shared" ca="1" si="418"/>
        <v>0.70924401010893201</v>
      </c>
      <c r="AX657" s="2">
        <f t="shared" ca="1" si="419"/>
        <v>5.3101449221589693E-2</v>
      </c>
      <c r="AY657" s="9">
        <f t="shared" ca="1" si="420"/>
        <v>0.70924401010893201</v>
      </c>
      <c r="AZ657" s="9">
        <f t="shared" ca="1" si="421"/>
        <v>0.70924401010893201</v>
      </c>
      <c r="BA657" s="9"/>
      <c r="BB657" s="2">
        <f t="shared" ca="1" si="422"/>
        <v>8.6809894139456514</v>
      </c>
      <c r="BC657" s="2">
        <f t="shared" ca="1" si="423"/>
        <v>0.39992020290879493</v>
      </c>
      <c r="BD657" s="2">
        <f t="shared" ca="1" si="424"/>
        <v>3.9828542597169489E-4</v>
      </c>
      <c r="BE657" s="2">
        <f t="shared" ca="1" si="425"/>
        <v>0.18176055374948868</v>
      </c>
      <c r="BF657" s="2">
        <f t="shared" ca="1" si="426"/>
        <v>0.70904157519088029</v>
      </c>
      <c r="BG657" s="2">
        <f t="shared" ca="1" si="427"/>
        <v>5.2910561859819329E-2</v>
      </c>
      <c r="BH657" s="2">
        <f t="shared" ca="1" si="428"/>
        <v>0.70904157519088029</v>
      </c>
      <c r="BI657" s="2">
        <f t="shared" ca="1" si="429"/>
        <v>0.70904157519088029</v>
      </c>
    </row>
    <row r="658" spans="1:81" ht="15" x14ac:dyDescent="0.25">
      <c r="A658" s="66">
        <v>592</v>
      </c>
      <c r="B658" s="66">
        <v>1498730431.3940001</v>
      </c>
      <c r="C658" s="67">
        <v>1.11013392070112E-5</v>
      </c>
      <c r="D658" s="67">
        <v>8.3556136930602407E-6</v>
      </c>
      <c r="E658" s="67">
        <v>1.4411514116705699E-2</v>
      </c>
      <c r="F658" s="67">
        <v>9.3592378616753999E-4</v>
      </c>
      <c r="G658" s="67">
        <v>-6.6300673978234402E-6</v>
      </c>
      <c r="H658" s="67">
        <v>0.26738594818449901</v>
      </c>
      <c r="I658" s="67">
        <v>8.3556136930602407E-6</v>
      </c>
      <c r="J658" s="67">
        <v>0.193390190677692</v>
      </c>
      <c r="K658" s="67">
        <v>2.3193700099189498</v>
      </c>
      <c r="L658" s="67"/>
      <c r="M658" s="67"/>
      <c r="N658" s="16"/>
      <c r="O658" s="11">
        <f t="shared" ca="1" si="387"/>
        <v>-1.702591502948828E-6</v>
      </c>
      <c r="P658" s="11">
        <f t="shared" ca="1" si="388"/>
        <v>7.5905134627555004E-6</v>
      </c>
      <c r="Q658" s="11">
        <f t="shared" ca="1" si="389"/>
        <v>1.3575022504437415E-2</v>
      </c>
      <c r="R658" s="11">
        <f t="shared" ca="1" si="390"/>
        <v>9.2427729852119283E-4</v>
      </c>
      <c r="S658" s="11">
        <f t="shared" ca="1" si="391"/>
        <v>-1.7557719444793563E-5</v>
      </c>
      <c r="T658" s="11">
        <f t="shared" ca="1" si="392"/>
        <v>0.26624739314591672</v>
      </c>
      <c r="U658" s="11">
        <f t="shared" ca="1" si="393"/>
        <v>7.5905134627555004E-6</v>
      </c>
      <c r="V658" s="11">
        <f t="shared" ca="1" si="394"/>
        <v>0.19273999467199823</v>
      </c>
      <c r="W658" s="11">
        <f t="shared" ca="1" si="395"/>
        <v>2.3122471616554447</v>
      </c>
      <c r="X658" s="11"/>
      <c r="Y658" s="2">
        <f t="shared" ca="1" si="396"/>
        <v>-1.702591502948828E-6</v>
      </c>
      <c r="Z658" s="11">
        <f t="shared" ca="1" si="397"/>
        <v>7.5905134627555004E-6</v>
      </c>
      <c r="AA658" s="2">
        <f t="shared" ca="1" si="398"/>
        <v>1.3574964431329384E-2</v>
      </c>
      <c r="AB658" s="2">
        <f t="shared" ca="1" si="399"/>
        <v>9.2287166533818734E-4</v>
      </c>
      <c r="AC658" s="2">
        <f t="shared" ca="1" si="400"/>
        <v>-1.7557719444793563E-5</v>
      </c>
      <c r="AD658" s="2">
        <f t="shared" ca="1" si="401"/>
        <v>0.26623717095906002</v>
      </c>
      <c r="AE658" s="2">
        <f t="shared" ca="1" si="402"/>
        <v>7.5905134627555004E-6</v>
      </c>
      <c r="AF658" s="2">
        <f t="shared" ca="1" si="403"/>
        <v>0.19272489896351877</v>
      </c>
      <c r="AG658" s="2">
        <f t="shared" ca="1" si="404"/>
        <v>2.3122410361681163</v>
      </c>
      <c r="AI658" s="2">
        <f t="shared" ca="1" si="405"/>
        <v>-1.702591502948828E-6</v>
      </c>
      <c r="AJ658" s="11">
        <f t="shared" ca="1" si="406"/>
        <v>7.5905134627555004E-6</v>
      </c>
      <c r="AK658" s="2">
        <f t="shared" ca="1" si="407"/>
        <v>1.3566009029889432E-2</v>
      </c>
      <c r="AL658" s="2">
        <f t="shared" ca="1" si="408"/>
        <v>9.1868016339406396E-4</v>
      </c>
      <c r="AM658" s="2">
        <f t="shared" ca="1" si="409"/>
        <v>-1.7557719444793563E-5</v>
      </c>
      <c r="AN658" s="2">
        <f t="shared" ca="1" si="410"/>
        <v>0.26623717095906002</v>
      </c>
      <c r="AO658" s="2">
        <f t="shared" ca="1" si="411"/>
        <v>7.5905134627555004E-6</v>
      </c>
      <c r="AP658" s="2">
        <f t="shared" ca="1" si="412"/>
        <v>0.19272489896351877</v>
      </c>
      <c r="AQ658" s="2">
        <f t="shared" ca="1" si="413"/>
        <v>2.3122410361681163</v>
      </c>
      <c r="AS658" s="2">
        <f t="shared" ca="1" si="414"/>
        <v>8.6845814125519691</v>
      </c>
      <c r="AT658" s="2">
        <f t="shared" ca="1" si="415"/>
        <v>0.400087688381634</v>
      </c>
      <c r="AU658" s="2">
        <f t="shared" ca="1" si="416"/>
        <v>3.6979196778896551E-4</v>
      </c>
      <c r="AV658" s="2">
        <f t="shared" ca="1" si="417"/>
        <v>0.19237020270420926</v>
      </c>
      <c r="AW658" s="2">
        <f t="shared" ca="1" si="418"/>
        <v>0.7094457865203263</v>
      </c>
      <c r="AX658" s="2">
        <f t="shared" ca="1" si="419"/>
        <v>5.2914500566326253E-2</v>
      </c>
      <c r="AY658" s="9">
        <f t="shared" ca="1" si="420"/>
        <v>0.7094457865203263</v>
      </c>
      <c r="AZ658" s="9">
        <f t="shared" ca="1" si="421"/>
        <v>0.7094457865203263</v>
      </c>
      <c r="BA658" s="9"/>
      <c r="BB658" s="2">
        <f t="shared" ca="1" si="422"/>
        <v>8.6848918497698264</v>
      </c>
      <c r="BC658" s="2">
        <f t="shared" ca="1" si="423"/>
        <v>0.40010216329424431</v>
      </c>
      <c r="BD658" s="2">
        <f t="shared" ca="1" si="424"/>
        <v>3.675659207494748E-4</v>
      </c>
      <c r="BE658" s="2">
        <f t="shared" ca="1" si="425"/>
        <v>0.19235733304276931</v>
      </c>
      <c r="BF658" s="2">
        <f t="shared" ca="1" si="426"/>
        <v>0.70941279135700852</v>
      </c>
      <c r="BG658" s="2">
        <f t="shared" ca="1" si="427"/>
        <v>5.2883331208335084E-2</v>
      </c>
      <c r="BH658" s="2">
        <f t="shared" ca="1" si="428"/>
        <v>0.70941279135700852</v>
      </c>
      <c r="BI658" s="2">
        <f t="shared" ca="1" si="429"/>
        <v>0.70941279135700852</v>
      </c>
    </row>
    <row r="659" spans="1:81" ht="15" x14ac:dyDescent="0.25">
      <c r="A659" s="66">
        <v>593</v>
      </c>
      <c r="B659" s="66">
        <v>1498730431.921</v>
      </c>
      <c r="C659" s="67">
        <v>5.85834073070848E-5</v>
      </c>
      <c r="D659" s="67">
        <v>2.0120783396571501E-5</v>
      </c>
      <c r="E659" s="67">
        <v>1.4046947086412701E-2</v>
      </c>
      <c r="F659" s="67">
        <v>9.2091992823646997E-4</v>
      </c>
      <c r="G659" s="67">
        <v>-3.4095703213006697E-5</v>
      </c>
      <c r="H659" s="67">
        <v>0.25734160819778901</v>
      </c>
      <c r="I659" s="67">
        <v>2.0120783396571501E-5</v>
      </c>
      <c r="J659" s="67">
        <v>0.186490556227983</v>
      </c>
      <c r="K659" s="67">
        <v>2.23854068723056</v>
      </c>
      <c r="L659" s="67"/>
      <c r="M659" s="67"/>
      <c r="N659" s="16"/>
      <c r="O659" s="11">
        <f t="shared" ca="1" si="387"/>
        <v>4.5779476597124772E-5</v>
      </c>
      <c r="P659" s="11">
        <f t="shared" ca="1" si="388"/>
        <v>1.9355683166266759E-5</v>
      </c>
      <c r="Q659" s="11">
        <f t="shared" ca="1" si="389"/>
        <v>1.3210455474144416E-2</v>
      </c>
      <c r="R659" s="11">
        <f t="shared" ca="1" si="390"/>
        <v>9.0927344059012281E-4</v>
      </c>
      <c r="S659" s="11">
        <f t="shared" ca="1" si="391"/>
        <v>-4.5023355259976817E-5</v>
      </c>
      <c r="T659" s="11">
        <f t="shared" ca="1" si="392"/>
        <v>0.25620305315920672</v>
      </c>
      <c r="U659" s="11">
        <f t="shared" ca="1" si="393"/>
        <v>1.9355683166266759E-5</v>
      </c>
      <c r="V659" s="11">
        <f t="shared" ca="1" si="394"/>
        <v>0.18584036022228922</v>
      </c>
      <c r="W659" s="11">
        <f t="shared" ca="1" si="395"/>
        <v>2.2314178389670549</v>
      </c>
      <c r="X659" s="11"/>
      <c r="Y659" s="2">
        <f t="shared" ca="1" si="396"/>
        <v>4.5779476597124772E-5</v>
      </c>
      <c r="Z659" s="11">
        <f t="shared" ca="1" si="397"/>
        <v>1.9355683166266759E-5</v>
      </c>
      <c r="AA659" s="2">
        <f t="shared" ca="1" si="398"/>
        <v>1.3210307388684187E-2</v>
      </c>
      <c r="AB659" s="2">
        <f t="shared" ca="1" si="399"/>
        <v>9.0568909933682793E-4</v>
      </c>
      <c r="AC659" s="2">
        <f t="shared" ca="1" si="400"/>
        <v>-4.5023355259976817E-5</v>
      </c>
      <c r="AD659" s="2">
        <f t="shared" ca="1" si="401"/>
        <v>0.25617698675262757</v>
      </c>
      <c r="AE659" s="2">
        <f t="shared" ca="1" si="402"/>
        <v>1.9355683166266759E-5</v>
      </c>
      <c r="AF659" s="2">
        <f t="shared" ca="1" si="403"/>
        <v>0.18580186641657603</v>
      </c>
      <c r="AG659" s="2">
        <f t="shared" ca="1" si="404"/>
        <v>2.2314022190761809</v>
      </c>
      <c r="AI659" s="2">
        <f t="shared" ca="1" si="405"/>
        <v>4.5779476597124772E-5</v>
      </c>
      <c r="AJ659" s="11">
        <f t="shared" ca="1" si="406"/>
        <v>1.9355683166266759E-5</v>
      </c>
      <c r="AK659" s="2">
        <f t="shared" ca="1" si="407"/>
        <v>1.3187471263862202E-2</v>
      </c>
      <c r="AL659" s="2">
        <f t="shared" ca="1" si="408"/>
        <v>8.9500083904728062E-4</v>
      </c>
      <c r="AM659" s="2">
        <f t="shared" ca="1" si="409"/>
        <v>-4.5023355259976817E-5</v>
      </c>
      <c r="AN659" s="2">
        <f t="shared" ca="1" si="410"/>
        <v>0.25617698675262757</v>
      </c>
      <c r="AO659" s="2">
        <f t="shared" ca="1" si="411"/>
        <v>1.9355683166266759E-5</v>
      </c>
      <c r="AP659" s="2">
        <f t="shared" ca="1" si="412"/>
        <v>0.18580186641657603</v>
      </c>
      <c r="AQ659" s="2">
        <f t="shared" ca="1" si="413"/>
        <v>2.2314022190761809</v>
      </c>
      <c r="AS659" s="2">
        <f t="shared" ca="1" si="414"/>
        <v>8.7095677098759374</v>
      </c>
      <c r="AT659" s="2">
        <f t="shared" ca="1" si="415"/>
        <v>0.40125275711522307</v>
      </c>
      <c r="AU659" s="2">
        <f t="shared" ca="1" si="416"/>
        <v>3.6484847500843176E-4</v>
      </c>
      <c r="AV659" s="2">
        <f t="shared" ca="1" si="417"/>
        <v>0.1854755117472808</v>
      </c>
      <c r="AW659" s="2">
        <f t="shared" ca="1" si="418"/>
        <v>0.70980771357897787</v>
      </c>
      <c r="AX659" s="2">
        <f t="shared" ca="1" si="419"/>
        <v>5.3669767879011843E-2</v>
      </c>
      <c r="AY659" s="9" t="str">
        <f t="shared" ca="1" si="420"/>
        <v>rejected</v>
      </c>
      <c r="AZ659" s="9" t="e">
        <f t="shared" ca="1" si="421"/>
        <v>#N/A</v>
      </c>
      <c r="BA659" s="9"/>
      <c r="BB659" s="2">
        <f t="shared" ca="1" si="422"/>
        <v>8.7103929488829994</v>
      </c>
      <c r="BC659" s="2">
        <f t="shared" ca="1" si="423"/>
        <v>0.40129123730491245</v>
      </c>
      <c r="BD659" s="2">
        <f t="shared" ca="1" si="424"/>
        <v>3.5915599409021802E-4</v>
      </c>
      <c r="BE659" s="2">
        <f t="shared" ca="1" si="425"/>
        <v>0.18544271042248581</v>
      </c>
      <c r="BF659" s="2">
        <f t="shared" ca="1" si="426"/>
        <v>0.70972053126973556</v>
      </c>
      <c r="BG659" s="2">
        <f t="shared" ca="1" si="427"/>
        <v>5.3587036989200164E-2</v>
      </c>
      <c r="BH659" s="2" t="str">
        <f t="shared" ca="1" si="428"/>
        <v>rejected</v>
      </c>
      <c r="BI659" s="2" t="e">
        <f t="shared" ca="1" si="429"/>
        <v>#N/A</v>
      </c>
    </row>
    <row r="660" spans="1:81" ht="15" x14ac:dyDescent="0.25">
      <c r="A660" s="66">
        <v>594</v>
      </c>
      <c r="B660" s="66">
        <v>1498730432.448</v>
      </c>
      <c r="C660" s="67">
        <v>7.4411268306556703E-5</v>
      </c>
      <c r="D660" s="67">
        <v>3.3045178641469001E-5</v>
      </c>
      <c r="E660" s="67">
        <v>1.05054830573385E-2</v>
      </c>
      <c r="F660" s="67">
        <v>7.2565216890281602E-4</v>
      </c>
      <c r="G660" s="67">
        <v>8.5778240416946297E-5</v>
      </c>
      <c r="H660" s="67">
        <v>0.18894768862665501</v>
      </c>
      <c r="I660" s="67">
        <v>3.3045178641469001E-5</v>
      </c>
      <c r="J660" s="67">
        <v>0.13693443750364001</v>
      </c>
      <c r="K660" s="67">
        <v>1.64808786447652</v>
      </c>
      <c r="L660" s="67"/>
      <c r="M660" s="67"/>
      <c r="N660" s="16"/>
      <c r="O660" s="11">
        <f t="shared" ca="1" si="387"/>
        <v>6.1607337596596682E-5</v>
      </c>
      <c r="P660" s="11">
        <f t="shared" ca="1" si="388"/>
        <v>3.2280078411164263E-5</v>
      </c>
      <c r="Q660" s="11">
        <f t="shared" ca="1" si="389"/>
        <v>9.6689914450702151E-3</v>
      </c>
      <c r="R660" s="11">
        <f t="shared" ca="1" si="390"/>
        <v>7.1400568125646886E-4</v>
      </c>
      <c r="S660" s="11">
        <f t="shared" ca="1" si="391"/>
        <v>7.485058836997617E-5</v>
      </c>
      <c r="T660" s="11">
        <f t="shared" ca="1" si="392"/>
        <v>0.18780913358807272</v>
      </c>
      <c r="U660" s="11">
        <f t="shared" ca="1" si="393"/>
        <v>3.2280078411164263E-5</v>
      </c>
      <c r="V660" s="11">
        <f t="shared" ca="1" si="394"/>
        <v>0.13628424149794624</v>
      </c>
      <c r="W660" s="11">
        <f t="shared" ca="1" si="395"/>
        <v>1.6409650162130149</v>
      </c>
      <c r="X660" s="11"/>
      <c r="Y660" s="2">
        <f t="shared" ca="1" si="396"/>
        <v>6.1607337596596682E-5</v>
      </c>
      <c r="Z660" s="11">
        <f t="shared" ca="1" si="397"/>
        <v>3.2280078411164263E-5</v>
      </c>
      <c r="AA660" s="2">
        <f t="shared" ca="1" si="398"/>
        <v>9.6687444783149362E-3</v>
      </c>
      <c r="AB660" s="2">
        <f t="shared" ca="1" si="399"/>
        <v>7.0802796320256021E-4</v>
      </c>
      <c r="AC660" s="2">
        <f t="shared" ca="1" si="400"/>
        <v>7.485058836997617E-5</v>
      </c>
      <c r="AD660" s="2">
        <f t="shared" ca="1" si="401"/>
        <v>0.18776566182626284</v>
      </c>
      <c r="AE660" s="2">
        <f t="shared" ca="1" si="402"/>
        <v>3.2280078411164263E-5</v>
      </c>
      <c r="AF660" s="2">
        <f t="shared" ca="1" si="403"/>
        <v>0.13622004417377573</v>
      </c>
      <c r="AG660" s="2">
        <f t="shared" ca="1" si="404"/>
        <v>1.6409389664322938</v>
      </c>
      <c r="AI660" s="2">
        <f t="shared" ca="1" si="405"/>
        <v>6.1607337596596682E-5</v>
      </c>
      <c r="AJ660" s="11">
        <f t="shared" ca="1" si="406"/>
        <v>3.2280078411164263E-5</v>
      </c>
      <c r="AK660" s="2">
        <f t="shared" ca="1" si="407"/>
        <v>9.6306599584595233E-3</v>
      </c>
      <c r="AL660" s="2">
        <f t="shared" ca="1" si="408"/>
        <v>6.9020281710661566E-4</v>
      </c>
      <c r="AM660" s="2">
        <f t="shared" ca="1" si="409"/>
        <v>7.485058836997617E-5</v>
      </c>
      <c r="AN660" s="2">
        <f t="shared" ca="1" si="410"/>
        <v>0.18776566182626284</v>
      </c>
      <c r="AO660" s="2">
        <f t="shared" ca="1" si="411"/>
        <v>3.2280078411164263E-5</v>
      </c>
      <c r="AP660" s="2">
        <f t="shared" ca="1" si="412"/>
        <v>0.13622004417377573</v>
      </c>
      <c r="AQ660" s="2">
        <f t="shared" ca="1" si="413"/>
        <v>1.6409389664322938</v>
      </c>
      <c r="AS660" s="2">
        <f t="shared" ca="1" si="414"/>
        <v>8.7374079463685277</v>
      </c>
      <c r="AT660" s="2">
        <f t="shared" ca="1" si="415"/>
        <v>0.40255094794439705</v>
      </c>
      <c r="AU660" s="2">
        <f t="shared" ca="1" si="416"/>
        <v>2.8742366382747652E-4</v>
      </c>
      <c r="AV660" s="2">
        <f t="shared" ca="1" si="417"/>
        <v>0.13599681783411877</v>
      </c>
      <c r="AW660" s="2">
        <f t="shared" ca="1" si="418"/>
        <v>0.70884697070410574</v>
      </c>
      <c r="AX660" s="2">
        <f t="shared" ca="1" si="419"/>
        <v>5.3762435182451399E-2</v>
      </c>
      <c r="AY660" s="9">
        <f t="shared" ca="1" si="420"/>
        <v>0.70884697070410574</v>
      </c>
      <c r="AZ660" s="9">
        <f t="shared" ca="1" si="421"/>
        <v>0.70884697070410574</v>
      </c>
      <c r="BA660" s="9"/>
      <c r="BB660" s="2">
        <f t="shared" ca="1" si="422"/>
        <v>8.7392921073643031</v>
      </c>
      <c r="BC660" s="2">
        <f t="shared" ca="1" si="423"/>
        <v>0.40263880822674852</v>
      </c>
      <c r="BD660" s="2">
        <f t="shared" ca="1" si="424"/>
        <v>2.7790243971455221E-4</v>
      </c>
      <c r="BE660" s="2">
        <f t="shared" ca="1" si="425"/>
        <v>0.13594214173406119</v>
      </c>
      <c r="BF660" s="2">
        <f t="shared" ca="1" si="426"/>
        <v>0.70864908081638689</v>
      </c>
      <c r="BG660" s="2">
        <f t="shared" ca="1" si="427"/>
        <v>5.35735174377946E-2</v>
      </c>
      <c r="BH660" s="2">
        <f t="shared" ca="1" si="428"/>
        <v>0.70864908081638689</v>
      </c>
      <c r="BI660" s="2">
        <f t="shared" ca="1" si="429"/>
        <v>0.70864908081638689</v>
      </c>
    </row>
    <row r="661" spans="1:81" ht="15" x14ac:dyDescent="0.25">
      <c r="A661" s="66">
        <v>595</v>
      </c>
      <c r="B661" s="66">
        <v>1498730432.9749999</v>
      </c>
      <c r="C661" s="67">
        <v>-9.6861147326922004E-6</v>
      </c>
      <c r="D661" s="67">
        <v>-2.37670587841137E-5</v>
      </c>
      <c r="E661" s="67">
        <v>7.7222580740892097E-3</v>
      </c>
      <c r="F661" s="67">
        <v>3.8926200827288197E-4</v>
      </c>
      <c r="G661" s="67">
        <v>3.2357404089681701E-5</v>
      </c>
      <c r="H661" s="67">
        <v>0.134489047515815</v>
      </c>
      <c r="I661" s="67">
        <v>-2.37670587841137E-5</v>
      </c>
      <c r="J661" s="67">
        <v>9.7538456584026795E-2</v>
      </c>
      <c r="K661" s="67">
        <v>1.17209092598485</v>
      </c>
      <c r="L661" s="67"/>
      <c r="M661" s="67"/>
      <c r="N661" s="16"/>
      <c r="O661" s="11">
        <f t="shared" ca="1" si="387"/>
        <v>-2.2490045442652228E-5</v>
      </c>
      <c r="P661" s="11">
        <f t="shared" ca="1" si="388"/>
        <v>-2.4532159014418442E-5</v>
      </c>
      <c r="Q661" s="11">
        <f t="shared" ca="1" si="389"/>
        <v>6.8857664618209259E-3</v>
      </c>
      <c r="R661" s="11">
        <f t="shared" ca="1" si="390"/>
        <v>3.7761552062653487E-4</v>
      </c>
      <c r="S661" s="11">
        <f t="shared" ca="1" si="391"/>
        <v>2.142975204271158E-5</v>
      </c>
      <c r="T661" s="11">
        <f t="shared" ca="1" si="392"/>
        <v>0.13335049247723271</v>
      </c>
      <c r="U661" s="11">
        <f t="shared" ca="1" si="393"/>
        <v>-2.4532159014418442E-5</v>
      </c>
      <c r="V661" s="11">
        <f t="shared" ca="1" si="394"/>
        <v>9.6888260578333024E-2</v>
      </c>
      <c r="W661" s="11">
        <f t="shared" ca="1" si="395"/>
        <v>1.1649680777213449</v>
      </c>
      <c r="X661" s="11"/>
      <c r="Y661" s="2">
        <f t="shared" ca="1" si="396"/>
        <v>-2.2490045442652228E-5</v>
      </c>
      <c r="Z661" s="11">
        <f t="shared" ca="1" si="397"/>
        <v>-2.4532159014418442E-5</v>
      </c>
      <c r="AA661" s="2">
        <f t="shared" ca="1" si="398"/>
        <v>6.8857664618209259E-3</v>
      </c>
      <c r="AB661" s="2">
        <f t="shared" ca="1" si="399"/>
        <v>3.7761552062653487E-4</v>
      </c>
      <c r="AC661" s="2">
        <f t="shared" ca="1" si="400"/>
        <v>2.142975204271158E-5</v>
      </c>
      <c r="AD661" s="2">
        <f t="shared" ca="1" si="401"/>
        <v>0.13335049247723271</v>
      </c>
      <c r="AE661" s="2">
        <f t="shared" ca="1" si="402"/>
        <v>-2.4532159014418442E-5</v>
      </c>
      <c r="AF661" s="2">
        <f t="shared" ca="1" si="403"/>
        <v>9.6888260578333024E-2</v>
      </c>
      <c r="AG661" s="2">
        <f t="shared" ca="1" si="404"/>
        <v>1.1649680777213449</v>
      </c>
      <c r="AI661" s="2">
        <f t="shared" ca="1" si="405"/>
        <v>-2.2490045442652228E-5</v>
      </c>
      <c r="AJ661" s="11">
        <f t="shared" ca="1" si="406"/>
        <v>-2.4532159014418442E-5</v>
      </c>
      <c r="AK661" s="2">
        <f t="shared" ca="1" si="407"/>
        <v>6.8857664618209259E-3</v>
      </c>
      <c r="AL661" s="2">
        <f t="shared" ca="1" si="408"/>
        <v>3.7761552062653487E-4</v>
      </c>
      <c r="AM661" s="2">
        <f t="shared" ca="1" si="409"/>
        <v>2.142975204271158E-5</v>
      </c>
      <c r="AN661" s="2">
        <f t="shared" ca="1" si="410"/>
        <v>0.13335049247723271</v>
      </c>
      <c r="AO661" s="2">
        <f t="shared" ca="1" si="411"/>
        <v>-2.4532159014418442E-5</v>
      </c>
      <c r="AP661" s="2">
        <f t="shared" ca="1" si="412"/>
        <v>9.6888260578333024E-2</v>
      </c>
      <c r="AQ661" s="2">
        <f t="shared" ca="1" si="413"/>
        <v>1.1649680777213449</v>
      </c>
      <c r="AS661" s="2">
        <f t="shared" ca="1" si="414"/>
        <v>8.7361362982610888</v>
      </c>
      <c r="AT661" s="2">
        <f t="shared" ca="1" si="415"/>
        <v>0.40249164987098146</v>
      </c>
      <c r="AU661" s="2">
        <f t="shared" ca="1" si="416"/>
        <v>1.5198709391386366E-4</v>
      </c>
      <c r="AV661" s="2">
        <f t="shared" ca="1" si="417"/>
        <v>9.6736273484419155E-2</v>
      </c>
      <c r="AW661" s="2">
        <f t="shared" ca="1" si="418"/>
        <v>0.71017767037123647</v>
      </c>
      <c r="AX661" s="2">
        <f t="shared" ca="1" si="419"/>
        <v>5.3914731717617313E-2</v>
      </c>
      <c r="AY661" s="9" t="str">
        <f t="shared" ca="1" si="420"/>
        <v>rejected</v>
      </c>
      <c r="AZ661" s="9" t="e">
        <f t="shared" ca="1" si="421"/>
        <v>#N/A</v>
      </c>
      <c r="BA661" s="9"/>
      <c r="BB661" s="2">
        <f t="shared" ca="1" si="422"/>
        <v>8.7361362982610888</v>
      </c>
      <c r="BC661" s="2">
        <f t="shared" ca="1" si="423"/>
        <v>0.40249164987098146</v>
      </c>
      <c r="BD661" s="2">
        <f t="shared" ca="1" si="424"/>
        <v>1.5198709391386366E-4</v>
      </c>
      <c r="BE661" s="2">
        <f t="shared" ca="1" si="425"/>
        <v>9.6736273484419155E-2</v>
      </c>
      <c r="BF661" s="2">
        <f t="shared" ca="1" si="426"/>
        <v>0.71017767037123647</v>
      </c>
      <c r="BG661" s="2">
        <f t="shared" ca="1" si="427"/>
        <v>5.3914731717617313E-2</v>
      </c>
      <c r="BH661" s="2" t="str">
        <f t="shared" ca="1" si="428"/>
        <v>rejected</v>
      </c>
      <c r="BI661" s="2" t="e">
        <f t="shared" ca="1" si="429"/>
        <v>#N/A</v>
      </c>
    </row>
    <row r="662" spans="1:81" ht="15" x14ac:dyDescent="0.25">
      <c r="A662" s="66">
        <v>596</v>
      </c>
      <c r="B662" s="66">
        <v>1498730433.5020001</v>
      </c>
      <c r="C662" s="67">
        <v>3.8267418452135801E-5</v>
      </c>
      <c r="D662" s="67">
        <v>-6.31739762815413E-5</v>
      </c>
      <c r="E662" s="67">
        <v>5.4837902577473396E-3</v>
      </c>
      <c r="F662" s="67">
        <v>3.48084017915339E-4</v>
      </c>
      <c r="G662" s="67">
        <v>5.2587033715734201E-5</v>
      </c>
      <c r="H662" s="67">
        <v>9.1960394093897793E-2</v>
      </c>
      <c r="I662" s="67">
        <v>-6.31739762815413E-5</v>
      </c>
      <c r="J662" s="67">
        <v>6.65678976581867E-2</v>
      </c>
      <c r="K662" s="67">
        <v>0.80033233511559498</v>
      </c>
      <c r="L662" s="67"/>
      <c r="M662" s="67"/>
      <c r="N662" s="16"/>
      <c r="O662" s="11">
        <f t="shared" ca="1" si="387"/>
        <v>2.5463487742175773E-5</v>
      </c>
      <c r="P662" s="11">
        <f t="shared" ca="1" si="388"/>
        <v>-6.3939076511846038E-5</v>
      </c>
      <c r="Q662" s="11">
        <f t="shared" ca="1" si="389"/>
        <v>4.6472986454790558E-3</v>
      </c>
      <c r="R662" s="11">
        <f t="shared" ca="1" si="390"/>
        <v>3.3643753026899189E-4</v>
      </c>
      <c r="S662" s="11">
        <f t="shared" ca="1" si="391"/>
        <v>4.165938166876408E-5</v>
      </c>
      <c r="T662" s="11">
        <f t="shared" ca="1" si="392"/>
        <v>9.082183905531549E-2</v>
      </c>
      <c r="U662" s="11">
        <f t="shared" ca="1" si="393"/>
        <v>-6.3939076511846038E-5</v>
      </c>
      <c r="V662" s="11">
        <f t="shared" ca="1" si="394"/>
        <v>6.591770165249293E-2</v>
      </c>
      <c r="W662" s="11">
        <f t="shared" ca="1" si="395"/>
        <v>0.79320948685209003</v>
      </c>
      <c r="X662" s="11"/>
      <c r="Y662" s="2">
        <f t="shared" ca="1" si="396"/>
        <v>2.5463487742175773E-5</v>
      </c>
      <c r="Z662" s="11">
        <f t="shared" ca="1" si="397"/>
        <v>-6.3939076511846038E-5</v>
      </c>
      <c r="AA662" s="2">
        <f t="shared" ca="1" si="398"/>
        <v>4.6472986454790558E-3</v>
      </c>
      <c r="AB662" s="2">
        <f t="shared" ca="1" si="399"/>
        <v>3.3643753026899189E-4</v>
      </c>
      <c r="AC662" s="2">
        <f t="shared" ca="1" si="400"/>
        <v>4.165938166876408E-5</v>
      </c>
      <c r="AD662" s="2">
        <f t="shared" ca="1" si="401"/>
        <v>9.082183905531549E-2</v>
      </c>
      <c r="AE662" s="2">
        <f t="shared" ca="1" si="402"/>
        <v>-6.3939076511846038E-5</v>
      </c>
      <c r="AF662" s="2">
        <f t="shared" ca="1" si="403"/>
        <v>6.591770165249293E-2</v>
      </c>
      <c r="AG662" s="2">
        <f t="shared" ca="1" si="404"/>
        <v>0.79320948685209003</v>
      </c>
      <c r="AI662" s="2">
        <f t="shared" ca="1" si="405"/>
        <v>2.5463487742175773E-5</v>
      </c>
      <c r="AJ662" s="11">
        <f t="shared" ca="1" si="406"/>
        <v>-6.3939076511846038E-5</v>
      </c>
      <c r="AK662" s="2">
        <f t="shared" ca="1" si="407"/>
        <v>4.6472986454790558E-3</v>
      </c>
      <c r="AL662" s="2">
        <f t="shared" ca="1" si="408"/>
        <v>3.3643753026899189E-4</v>
      </c>
      <c r="AM662" s="2">
        <f t="shared" ca="1" si="409"/>
        <v>4.165938166876408E-5</v>
      </c>
      <c r="AN662" s="2">
        <f t="shared" ca="1" si="410"/>
        <v>9.082183905531549E-2</v>
      </c>
      <c r="AO662" s="2">
        <f t="shared" ca="1" si="411"/>
        <v>-6.3939076511846038E-5</v>
      </c>
      <c r="AP662" s="2">
        <f t="shared" ca="1" si="412"/>
        <v>6.591770165249293E-2</v>
      </c>
      <c r="AQ662" s="2">
        <f t="shared" ca="1" si="413"/>
        <v>0.79320948685209003</v>
      </c>
      <c r="AS662" s="2">
        <f t="shared" ca="1" si="414"/>
        <v>8.7336866892662446</v>
      </c>
      <c r="AT662" s="2">
        <f t="shared" ca="1" si="415"/>
        <v>0.40237742273697968</v>
      </c>
      <c r="AU662" s="2">
        <f t="shared" ca="1" si="416"/>
        <v>1.3537486634163155E-4</v>
      </c>
      <c r="AV662" s="2">
        <f t="shared" ca="1" si="417"/>
        <v>6.5782326786151299E-2</v>
      </c>
      <c r="AW662" s="2">
        <f t="shared" ca="1" si="418"/>
        <v>0.70917359493771248</v>
      </c>
      <c r="AX662" s="2">
        <f t="shared" ca="1" si="419"/>
        <v>5.3411582905959855E-2</v>
      </c>
      <c r="AY662" s="9">
        <f t="shared" ca="1" si="420"/>
        <v>0.70917359493771248</v>
      </c>
      <c r="AZ662" s="9">
        <f t="shared" ca="1" si="421"/>
        <v>0.70917359493771248</v>
      </c>
      <c r="BA662" s="9"/>
      <c r="BB662" s="2">
        <f t="shared" ca="1" si="422"/>
        <v>8.7336866892662446</v>
      </c>
      <c r="BC662" s="2">
        <f t="shared" ca="1" si="423"/>
        <v>0.40237742273697968</v>
      </c>
      <c r="BD662" s="2">
        <f t="shared" ca="1" si="424"/>
        <v>1.3537486634163155E-4</v>
      </c>
      <c r="BE662" s="2">
        <f t="shared" ca="1" si="425"/>
        <v>6.5782326786151299E-2</v>
      </c>
      <c r="BF662" s="2">
        <f t="shared" ca="1" si="426"/>
        <v>0.70917359493771248</v>
      </c>
      <c r="BG662" s="2">
        <f t="shared" ca="1" si="427"/>
        <v>5.3411582905959855E-2</v>
      </c>
      <c r="BH662" s="2">
        <f t="shared" ca="1" si="428"/>
        <v>0.70917359493771248</v>
      </c>
      <c r="BI662" s="2">
        <f t="shared" ca="1" si="429"/>
        <v>0.70917359493771248</v>
      </c>
    </row>
    <row r="663" spans="1:81" ht="15" x14ac:dyDescent="0.25">
      <c r="A663" s="66">
        <v>597</v>
      </c>
      <c r="B663" s="66">
        <v>1498730434.029</v>
      </c>
      <c r="C663" s="67">
        <v>5.5984827392037701E-5</v>
      </c>
      <c r="D663" s="67">
        <v>-5.1393681052527898E-5</v>
      </c>
      <c r="E663" s="67">
        <v>4.1024455966270704E-3</v>
      </c>
      <c r="F663" s="67">
        <v>2.85963210210991E-4</v>
      </c>
      <c r="G663" s="67">
        <v>-9.1251188712154408E-6</v>
      </c>
      <c r="H663" s="67">
        <v>6.57214178120058E-2</v>
      </c>
      <c r="I663" s="67">
        <v>-5.1393681052527898E-5</v>
      </c>
      <c r="J663" s="67">
        <v>4.74583003793883E-2</v>
      </c>
      <c r="K663" s="67">
        <v>0.57108765764746405</v>
      </c>
      <c r="L663" s="67"/>
      <c r="M663" s="67"/>
      <c r="N663" s="16"/>
      <c r="O663" s="11">
        <f t="shared" ca="1" si="387"/>
        <v>4.3180896682077673E-5</v>
      </c>
      <c r="P663" s="11">
        <f t="shared" ca="1" si="388"/>
        <v>-5.2158781282832637E-5</v>
      </c>
      <c r="Q663" s="11">
        <f t="shared" ca="1" si="389"/>
        <v>3.2659539843587866E-3</v>
      </c>
      <c r="R663" s="11">
        <f t="shared" ca="1" si="390"/>
        <v>2.7431672256464389E-4</v>
      </c>
      <c r="S663" s="11">
        <f t="shared" ca="1" si="391"/>
        <v>-2.0052770918185561E-5</v>
      </c>
      <c r="T663" s="11">
        <f t="shared" ca="1" si="392"/>
        <v>6.4582862773423497E-2</v>
      </c>
      <c r="U663" s="11">
        <f t="shared" ca="1" si="393"/>
        <v>-5.2158781282832637E-5</v>
      </c>
      <c r="V663" s="11">
        <f t="shared" ca="1" si="394"/>
        <v>4.6808104373694523E-2</v>
      </c>
      <c r="W663" s="11">
        <f t="shared" ca="1" si="395"/>
        <v>0.5639648093839591</v>
      </c>
      <c r="X663" s="11"/>
      <c r="Y663" s="2">
        <f t="shared" ca="1" si="396"/>
        <v>4.3180896682077673E-5</v>
      </c>
      <c r="Z663" s="11">
        <f t="shared" ca="1" si="397"/>
        <v>-5.2158781282832637E-5</v>
      </c>
      <c r="AA663" s="2">
        <f t="shared" ca="1" si="398"/>
        <v>3.2659539843587866E-3</v>
      </c>
      <c r="AB663" s="2">
        <f t="shared" ca="1" si="399"/>
        <v>2.7431672256464389E-4</v>
      </c>
      <c r="AC663" s="2">
        <f t="shared" ca="1" si="400"/>
        <v>-2.0052770918185561E-5</v>
      </c>
      <c r="AD663" s="2">
        <f t="shared" ca="1" si="401"/>
        <v>6.4582862773423497E-2</v>
      </c>
      <c r="AE663" s="2">
        <f t="shared" ca="1" si="402"/>
        <v>-5.2158781282832637E-5</v>
      </c>
      <c r="AF663" s="2">
        <f t="shared" ca="1" si="403"/>
        <v>4.6808104373694523E-2</v>
      </c>
      <c r="AG663" s="2">
        <f t="shared" ca="1" si="404"/>
        <v>0.5639648093839591</v>
      </c>
      <c r="AI663" s="2">
        <f t="shared" ca="1" si="405"/>
        <v>4.3180896682077673E-5</v>
      </c>
      <c r="AJ663" s="11">
        <f t="shared" ca="1" si="406"/>
        <v>-5.2158781282832637E-5</v>
      </c>
      <c r="AK663" s="2">
        <f t="shared" ca="1" si="407"/>
        <v>3.2659539843587866E-3</v>
      </c>
      <c r="AL663" s="2">
        <f t="shared" ca="1" si="408"/>
        <v>2.7431672256464389E-4</v>
      </c>
      <c r="AM663" s="2">
        <f t="shared" ca="1" si="409"/>
        <v>-2.0052770918185561E-5</v>
      </c>
      <c r="AN663" s="2">
        <f t="shared" ca="1" si="410"/>
        <v>6.4582862773423497E-2</v>
      </c>
      <c r="AO663" s="2">
        <f t="shared" ca="1" si="411"/>
        <v>-5.2158781282832637E-5</v>
      </c>
      <c r="AP663" s="2">
        <f t="shared" ca="1" si="412"/>
        <v>4.6808104373694523E-2</v>
      </c>
      <c r="AQ663" s="2">
        <f t="shared" ca="1" si="413"/>
        <v>0.5639648093839591</v>
      </c>
      <c r="AS663" s="2">
        <f t="shared" ca="1" si="414"/>
        <v>8.7324219640513725</v>
      </c>
      <c r="AT663" s="2">
        <f t="shared" ca="1" si="415"/>
        <v>0.40231844778860149</v>
      </c>
      <c r="AU663" s="2">
        <f t="shared" ca="1" si="416"/>
        <v>1.1036267802466396E-4</v>
      </c>
      <c r="AV663" s="2">
        <f t="shared" ca="1" si="417"/>
        <v>4.6697741695669856E-2</v>
      </c>
      <c r="AW663" s="2">
        <f t="shared" ca="1" si="418"/>
        <v>0.70801731305002935</v>
      </c>
      <c r="AX663" s="2">
        <f t="shared" ca="1" si="419"/>
        <v>5.277807801816068E-2</v>
      </c>
      <c r="AY663" s="9">
        <f t="shared" ca="1" si="420"/>
        <v>0.70801731305002935</v>
      </c>
      <c r="AZ663" s="9">
        <f t="shared" ca="1" si="421"/>
        <v>0.70801731305002935</v>
      </c>
      <c r="BA663" s="9"/>
      <c r="BB663" s="2">
        <f t="shared" ca="1" si="422"/>
        <v>8.7324219640513725</v>
      </c>
      <c r="BC663" s="2">
        <f t="shared" ca="1" si="423"/>
        <v>0.40231844778860149</v>
      </c>
      <c r="BD663" s="2">
        <f t="shared" ca="1" si="424"/>
        <v>1.1036267802466396E-4</v>
      </c>
      <c r="BE663" s="2">
        <f t="shared" ca="1" si="425"/>
        <v>4.6697741695669856E-2</v>
      </c>
      <c r="BF663" s="2">
        <f t="shared" ca="1" si="426"/>
        <v>0.70801731305002935</v>
      </c>
      <c r="BG663" s="2">
        <f t="shared" ca="1" si="427"/>
        <v>5.277807801816068E-2</v>
      </c>
      <c r="BH663" s="2">
        <f t="shared" ca="1" si="428"/>
        <v>0.70801731305002935</v>
      </c>
      <c r="BI663" s="2">
        <f t="shared" ca="1" si="429"/>
        <v>0.70801731305002935</v>
      </c>
    </row>
    <row r="664" spans="1:81" ht="15" x14ac:dyDescent="0.25">
      <c r="A664" s="66">
        <v>598</v>
      </c>
      <c r="B664" s="66">
        <v>1498730434.556</v>
      </c>
      <c r="C664" s="67">
        <v>4.2508801354142498E-6</v>
      </c>
      <c r="D664" s="67">
        <v>-6.0506416784045901E-5</v>
      </c>
      <c r="E664" s="67">
        <v>3.1737369486293599E-3</v>
      </c>
      <c r="F664" s="67">
        <v>1.9957172847358899E-4</v>
      </c>
      <c r="G664" s="67">
        <v>-1.7617728148251399E-4</v>
      </c>
      <c r="H664" s="67">
        <v>4.8660477714208603E-2</v>
      </c>
      <c r="I664" s="67">
        <v>-6.0506416784045901E-5</v>
      </c>
      <c r="J664" s="67">
        <v>3.5233951737841399E-2</v>
      </c>
      <c r="K664" s="67">
        <v>0.42261873344803502</v>
      </c>
      <c r="L664" s="67"/>
      <c r="M664" s="67"/>
      <c r="N664" s="16"/>
      <c r="O664" s="11">
        <f t="shared" ca="1" si="387"/>
        <v>-8.553050574545778E-6</v>
      </c>
      <c r="P664" s="11">
        <f t="shared" ca="1" si="388"/>
        <v>-6.1271517014350647E-5</v>
      </c>
      <c r="Q664" s="11">
        <f t="shared" ca="1" si="389"/>
        <v>2.3372453363610761E-3</v>
      </c>
      <c r="R664" s="11">
        <f t="shared" ca="1" si="390"/>
        <v>1.8792524082724186E-4</v>
      </c>
      <c r="S664" s="11">
        <f t="shared" ca="1" si="391"/>
        <v>-1.8710493352948411E-4</v>
      </c>
      <c r="T664" s="11">
        <f t="shared" ca="1" si="392"/>
        <v>4.7521922675626299E-2</v>
      </c>
      <c r="U664" s="11">
        <f t="shared" ca="1" si="393"/>
        <v>-6.1271517014350647E-5</v>
      </c>
      <c r="V664" s="11">
        <f t="shared" ca="1" si="394"/>
        <v>3.4583755732147621E-2</v>
      </c>
      <c r="W664" s="11">
        <f t="shared" ca="1" si="395"/>
        <v>0.41549588518453001</v>
      </c>
      <c r="X664" s="11"/>
      <c r="Y664" s="2">
        <f t="shared" ca="1" si="396"/>
        <v>-8.553050574545778E-6</v>
      </c>
      <c r="Z664" s="11">
        <f t="shared" ca="1" si="397"/>
        <v>-6.1271517014350647E-5</v>
      </c>
      <c r="AA664" s="2">
        <f t="shared" ca="1" si="398"/>
        <v>2.3372453363610761E-3</v>
      </c>
      <c r="AB664" s="2">
        <f t="shared" ca="1" si="399"/>
        <v>1.8792524082724186E-4</v>
      </c>
      <c r="AC664" s="2">
        <f t="shared" ca="1" si="400"/>
        <v>-1.8710493352948411E-4</v>
      </c>
      <c r="AD664" s="2">
        <f t="shared" ca="1" si="401"/>
        <v>4.7521922675626299E-2</v>
      </c>
      <c r="AE664" s="2">
        <f t="shared" ca="1" si="402"/>
        <v>-6.1271517014350647E-5</v>
      </c>
      <c r="AF664" s="2">
        <f t="shared" ca="1" si="403"/>
        <v>3.4583755732147621E-2</v>
      </c>
      <c r="AG664" s="2">
        <f t="shared" ca="1" si="404"/>
        <v>0.41549588518453001</v>
      </c>
      <c r="AI664" s="2">
        <f t="shared" ca="1" si="405"/>
        <v>-8.553050574545778E-6</v>
      </c>
      <c r="AJ664" s="11">
        <f t="shared" ca="1" si="406"/>
        <v>-6.1271517014350647E-5</v>
      </c>
      <c r="AK664" s="2">
        <f t="shared" ca="1" si="407"/>
        <v>2.3372453363610761E-3</v>
      </c>
      <c r="AL664" s="2">
        <f t="shared" ca="1" si="408"/>
        <v>1.8792524082724186E-4</v>
      </c>
      <c r="AM664" s="2">
        <f t="shared" ca="1" si="409"/>
        <v>-1.8710493352948411E-4</v>
      </c>
      <c r="AN664" s="2">
        <f t="shared" ca="1" si="410"/>
        <v>4.7521922675626299E-2</v>
      </c>
      <c r="AO664" s="2">
        <f t="shared" ca="1" si="411"/>
        <v>-6.1271517014350647E-5</v>
      </c>
      <c r="AP664" s="2">
        <f t="shared" ca="1" si="412"/>
        <v>3.4583755732147621E-2</v>
      </c>
      <c r="AQ664" s="2">
        <f t="shared" ca="1" si="413"/>
        <v>0.41549588518453001</v>
      </c>
      <c r="AS664" s="2">
        <f t="shared" ca="1" si="414"/>
        <v>8.7432465226756335</v>
      </c>
      <c r="AT664" s="2">
        <f t="shared" ca="1" si="415"/>
        <v>0.40282320725321397</v>
      </c>
      <c r="AU664" s="2">
        <f t="shared" ca="1" si="416"/>
        <v>7.5700648233862188E-5</v>
      </c>
      <c r="AV664" s="2">
        <f t="shared" ca="1" si="417"/>
        <v>3.4508055083913761E-2</v>
      </c>
      <c r="AW664" s="2">
        <f t="shared" ca="1" si="418"/>
        <v>0.71059284776520482</v>
      </c>
      <c r="AX664" s="2">
        <f t="shared" ca="1" si="419"/>
        <v>5.1395088653716628E-2</v>
      </c>
      <c r="AY664" s="9" t="str">
        <f t="shared" ca="1" si="420"/>
        <v>rejected</v>
      </c>
      <c r="AZ664" s="9" t="e">
        <f t="shared" ca="1" si="421"/>
        <v>#N/A</v>
      </c>
      <c r="BA664" s="9"/>
      <c r="BB664" s="2">
        <f t="shared" ca="1" si="422"/>
        <v>8.7432465226756335</v>
      </c>
      <c r="BC664" s="2">
        <f t="shared" ca="1" si="423"/>
        <v>0.40282320725321397</v>
      </c>
      <c r="BD664" s="2">
        <f t="shared" ca="1" si="424"/>
        <v>7.5700648233862188E-5</v>
      </c>
      <c r="BE664" s="2">
        <f t="shared" ca="1" si="425"/>
        <v>3.4508055083913761E-2</v>
      </c>
      <c r="BF664" s="2">
        <f t="shared" ca="1" si="426"/>
        <v>0.71059284776520482</v>
      </c>
      <c r="BG664" s="2">
        <f t="shared" ca="1" si="427"/>
        <v>5.1395088653716628E-2</v>
      </c>
      <c r="BH664" s="2" t="str">
        <f t="shared" ca="1" si="428"/>
        <v>rejected</v>
      </c>
      <c r="BI664" s="2" t="e">
        <f t="shared" ca="1" si="429"/>
        <v>#N/A</v>
      </c>
    </row>
    <row r="665" spans="1:81" ht="15" x14ac:dyDescent="0.25">
      <c r="A665" s="66">
        <v>599</v>
      </c>
      <c r="B665" s="66">
        <v>1498730435.0829999</v>
      </c>
      <c r="C665" s="67">
        <v>-7.1101048039705605E-5</v>
      </c>
      <c r="D665" s="67">
        <v>-5.0661792885531701E-5</v>
      </c>
      <c r="E665" s="67">
        <v>2.7325541432477798E-3</v>
      </c>
      <c r="F665" s="67">
        <v>1.39125934171573E-4</v>
      </c>
      <c r="G665" s="67">
        <v>-9.4377634936284398E-5</v>
      </c>
      <c r="H665" s="67">
        <v>3.8963996700702698E-2</v>
      </c>
      <c r="I665" s="67">
        <v>-5.0661792885531701E-5</v>
      </c>
      <c r="J665" s="67">
        <v>2.8164462013977699E-2</v>
      </c>
      <c r="K665" s="67">
        <v>0.337341296787534</v>
      </c>
      <c r="L665" s="67"/>
      <c r="M665" s="67"/>
      <c r="N665" s="16"/>
      <c r="O665" s="11">
        <f t="shared" ca="1" si="387"/>
        <v>-8.390497874966564E-5</v>
      </c>
      <c r="P665" s="11">
        <f t="shared" ca="1" si="388"/>
        <v>-5.1426893115836439E-5</v>
      </c>
      <c r="Q665" s="11">
        <f t="shared" ca="1" si="389"/>
        <v>1.8960625309794961E-3</v>
      </c>
      <c r="R665" s="11">
        <f t="shared" ca="1" si="390"/>
        <v>1.2747944652522587E-4</v>
      </c>
      <c r="S665" s="11">
        <f t="shared" ca="1" si="391"/>
        <v>-1.0530528698325453E-4</v>
      </c>
      <c r="T665" s="11">
        <f t="shared" ca="1" si="392"/>
        <v>3.7825441662120395E-2</v>
      </c>
      <c r="U665" s="11">
        <f t="shared" ca="1" si="393"/>
        <v>-5.1426893115836439E-5</v>
      </c>
      <c r="V665" s="11">
        <f t="shared" ca="1" si="394"/>
        <v>2.7514266008283925E-2</v>
      </c>
      <c r="W665" s="11">
        <f t="shared" ca="1" si="395"/>
        <v>0.33021844852402898</v>
      </c>
      <c r="X665" s="11"/>
      <c r="Y665" s="2">
        <f t="shared" ca="1" si="396"/>
        <v>-8.390497874966564E-5</v>
      </c>
      <c r="Z665" s="11">
        <f t="shared" ca="1" si="397"/>
        <v>-5.1426893115836439E-5</v>
      </c>
      <c r="AA665" s="2">
        <f t="shared" ca="1" si="398"/>
        <v>1.8960625309794961E-3</v>
      </c>
      <c r="AB665" s="2">
        <f t="shared" ca="1" si="399"/>
        <v>1.2747944652522587E-4</v>
      </c>
      <c r="AC665" s="2">
        <f t="shared" ca="1" si="400"/>
        <v>-1.0530528698325453E-4</v>
      </c>
      <c r="AD665" s="2">
        <f t="shared" ca="1" si="401"/>
        <v>3.7825441662120395E-2</v>
      </c>
      <c r="AE665" s="2">
        <f t="shared" ca="1" si="402"/>
        <v>-5.1426893115836439E-5</v>
      </c>
      <c r="AF665" s="2">
        <f t="shared" ca="1" si="403"/>
        <v>2.7514266008283925E-2</v>
      </c>
      <c r="AG665" s="2">
        <f t="shared" ca="1" si="404"/>
        <v>0.33021844852402898</v>
      </c>
      <c r="AI665" s="2">
        <f t="shared" ca="1" si="405"/>
        <v>-8.390497874966564E-5</v>
      </c>
      <c r="AJ665" s="11">
        <f t="shared" ca="1" si="406"/>
        <v>-5.1426893115836439E-5</v>
      </c>
      <c r="AK665" s="2">
        <f t="shared" ca="1" si="407"/>
        <v>1.8960625309794961E-3</v>
      </c>
      <c r="AL665" s="2">
        <f t="shared" ca="1" si="408"/>
        <v>1.2747944652522587E-4</v>
      </c>
      <c r="AM665" s="2">
        <f t="shared" ca="1" si="409"/>
        <v>-1.0530528698325453E-4</v>
      </c>
      <c r="AN665" s="2">
        <f t="shared" ca="1" si="410"/>
        <v>3.7825441662120395E-2</v>
      </c>
      <c r="AO665" s="2">
        <f t="shared" ca="1" si="411"/>
        <v>-5.1426893115836439E-5</v>
      </c>
      <c r="AP665" s="2">
        <f t="shared" ca="1" si="412"/>
        <v>2.7514266008283925E-2</v>
      </c>
      <c r="AQ665" s="2">
        <f t="shared" ca="1" si="413"/>
        <v>0.33021844852402898</v>
      </c>
      <c r="AS665" s="2">
        <f t="shared" ca="1" si="414"/>
        <v>8.7300619375112358</v>
      </c>
      <c r="AT665" s="2">
        <f t="shared" ca="1" si="415"/>
        <v>0.40220839851357781</v>
      </c>
      <c r="AU665" s="2">
        <f t="shared" ca="1" si="416"/>
        <v>5.1273304030308377E-5</v>
      </c>
      <c r="AV665" s="2">
        <f t="shared" ca="1" si="417"/>
        <v>2.7462992704253616E-2</v>
      </c>
      <c r="AW665" s="2">
        <f t="shared" ca="1" si="418"/>
        <v>0.71103055005171922</v>
      </c>
      <c r="AX665" s="2">
        <f t="shared" ca="1" si="419"/>
        <v>5.2300920439303754E-2</v>
      </c>
      <c r="AY665" s="9" t="str">
        <f t="shared" ca="1" si="420"/>
        <v>rejected</v>
      </c>
      <c r="AZ665" s="9" t="e">
        <f t="shared" ca="1" si="421"/>
        <v>#N/A</v>
      </c>
      <c r="BA665" s="9"/>
      <c r="BB665" s="2">
        <f t="shared" ca="1" si="422"/>
        <v>8.7300619375112358</v>
      </c>
      <c r="BC665" s="2">
        <f t="shared" ca="1" si="423"/>
        <v>0.40220839851357781</v>
      </c>
      <c r="BD665" s="2">
        <f t="shared" ca="1" si="424"/>
        <v>5.1273304030308377E-5</v>
      </c>
      <c r="BE665" s="2">
        <f t="shared" ca="1" si="425"/>
        <v>2.7462992704253616E-2</v>
      </c>
      <c r="BF665" s="2">
        <f t="shared" ca="1" si="426"/>
        <v>0.71103055005171922</v>
      </c>
      <c r="BG665" s="2">
        <f t="shared" ca="1" si="427"/>
        <v>5.2300920439303754E-2</v>
      </c>
      <c r="BH665" s="2" t="str">
        <f t="shared" ca="1" si="428"/>
        <v>rejected</v>
      </c>
      <c r="BI665" s="2" t="e">
        <f t="shared" ca="1" si="429"/>
        <v>#N/A</v>
      </c>
    </row>
    <row r="666" spans="1:81" ht="15" x14ac:dyDescent="0.25">
      <c r="A666" s="66">
        <v>600</v>
      </c>
      <c r="B666" s="66">
        <v>1498730435.6099999</v>
      </c>
      <c r="C666" s="67">
        <v>3.2597914409521002E-5</v>
      </c>
      <c r="D666" s="67">
        <v>1.5230272289825E-5</v>
      </c>
      <c r="E666" s="67">
        <v>2.38498715313047E-3</v>
      </c>
      <c r="F666" s="67">
        <v>5.8695865057070497E-5</v>
      </c>
      <c r="G666" s="67">
        <v>-1.3247129660279701E-4</v>
      </c>
      <c r="H666" s="67">
        <v>3.35763261651775E-2</v>
      </c>
      <c r="I666" s="67">
        <v>1.5230272289825E-5</v>
      </c>
      <c r="J666" s="67">
        <v>2.4105509644048999E-2</v>
      </c>
      <c r="K666" s="67">
        <v>0.29000551286726201</v>
      </c>
      <c r="L666" s="67"/>
      <c r="M666" s="67"/>
      <c r="N666" s="16"/>
      <c r="O666" s="11">
        <f t="shared" ca="1" si="387"/>
        <v>1.9793983699560975E-5</v>
      </c>
      <c r="P666" s="11">
        <f t="shared" ca="1" si="388"/>
        <v>1.446517205952026E-5</v>
      </c>
      <c r="Q666" s="11">
        <f t="shared" ca="1" si="389"/>
        <v>1.5484955408621862E-3</v>
      </c>
      <c r="R666" s="11">
        <f t="shared" ca="1" si="390"/>
        <v>4.7049377410723377E-5</v>
      </c>
      <c r="S666" s="11">
        <f t="shared" ca="1" si="391"/>
        <v>-1.4339894864976712E-4</v>
      </c>
      <c r="T666" s="11">
        <f t="shared" ca="1" si="392"/>
        <v>3.2437771126595197E-2</v>
      </c>
      <c r="U666" s="11">
        <f t="shared" ca="1" si="393"/>
        <v>1.446517205952026E-5</v>
      </c>
      <c r="V666" s="11">
        <f t="shared" ca="1" si="394"/>
        <v>2.3455313638355225E-2</v>
      </c>
      <c r="W666" s="11">
        <f t="shared" ca="1" si="395"/>
        <v>0.28288266460375699</v>
      </c>
      <c r="X666" s="11"/>
      <c r="Y666" s="2">
        <f t="shared" ca="1" si="396"/>
        <v>1.9793983699560975E-5</v>
      </c>
      <c r="Z666" s="11">
        <f t="shared" ca="1" si="397"/>
        <v>1.446517205952026E-5</v>
      </c>
      <c r="AA666" s="2">
        <f t="shared" ca="1" si="398"/>
        <v>1.5483848714715302E-3</v>
      </c>
      <c r="AB666" s="2">
        <f t="shared" ca="1" si="399"/>
        <v>4.4370675114164385E-5</v>
      </c>
      <c r="AC666" s="2">
        <f t="shared" ca="1" si="400"/>
        <v>-1.4339894864976712E-4</v>
      </c>
      <c r="AD666" s="2">
        <f t="shared" ca="1" si="401"/>
        <v>3.2418290798626327E-2</v>
      </c>
      <c r="AE666" s="2">
        <f t="shared" ca="1" si="402"/>
        <v>1.446517205952026E-5</v>
      </c>
      <c r="AF666" s="2">
        <f t="shared" ca="1" si="403"/>
        <v>2.3426545884818236E-2</v>
      </c>
      <c r="AG666" s="2">
        <f t="shared" ca="1" si="404"/>
        <v>0.28287099131859811</v>
      </c>
      <c r="AI666" s="2">
        <f t="shared" ca="1" si="405"/>
        <v>1.9793983699560975E-5</v>
      </c>
      <c r="AJ666" s="11">
        <f t="shared" ca="1" si="406"/>
        <v>1.446517205952026E-5</v>
      </c>
      <c r="AK666" s="2">
        <f t="shared" ca="1" si="407"/>
        <v>1.5313186448813795E-3</v>
      </c>
      <c r="AL666" s="2">
        <f t="shared" ca="1" si="408"/>
        <v>3.6382968207766461E-5</v>
      </c>
      <c r="AM666" s="2">
        <f t="shared" ca="1" si="409"/>
        <v>-1.4339894864976712E-4</v>
      </c>
      <c r="AN666" s="2">
        <f t="shared" ca="1" si="410"/>
        <v>3.2418290798626327E-2</v>
      </c>
      <c r="AO666" s="2">
        <f t="shared" ca="1" si="411"/>
        <v>1.446517205952026E-5</v>
      </c>
      <c r="AP666" s="2">
        <f t="shared" ca="1" si="412"/>
        <v>2.3426545884818236E-2</v>
      </c>
      <c r="AQ666" s="2">
        <f t="shared" ca="1" si="413"/>
        <v>0.28287099131859811</v>
      </c>
      <c r="AS666" s="2">
        <f t="shared" ca="1" si="414"/>
        <v>8.7207799666551722</v>
      </c>
      <c r="AT666" s="2">
        <f t="shared" ca="1" si="415"/>
        <v>0.40177557884687898</v>
      </c>
      <c r="AU666" s="2">
        <f t="shared" ca="1" si="416"/>
        <v>1.8903290843578657E-5</v>
      </c>
      <c r="AV666" s="2">
        <f t="shared" ca="1" si="417"/>
        <v>2.3436410347511646E-2</v>
      </c>
      <c r="AW666" s="2">
        <f t="shared" ca="1" si="418"/>
        <v>0.70794114422066146</v>
      </c>
      <c r="AX666" s="2">
        <f t="shared" ca="1" si="419"/>
        <v>4.9753873776141599E-2</v>
      </c>
      <c r="AY666" s="9">
        <f t="shared" ca="1" si="420"/>
        <v>0.70794114422066146</v>
      </c>
      <c r="AZ666" s="9">
        <f t="shared" ca="1" si="421"/>
        <v>0.70794114422066146</v>
      </c>
      <c r="BA666" s="9"/>
      <c r="BB666" s="2">
        <f t="shared" ca="1" si="422"/>
        <v>8.7256602476582241</v>
      </c>
      <c r="BC666" s="2">
        <f t="shared" ca="1" si="423"/>
        <v>0.40200314637190931</v>
      </c>
      <c r="BD666" s="2">
        <f t="shared" ca="1" si="424"/>
        <v>1.4626067693871264E-5</v>
      </c>
      <c r="BE666" s="2">
        <f t="shared" ca="1" si="425"/>
        <v>2.3411919817124364E-2</v>
      </c>
      <c r="BF666" s="2">
        <f t="shared" ca="1" si="426"/>
        <v>0.70742698424534312</v>
      </c>
      <c r="BG666" s="2">
        <f t="shared" ca="1" si="427"/>
        <v>4.9259729410826139E-2</v>
      </c>
      <c r="BH666" s="2" t="str">
        <f t="shared" ca="1" si="428"/>
        <v>rejected</v>
      </c>
      <c r="BI666" s="2" t="e">
        <f t="shared" ca="1" si="429"/>
        <v>#N/A</v>
      </c>
    </row>
    <row r="667" spans="1:81" ht="1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 s="67"/>
      <c r="N667" s="67"/>
      <c r="O667" s="16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C667" s="11"/>
      <c r="AN667" s="11"/>
      <c r="AX667" s="11"/>
      <c r="BI667" s="11"/>
      <c r="BL667" s="11"/>
      <c r="CA667" s="9"/>
      <c r="CB667" s="9"/>
      <c r="CC667" s="9"/>
    </row>
    <row r="668" spans="1:81" ht="1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 s="67"/>
      <c r="N668" s="67"/>
      <c r="O668" s="16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C668" s="11"/>
      <c r="AN668" s="11"/>
      <c r="AX668" s="11"/>
      <c r="BI668" s="11"/>
      <c r="BL668" s="11"/>
      <c r="CA668" s="9"/>
      <c r="CB668" s="9"/>
      <c r="CC668" s="9"/>
    </row>
    <row r="669" spans="1:81" ht="1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 s="67"/>
      <c r="N669" s="67"/>
      <c r="O669" s="16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C669" s="11"/>
      <c r="AN669" s="11"/>
      <c r="AX669" s="11"/>
      <c r="BI669" s="11"/>
      <c r="BL669" s="11"/>
      <c r="CA669" s="9"/>
      <c r="CB669" s="9"/>
      <c r="CC669" s="9"/>
    </row>
    <row r="670" spans="1:81" ht="1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 s="67"/>
      <c r="N670" s="67"/>
      <c r="O670" s="16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C670" s="11"/>
      <c r="AN670" s="11"/>
      <c r="AX670" s="11"/>
      <c r="BI670" s="11"/>
      <c r="BL670" s="11"/>
      <c r="CA670" s="9"/>
      <c r="CB670" s="9"/>
      <c r="CC670" s="9"/>
    </row>
    <row r="671" spans="1:81" ht="1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 s="67"/>
      <c r="N671" s="67"/>
      <c r="O671" s="16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C671" s="11"/>
      <c r="AN671" s="11"/>
      <c r="AX671" s="11"/>
      <c r="BI671" s="11"/>
      <c r="BL671" s="11"/>
      <c r="CA671" s="9"/>
      <c r="CB671" s="9"/>
      <c r="CC671" s="9"/>
    </row>
    <row r="672" spans="1:81" ht="1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 s="67"/>
      <c r="N672" s="67"/>
      <c r="O672" s="16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C672" s="11"/>
      <c r="AN672" s="11"/>
      <c r="AX672" s="11"/>
      <c r="BI672" s="11"/>
      <c r="BL672" s="11"/>
      <c r="CA672" s="9"/>
      <c r="CB672" s="9"/>
      <c r="CC672" s="9"/>
    </row>
    <row r="673" spans="1:81" ht="1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 s="67"/>
      <c r="N673" s="67"/>
      <c r="O673" s="16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C673" s="11"/>
      <c r="AN673" s="11"/>
      <c r="AX673" s="11"/>
      <c r="BI673" s="11"/>
      <c r="BL673" s="11"/>
      <c r="CA673" s="9"/>
      <c r="CB673" s="9"/>
      <c r="CC673" s="9"/>
    </row>
    <row r="674" spans="1:81" ht="1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 s="67"/>
      <c r="N674" s="67"/>
      <c r="O674" s="16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C674" s="11"/>
      <c r="AN674" s="11"/>
      <c r="AX674" s="11"/>
      <c r="BI674" s="11"/>
      <c r="BL674" s="11"/>
      <c r="CA674" s="9"/>
      <c r="CB674" s="9"/>
      <c r="CC674" s="9"/>
    </row>
    <row r="675" spans="1:81" ht="1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 s="67"/>
      <c r="N675" s="67"/>
      <c r="O675" s="16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C675" s="11"/>
      <c r="AN675" s="11"/>
      <c r="AX675" s="11"/>
      <c r="BI675" s="11"/>
      <c r="BL675" s="11"/>
      <c r="CA675" s="9"/>
      <c r="CB675" s="9"/>
      <c r="CC675" s="9"/>
    </row>
    <row r="676" spans="1:81" ht="1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 s="67"/>
      <c r="N676" s="67"/>
      <c r="O676" s="16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C676" s="11"/>
      <c r="AN676" s="11"/>
      <c r="AX676" s="11"/>
      <c r="BI676" s="11"/>
      <c r="BL676" s="11"/>
      <c r="CA676" s="9"/>
      <c r="CB676" s="9"/>
      <c r="CC676" s="9"/>
    </row>
    <row r="677" spans="1:81" ht="1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 s="67"/>
      <c r="N677" s="67"/>
      <c r="O677" s="16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C677" s="11"/>
      <c r="AN677" s="11"/>
      <c r="AX677" s="11"/>
      <c r="BI677" s="11"/>
      <c r="BL677" s="11"/>
      <c r="CA677" s="9"/>
      <c r="CB677" s="9"/>
      <c r="CC677" s="9"/>
    </row>
    <row r="678" spans="1:81" ht="1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 s="67"/>
      <c r="N678" s="67"/>
      <c r="O678" s="16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C678" s="11"/>
      <c r="AN678" s="11"/>
      <c r="AX678" s="11"/>
      <c r="BI678" s="11"/>
      <c r="BL678" s="11"/>
      <c r="CA678" s="9"/>
      <c r="CB678" s="9"/>
      <c r="CC678" s="9"/>
    </row>
    <row r="679" spans="1:81" ht="1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 s="67"/>
      <c r="N679" s="67"/>
      <c r="O679" s="16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C679" s="11"/>
      <c r="AN679" s="11"/>
      <c r="AX679" s="11"/>
      <c r="BI679" s="11"/>
      <c r="BL679" s="11"/>
      <c r="CA679" s="9"/>
      <c r="CB679" s="9"/>
      <c r="CC679" s="9"/>
    </row>
    <row r="680" spans="1:81" ht="1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 s="67"/>
      <c r="N680" s="67"/>
      <c r="O680" s="16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C680" s="11"/>
      <c r="AN680" s="11"/>
      <c r="AX680" s="11"/>
      <c r="BI680" s="11"/>
      <c r="BL680" s="11"/>
      <c r="CA680" s="9"/>
      <c r="CB680" s="9"/>
      <c r="CC680" s="9"/>
    </row>
    <row r="681" spans="1:81" ht="1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 s="67"/>
      <c r="N681" s="67"/>
      <c r="O681" s="16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C681" s="11"/>
      <c r="AN681" s="11"/>
      <c r="AX681" s="11"/>
      <c r="BI681" s="11"/>
      <c r="BL681" s="11"/>
      <c r="CA681" s="9"/>
      <c r="CB681" s="9"/>
      <c r="CC681" s="9"/>
    </row>
    <row r="682" spans="1:81" ht="1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 s="67"/>
      <c r="N682" s="67"/>
      <c r="O682" s="16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C682" s="11"/>
      <c r="AN682" s="11"/>
      <c r="AX682" s="11"/>
      <c r="BI682" s="11"/>
      <c r="BL682" s="11"/>
      <c r="CA682" s="9"/>
      <c r="CB682" s="9"/>
      <c r="CC682" s="9"/>
    </row>
    <row r="683" spans="1:81" ht="1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 s="67"/>
      <c r="N683" s="67"/>
      <c r="O683" s="16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C683" s="11"/>
      <c r="AN683" s="11"/>
      <c r="AX683" s="11"/>
      <c r="BI683" s="11"/>
      <c r="BL683" s="11"/>
      <c r="CA683" s="9"/>
      <c r="CB683" s="9"/>
      <c r="CC683" s="9"/>
    </row>
    <row r="684" spans="1:81" ht="1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 s="67"/>
      <c r="N684" s="67"/>
      <c r="O684" s="16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C684" s="11"/>
      <c r="AN684" s="11"/>
      <c r="AX684" s="11"/>
      <c r="BI684" s="11"/>
      <c r="BL684" s="11"/>
      <c r="CA684" s="9"/>
      <c r="CB684" s="9"/>
      <c r="CC684" s="9"/>
    </row>
    <row r="685" spans="1:81" ht="1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 s="67"/>
      <c r="N685" s="67"/>
      <c r="O685" s="16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C685" s="11"/>
      <c r="AN685" s="11"/>
      <c r="AX685" s="11"/>
      <c r="BI685" s="11"/>
      <c r="BL685" s="11"/>
      <c r="CA685" s="9"/>
      <c r="CB685" s="9"/>
      <c r="CC685" s="9"/>
    </row>
    <row r="686" spans="1:81" ht="1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 s="67"/>
      <c r="N686" s="67"/>
      <c r="O686" s="16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C686" s="11"/>
      <c r="AN686" s="11"/>
      <c r="AX686" s="11"/>
      <c r="BI686" s="11"/>
      <c r="BL686" s="11"/>
      <c r="CA686" s="9"/>
      <c r="CB686" s="9"/>
      <c r="CC686" s="9"/>
    </row>
    <row r="687" spans="1:81" ht="1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 s="67"/>
      <c r="N687" s="67"/>
      <c r="O687" s="16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C687" s="11"/>
      <c r="AN687" s="11"/>
      <c r="AX687" s="11"/>
      <c r="BI687" s="11"/>
      <c r="BL687" s="11"/>
      <c r="CA687" s="9"/>
      <c r="CB687" s="9"/>
      <c r="CC687" s="9"/>
    </row>
    <row r="688" spans="1:81" ht="1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 s="67"/>
      <c r="N688" s="67"/>
      <c r="O688" s="16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C688" s="11"/>
      <c r="AN688" s="11"/>
      <c r="AX688" s="11"/>
      <c r="BI688" s="11"/>
      <c r="BL688" s="11"/>
      <c r="CA688" s="9"/>
      <c r="CB688" s="9"/>
      <c r="CC688" s="9"/>
    </row>
    <row r="689" spans="1:81" ht="1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 s="67"/>
      <c r="N689" s="67"/>
      <c r="O689" s="16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C689" s="11"/>
      <c r="AN689" s="11"/>
      <c r="AX689" s="11"/>
      <c r="BI689" s="11"/>
      <c r="BL689" s="11"/>
      <c r="CA689" s="9"/>
      <c r="CB689" s="9"/>
      <c r="CC689" s="9"/>
    </row>
    <row r="690" spans="1:81" ht="1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 s="67"/>
      <c r="N690" s="67"/>
      <c r="O690" s="16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C690" s="11"/>
      <c r="AN690" s="11"/>
      <c r="AX690" s="11"/>
      <c r="BI690" s="11"/>
      <c r="BL690" s="11"/>
      <c r="CA690" s="9"/>
      <c r="CB690" s="9"/>
      <c r="CC690" s="9"/>
    </row>
    <row r="691" spans="1:81" ht="1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 s="67"/>
      <c r="N691" s="67"/>
      <c r="O691" s="16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C691" s="11"/>
      <c r="AN691" s="11"/>
      <c r="AX691" s="11"/>
      <c r="BI691" s="11"/>
      <c r="BL691" s="11"/>
      <c r="CA691" s="9"/>
      <c r="CB691" s="9"/>
      <c r="CC691" s="9"/>
    </row>
    <row r="692" spans="1:81" ht="1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 s="67"/>
      <c r="N692" s="67"/>
      <c r="O692" s="16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C692" s="11"/>
      <c r="AN692" s="11"/>
      <c r="AX692" s="11"/>
      <c r="BI692" s="11"/>
      <c r="BL692" s="11"/>
      <c r="CA692" s="9"/>
      <c r="CB692" s="9"/>
      <c r="CC692" s="9"/>
    </row>
    <row r="693" spans="1:81" ht="1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 s="67"/>
      <c r="N693" s="67"/>
      <c r="O693" s="16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C693" s="11"/>
      <c r="AN693" s="11"/>
      <c r="AX693" s="11"/>
      <c r="BI693" s="11"/>
      <c r="BL693" s="11"/>
      <c r="CA693" s="9"/>
      <c r="CB693" s="9"/>
      <c r="CC693" s="9"/>
    </row>
    <row r="694" spans="1:81" ht="1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 s="67"/>
      <c r="N694" s="67"/>
      <c r="O694" s="16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C694" s="11"/>
      <c r="AN694" s="11"/>
      <c r="AX694" s="11"/>
      <c r="BI694" s="11"/>
      <c r="BL694" s="11"/>
      <c r="CA694" s="9"/>
      <c r="CB694" s="9"/>
      <c r="CC694" s="9"/>
    </row>
    <row r="695" spans="1:81" ht="1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 s="67"/>
      <c r="N695" s="67"/>
      <c r="O695" s="16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C695" s="11"/>
      <c r="AN695" s="11"/>
      <c r="AX695" s="11"/>
      <c r="BI695" s="11"/>
      <c r="BL695" s="11"/>
      <c r="CA695" s="9"/>
      <c r="CB695" s="9"/>
      <c r="CC695" s="9"/>
    </row>
    <row r="696" spans="1:81" ht="1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 s="67"/>
      <c r="N696" s="67"/>
      <c r="O696" s="16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C696" s="11"/>
      <c r="AN696" s="11"/>
      <c r="AX696" s="11"/>
      <c r="BI696" s="11"/>
      <c r="BL696" s="11"/>
      <c r="CA696" s="9"/>
      <c r="CB696" s="9"/>
      <c r="CC696" s="9"/>
    </row>
    <row r="697" spans="1:81" ht="1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 s="67"/>
      <c r="N697" s="67"/>
      <c r="O697" s="16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C697" s="11"/>
      <c r="AN697" s="11"/>
      <c r="AX697" s="11"/>
      <c r="BI697" s="11"/>
      <c r="BL697" s="11"/>
      <c r="CA697" s="9"/>
      <c r="CB697" s="9"/>
      <c r="CC697" s="9"/>
    </row>
    <row r="698" spans="1:81" ht="1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 s="67"/>
      <c r="N698" s="67"/>
      <c r="O698" s="16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C698" s="11"/>
      <c r="AN698" s="11"/>
      <c r="AX698" s="11"/>
      <c r="BI698" s="11"/>
      <c r="BL698" s="11"/>
      <c r="CA698" s="9"/>
      <c r="CB698" s="9"/>
      <c r="CC698" s="9"/>
    </row>
    <row r="699" spans="1:81" ht="1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 s="67"/>
      <c r="N699" s="67"/>
      <c r="O699" s="16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C699" s="11"/>
      <c r="AN699" s="11"/>
      <c r="AX699" s="11"/>
      <c r="BI699" s="11"/>
      <c r="BL699" s="11"/>
      <c r="CA699" s="9"/>
      <c r="CB699" s="9"/>
      <c r="CC699" s="9"/>
    </row>
    <row r="700" spans="1:81" ht="1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 s="67"/>
      <c r="N700" s="67"/>
      <c r="O700" s="16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C700" s="11"/>
      <c r="AN700" s="11"/>
      <c r="AX700" s="11"/>
      <c r="BI700" s="11"/>
      <c r="BL700" s="11"/>
      <c r="CA700" s="9"/>
      <c r="CB700" s="9"/>
      <c r="CC700" s="9"/>
    </row>
    <row r="701" spans="1:81" ht="1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 s="67"/>
      <c r="N701" s="67"/>
      <c r="O701" s="16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C701" s="11"/>
      <c r="AN701" s="11"/>
      <c r="AX701" s="11"/>
      <c r="BI701" s="11"/>
      <c r="BL701" s="11"/>
      <c r="CA701" s="9"/>
      <c r="CB701" s="9"/>
      <c r="CC701" s="9"/>
    </row>
    <row r="702" spans="1:81" ht="1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 s="67"/>
      <c r="N702" s="67"/>
      <c r="O702" s="16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C702" s="11"/>
      <c r="AN702" s="11"/>
      <c r="AX702" s="11"/>
      <c r="BI702" s="11"/>
      <c r="BL702" s="11"/>
      <c r="CA702" s="9"/>
      <c r="CB702" s="9"/>
      <c r="CC702" s="9"/>
    </row>
    <row r="703" spans="1:81" ht="1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 s="67"/>
      <c r="N703" s="67"/>
      <c r="O703" s="16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C703" s="11"/>
      <c r="AN703" s="11"/>
      <c r="AX703" s="11"/>
      <c r="BI703" s="11"/>
      <c r="BL703" s="11"/>
      <c r="CA703" s="9"/>
      <c r="CB703" s="9"/>
      <c r="CC703" s="9"/>
    </row>
    <row r="704" spans="1:81" ht="1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 s="67"/>
      <c r="N704" s="67"/>
      <c r="O704" s="16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C704" s="11"/>
      <c r="AN704" s="11"/>
      <c r="AX704" s="11"/>
      <c r="BI704" s="11"/>
      <c r="BL704" s="11"/>
      <c r="CA704" s="9"/>
      <c r="CB704" s="9"/>
      <c r="CC704" s="9"/>
    </row>
    <row r="705" spans="1:81" ht="1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 s="67"/>
      <c r="N705" s="67"/>
      <c r="O705" s="16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C705" s="11"/>
      <c r="AN705" s="11"/>
      <c r="AX705" s="11"/>
      <c r="BI705" s="11"/>
      <c r="BL705" s="11"/>
      <c r="CA705" s="9"/>
      <c r="CB705" s="9"/>
      <c r="CC705" s="9"/>
    </row>
    <row r="706" spans="1:81" ht="1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 s="67"/>
      <c r="N706" s="67"/>
      <c r="O706" s="16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C706" s="11"/>
      <c r="AN706" s="11"/>
      <c r="AX706" s="11"/>
      <c r="BI706" s="11"/>
      <c r="BL706" s="11"/>
      <c r="CA706" s="9"/>
      <c r="CB706" s="9"/>
      <c r="CC706" s="9"/>
    </row>
    <row r="707" spans="1:81" ht="1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 s="67"/>
      <c r="N707" s="67"/>
      <c r="O707" s="16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C707" s="11"/>
      <c r="AN707" s="11"/>
      <c r="AX707" s="11"/>
      <c r="BI707" s="11"/>
      <c r="BL707" s="11"/>
      <c r="CA707" s="9"/>
      <c r="CB707" s="9"/>
      <c r="CC707" s="9"/>
    </row>
    <row r="708" spans="1:81" ht="1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 s="67"/>
      <c r="N708" s="67"/>
      <c r="O708" s="16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C708" s="11"/>
      <c r="AN708" s="11"/>
      <c r="AX708" s="11"/>
      <c r="BI708" s="11"/>
      <c r="BL708" s="11"/>
      <c r="CA708" s="9"/>
      <c r="CB708" s="9"/>
      <c r="CC708" s="9"/>
    </row>
    <row r="709" spans="1:81" ht="1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 s="67"/>
      <c r="N709" s="67"/>
      <c r="O709" s="16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C709" s="11"/>
      <c r="AN709" s="11"/>
      <c r="AX709" s="11"/>
      <c r="BI709" s="11"/>
      <c r="BL709" s="11"/>
      <c r="CA709" s="9"/>
      <c r="CB709" s="9"/>
      <c r="CC709" s="9"/>
    </row>
    <row r="710" spans="1:81" ht="1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 s="67"/>
      <c r="N710" s="67"/>
      <c r="O710" s="16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C710" s="11"/>
      <c r="AN710" s="11"/>
      <c r="AX710" s="11"/>
      <c r="BI710" s="11"/>
      <c r="BL710" s="11"/>
      <c r="CA710" s="9"/>
      <c r="CB710" s="9"/>
      <c r="CC710" s="9"/>
    </row>
    <row r="711" spans="1:81" ht="1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 s="67"/>
      <c r="N711" s="67"/>
      <c r="O711" s="16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C711" s="11"/>
      <c r="AN711" s="11"/>
      <c r="AX711" s="11"/>
      <c r="BI711" s="11"/>
      <c r="BL711" s="11"/>
      <c r="CA711" s="9"/>
      <c r="CB711" s="9"/>
      <c r="CC711" s="9"/>
    </row>
    <row r="712" spans="1:81" ht="1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 s="67"/>
      <c r="N712" s="67"/>
      <c r="O712" s="16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C712" s="11"/>
      <c r="AN712" s="11"/>
      <c r="AX712" s="11"/>
      <c r="BI712" s="11"/>
      <c r="BL712" s="11"/>
      <c r="CA712" s="9"/>
      <c r="CB712" s="9"/>
      <c r="CC712" s="9"/>
    </row>
    <row r="713" spans="1:81" ht="1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 s="67"/>
      <c r="N713" s="67"/>
      <c r="O713" s="16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C713" s="11"/>
      <c r="AN713" s="11"/>
      <c r="AX713" s="11"/>
      <c r="BI713" s="11"/>
      <c r="BL713" s="11"/>
      <c r="CA713" s="9"/>
      <c r="CB713" s="9"/>
      <c r="CC713" s="9"/>
    </row>
    <row r="714" spans="1:81" ht="1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 s="67"/>
      <c r="N714" s="67"/>
      <c r="O714" s="16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C714" s="11"/>
      <c r="AN714" s="11"/>
      <c r="AX714" s="11"/>
      <c r="BI714" s="11"/>
      <c r="BL714" s="11"/>
      <c r="CA714" s="9"/>
      <c r="CB714" s="9"/>
      <c r="CC714" s="9"/>
    </row>
    <row r="715" spans="1:81" ht="1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 s="67"/>
      <c r="N715" s="67"/>
      <c r="O715" s="16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C715" s="11"/>
      <c r="AN715" s="11"/>
      <c r="AX715" s="11"/>
      <c r="BI715" s="11"/>
      <c r="BL715" s="11"/>
      <c r="CA715" s="9"/>
      <c r="CB715" s="9"/>
      <c r="CC715" s="9"/>
    </row>
    <row r="716" spans="1:81" ht="1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 s="67"/>
      <c r="N716" s="67"/>
      <c r="O716" s="16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C716" s="11"/>
      <c r="AN716" s="11"/>
      <c r="AX716" s="11"/>
      <c r="BI716" s="11"/>
      <c r="BL716" s="11"/>
      <c r="CA716" s="9"/>
      <c r="CB716" s="9"/>
      <c r="CC716" s="9"/>
    </row>
    <row r="717" spans="1:81" ht="1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 s="67"/>
      <c r="N717" s="67"/>
      <c r="O717" s="16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C717" s="11"/>
      <c r="AN717" s="11"/>
      <c r="AX717" s="11"/>
      <c r="BI717" s="11"/>
      <c r="BL717" s="11"/>
      <c r="CA717" s="9"/>
      <c r="CB717" s="9"/>
      <c r="CC717" s="9"/>
    </row>
    <row r="718" spans="1:81" ht="1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 s="67"/>
      <c r="N718" s="67"/>
      <c r="O718" s="16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C718" s="11"/>
      <c r="AN718" s="11"/>
      <c r="AX718" s="11"/>
      <c r="BI718" s="11"/>
      <c r="BL718" s="11"/>
      <c r="CA718" s="9"/>
      <c r="CB718" s="9"/>
      <c r="CC718" s="9"/>
    </row>
    <row r="719" spans="1:81" ht="1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 s="67"/>
      <c r="N719" s="67"/>
      <c r="O719" s="16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C719" s="11"/>
      <c r="AN719" s="11"/>
      <c r="AX719" s="11"/>
      <c r="BI719" s="11"/>
      <c r="BL719" s="11"/>
      <c r="CA719" s="9"/>
      <c r="CB719" s="9"/>
      <c r="CC719" s="9"/>
    </row>
    <row r="720" spans="1:81" ht="1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 s="67"/>
      <c r="N720" s="67"/>
      <c r="O720" s="16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C720" s="11"/>
      <c r="AN720" s="11"/>
      <c r="AX720" s="11"/>
      <c r="BI720" s="11"/>
      <c r="BL720" s="11"/>
      <c r="CA720" s="9"/>
      <c r="CB720" s="9"/>
      <c r="CC720" s="9"/>
    </row>
    <row r="721" spans="1:81" ht="1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 s="67"/>
      <c r="N721" s="67"/>
      <c r="O721" s="16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C721" s="11"/>
      <c r="AN721" s="11"/>
      <c r="AX721" s="11"/>
      <c r="BI721" s="11"/>
      <c r="BL721" s="11"/>
      <c r="CA721" s="9"/>
      <c r="CB721" s="9"/>
      <c r="CC721" s="9"/>
    </row>
    <row r="722" spans="1:81" ht="1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 s="67"/>
      <c r="N722" s="67"/>
      <c r="O722" s="16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C722" s="11"/>
      <c r="AN722" s="11"/>
      <c r="AX722" s="11"/>
      <c r="BI722" s="11"/>
      <c r="BL722" s="11"/>
      <c r="CA722" s="9"/>
      <c r="CB722" s="9"/>
      <c r="CC722" s="9"/>
    </row>
    <row r="723" spans="1:81" ht="1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 s="67"/>
      <c r="N723" s="67"/>
      <c r="O723" s="16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C723" s="11"/>
      <c r="AN723" s="11"/>
      <c r="AX723" s="11"/>
      <c r="BI723" s="11"/>
      <c r="BL723" s="11"/>
      <c r="CA723" s="9"/>
      <c r="CB723" s="9"/>
      <c r="CC723" s="9"/>
    </row>
    <row r="724" spans="1:81" ht="1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 s="67"/>
      <c r="N724" s="67"/>
      <c r="O724" s="16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C724" s="11"/>
      <c r="AN724" s="11"/>
      <c r="AX724" s="11"/>
      <c r="BI724" s="11"/>
      <c r="BL724" s="11"/>
      <c r="CA724" s="9"/>
      <c r="CB724" s="9"/>
      <c r="CC724" s="9"/>
    </row>
    <row r="725" spans="1:81" ht="1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 s="67"/>
      <c r="N725" s="67"/>
      <c r="O725" s="16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C725" s="11"/>
      <c r="AN725" s="11"/>
      <c r="AX725" s="11"/>
      <c r="BI725" s="11"/>
      <c r="BL725" s="11"/>
      <c r="CA725" s="9"/>
      <c r="CB725" s="9"/>
      <c r="CC725" s="9"/>
    </row>
    <row r="726" spans="1:81" ht="1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 s="67"/>
      <c r="N726" s="67"/>
      <c r="O726" s="16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C726" s="11"/>
      <c r="AN726" s="11"/>
      <c r="AX726" s="11"/>
      <c r="BI726" s="11"/>
      <c r="BL726" s="11"/>
      <c r="CA726" s="9"/>
      <c r="CB726" s="9"/>
      <c r="CC726" s="9"/>
    </row>
    <row r="727" spans="1:81" ht="1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 s="67"/>
      <c r="N727" s="67"/>
      <c r="O727" s="16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C727" s="11"/>
      <c r="AN727" s="11"/>
      <c r="AX727" s="11"/>
      <c r="BI727" s="11"/>
      <c r="BL727" s="11"/>
      <c r="CA727" s="9"/>
      <c r="CB727" s="9"/>
      <c r="CC727" s="9"/>
    </row>
    <row r="728" spans="1:81" ht="1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 s="67"/>
      <c r="N728" s="67"/>
      <c r="O728" s="16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C728" s="11"/>
      <c r="AN728" s="11"/>
      <c r="AX728" s="11"/>
      <c r="BI728" s="11"/>
      <c r="BL728" s="11"/>
      <c r="CA728" s="9"/>
      <c r="CB728" s="9"/>
      <c r="CC728" s="9"/>
    </row>
    <row r="729" spans="1:81" ht="1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 s="67"/>
      <c r="N729" s="67"/>
      <c r="O729" s="16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C729" s="11"/>
      <c r="AN729" s="11"/>
      <c r="AX729" s="11"/>
      <c r="BI729" s="11"/>
      <c r="BL729" s="11"/>
      <c r="CA729" s="9"/>
      <c r="CB729" s="9"/>
      <c r="CC729" s="9"/>
    </row>
    <row r="730" spans="1:81" ht="1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 s="67"/>
      <c r="N730" s="67"/>
      <c r="O730" s="16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C730" s="11"/>
      <c r="AN730" s="11"/>
      <c r="AX730" s="11"/>
      <c r="BI730" s="11"/>
      <c r="BL730" s="11"/>
      <c r="CA730" s="9"/>
      <c r="CB730" s="9"/>
      <c r="CC730" s="9"/>
    </row>
    <row r="731" spans="1:81" ht="1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 s="67"/>
      <c r="N731" s="67"/>
      <c r="O731" s="16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C731" s="11"/>
      <c r="AN731" s="11"/>
      <c r="AX731" s="11"/>
      <c r="BI731" s="11"/>
      <c r="BL731" s="11"/>
      <c r="CA731" s="9"/>
      <c r="CB731" s="9"/>
      <c r="CC731" s="9"/>
    </row>
    <row r="732" spans="1:81" ht="1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 s="67"/>
      <c r="N732" s="67"/>
      <c r="O732" s="16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C732" s="11"/>
      <c r="AN732" s="11"/>
      <c r="AX732" s="11"/>
      <c r="BI732" s="11"/>
      <c r="BL732" s="11"/>
      <c r="CA732" s="9"/>
      <c r="CB732" s="9"/>
      <c r="CC732" s="9"/>
    </row>
    <row r="733" spans="1:81" ht="1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 s="67"/>
      <c r="N733" s="67"/>
      <c r="O733" s="16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C733" s="11"/>
      <c r="AN733" s="11"/>
      <c r="AX733" s="11"/>
      <c r="BI733" s="11"/>
      <c r="BL733" s="11"/>
      <c r="CA733" s="9"/>
      <c r="CB733" s="9"/>
      <c r="CC733" s="9"/>
    </row>
    <row r="734" spans="1:81" ht="1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 s="67"/>
      <c r="N734" s="67"/>
      <c r="O734" s="16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C734" s="11"/>
      <c r="AN734" s="11"/>
      <c r="AX734" s="11"/>
      <c r="BI734" s="11"/>
      <c r="BL734" s="11"/>
      <c r="CA734" s="9"/>
      <c r="CB734" s="9"/>
      <c r="CC734" s="9"/>
    </row>
    <row r="735" spans="1:81" ht="1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 s="67"/>
      <c r="N735" s="67"/>
      <c r="O735" s="16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C735" s="11"/>
      <c r="AN735" s="11"/>
      <c r="AX735" s="11"/>
      <c r="BI735" s="11"/>
      <c r="BL735" s="11"/>
      <c r="CA735" s="9"/>
      <c r="CB735" s="9"/>
      <c r="CC735" s="9"/>
    </row>
    <row r="736" spans="1:81" ht="1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 s="67"/>
      <c r="N736" s="67"/>
      <c r="O736" s="16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C736" s="11"/>
      <c r="AN736" s="11"/>
      <c r="AX736" s="11"/>
      <c r="BI736" s="11"/>
      <c r="BL736" s="11"/>
      <c r="CA736" s="9"/>
      <c r="CB736" s="9"/>
      <c r="CC736" s="9"/>
    </row>
    <row r="737" spans="1:81" ht="1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 s="67"/>
      <c r="N737" s="67"/>
      <c r="O737" s="16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C737" s="11"/>
      <c r="AN737" s="11"/>
      <c r="AX737" s="11"/>
      <c r="BI737" s="11"/>
      <c r="BL737" s="11"/>
      <c r="CA737" s="9"/>
      <c r="CB737" s="9"/>
      <c r="CC737" s="9"/>
    </row>
    <row r="738" spans="1:81" ht="15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 s="67"/>
      <c r="N738" s="67"/>
      <c r="O738" s="16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C738" s="11"/>
      <c r="AN738" s="11"/>
      <c r="AX738" s="11"/>
      <c r="BI738" s="11"/>
      <c r="BL738" s="11"/>
      <c r="CA738" s="9"/>
      <c r="CB738" s="9"/>
      <c r="CC738" s="9"/>
    </row>
    <row r="739" spans="1:81" ht="15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 s="67"/>
      <c r="N739" s="67"/>
      <c r="O739" s="16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C739" s="11"/>
      <c r="AN739" s="11"/>
      <c r="AX739" s="11"/>
      <c r="BI739" s="11"/>
      <c r="BL739" s="11"/>
      <c r="CA739" s="9"/>
      <c r="CB739" s="9"/>
      <c r="CC739" s="9"/>
    </row>
    <row r="740" spans="1:81" ht="15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 s="67"/>
      <c r="N740" s="67"/>
      <c r="O740" s="16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C740" s="11"/>
      <c r="AN740" s="11"/>
      <c r="AX740" s="11"/>
      <c r="BI740" s="11"/>
      <c r="BL740" s="11"/>
      <c r="CA740" s="9"/>
      <c r="CB740" s="9"/>
      <c r="CC740" s="9"/>
    </row>
    <row r="741" spans="1:81" ht="15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 s="67"/>
      <c r="N741" s="67"/>
      <c r="O741" s="16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C741" s="11"/>
      <c r="AN741" s="11"/>
      <c r="AX741" s="11"/>
      <c r="BI741" s="11"/>
      <c r="BL741" s="11"/>
      <c r="CA741" s="9"/>
      <c r="CB741" s="9"/>
      <c r="CC741" s="9"/>
    </row>
    <row r="742" spans="1:81" ht="15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 s="67"/>
      <c r="N742" s="67"/>
      <c r="O742" s="16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C742" s="11"/>
      <c r="AN742" s="11"/>
      <c r="AX742" s="11"/>
      <c r="BI742" s="11"/>
      <c r="BL742" s="11"/>
      <c r="CA742" s="9"/>
      <c r="CB742" s="9"/>
      <c r="CC742" s="9"/>
    </row>
    <row r="743" spans="1:81" ht="15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 s="67"/>
      <c r="N743" s="67"/>
      <c r="O743" s="16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C743" s="11"/>
      <c r="AN743" s="11"/>
      <c r="AX743" s="11"/>
      <c r="BI743" s="11"/>
      <c r="BL743" s="11"/>
      <c r="CA743" s="9"/>
      <c r="CB743" s="9"/>
      <c r="CC743" s="9"/>
    </row>
    <row r="744" spans="1:81" ht="15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 s="67"/>
      <c r="N744" s="67"/>
      <c r="O744" s="16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C744" s="11"/>
      <c r="AN744" s="11"/>
      <c r="AX744" s="11"/>
      <c r="BI744" s="11"/>
      <c r="BL744" s="11"/>
      <c r="CA744" s="9"/>
      <c r="CB744" s="9"/>
      <c r="CC744" s="9"/>
    </row>
    <row r="745" spans="1:81" ht="15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 s="67"/>
      <c r="N745" s="67"/>
      <c r="O745" s="16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C745" s="11"/>
      <c r="AN745" s="11"/>
      <c r="AX745" s="11"/>
      <c r="BI745" s="11"/>
      <c r="BL745" s="11"/>
      <c r="CA745" s="9"/>
      <c r="CB745" s="9"/>
      <c r="CC745" s="9"/>
    </row>
    <row r="746" spans="1:81" ht="15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 s="67"/>
      <c r="N746" s="67"/>
      <c r="O746" s="16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C746" s="11"/>
      <c r="AN746" s="11"/>
      <c r="AX746" s="11"/>
      <c r="BI746" s="11"/>
      <c r="BL746" s="11"/>
      <c r="CA746" s="9"/>
      <c r="CB746" s="9"/>
      <c r="CC746" s="9"/>
    </row>
    <row r="747" spans="1:81" ht="15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 s="67"/>
      <c r="N747" s="67"/>
      <c r="O747" s="16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C747" s="11"/>
      <c r="AN747" s="11"/>
      <c r="AX747" s="11"/>
      <c r="BI747" s="11"/>
      <c r="BL747" s="11"/>
      <c r="CA747" s="9"/>
      <c r="CB747" s="9"/>
      <c r="CC747" s="9"/>
    </row>
    <row r="748" spans="1:81" ht="15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 s="67"/>
      <c r="N748" s="67"/>
      <c r="O748" s="16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C748" s="11"/>
      <c r="AN748" s="11"/>
      <c r="AX748" s="11"/>
      <c r="BI748" s="11"/>
      <c r="BL748" s="11"/>
      <c r="CA748" s="9"/>
      <c r="CB748" s="9"/>
      <c r="CC748" s="9"/>
    </row>
    <row r="749" spans="1:81" ht="15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 s="67"/>
      <c r="N749" s="67"/>
      <c r="O749" s="16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C749" s="11"/>
      <c r="AN749" s="11"/>
      <c r="AX749" s="11"/>
      <c r="BI749" s="11"/>
      <c r="BL749" s="11"/>
      <c r="CA749" s="9"/>
      <c r="CB749" s="9"/>
      <c r="CC749" s="9"/>
    </row>
    <row r="750" spans="1:81" ht="15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 s="67"/>
      <c r="N750" s="67"/>
      <c r="O750" s="16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C750" s="11"/>
      <c r="AN750" s="11"/>
      <c r="AX750" s="11"/>
      <c r="BI750" s="11"/>
      <c r="BL750" s="11"/>
      <c r="CA750" s="9"/>
      <c r="CB750" s="9"/>
      <c r="CC750" s="9"/>
    </row>
    <row r="751" spans="1:81" ht="15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 s="67"/>
      <c r="N751" s="67"/>
      <c r="O751" s="16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C751" s="11"/>
      <c r="AN751" s="11"/>
      <c r="AX751" s="11"/>
      <c r="BI751" s="11"/>
      <c r="BL751" s="11"/>
      <c r="CA751" s="9"/>
      <c r="CB751" s="9"/>
      <c r="CC751" s="9"/>
    </row>
    <row r="752" spans="1:81" ht="15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 s="67"/>
      <c r="N752" s="67"/>
      <c r="O752" s="16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C752" s="11"/>
      <c r="AN752" s="11"/>
      <c r="AX752" s="11"/>
      <c r="BI752" s="11"/>
      <c r="BL752" s="11"/>
      <c r="CA752" s="9"/>
      <c r="CB752" s="9"/>
      <c r="CC752" s="9"/>
    </row>
    <row r="753" spans="1:81" ht="15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 s="67"/>
      <c r="N753" s="67"/>
      <c r="O753" s="16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C753" s="11"/>
      <c r="AN753" s="11"/>
      <c r="AX753" s="11"/>
      <c r="BI753" s="11"/>
      <c r="BL753" s="11"/>
      <c r="CA753" s="9"/>
      <c r="CB753" s="9"/>
      <c r="CC753" s="9"/>
    </row>
    <row r="754" spans="1:81" ht="15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 s="67"/>
      <c r="N754" s="67"/>
      <c r="O754" s="16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C754" s="11"/>
      <c r="AN754" s="11"/>
      <c r="AX754" s="11"/>
      <c r="BI754" s="11"/>
      <c r="BL754" s="11"/>
      <c r="CA754" s="9"/>
      <c r="CB754" s="9"/>
      <c r="CC754" s="9"/>
    </row>
    <row r="755" spans="1:81" ht="15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 s="67"/>
      <c r="N755" s="67"/>
      <c r="O755" s="16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C755" s="11"/>
      <c r="AN755" s="11"/>
      <c r="AX755" s="11"/>
      <c r="BI755" s="11"/>
      <c r="BL755" s="11"/>
      <c r="CA755" s="9"/>
      <c r="CB755" s="9"/>
      <c r="CC755" s="9"/>
    </row>
    <row r="756" spans="1:81" ht="15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 s="67"/>
      <c r="N756" s="67"/>
      <c r="O756" s="16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C756" s="11"/>
      <c r="AN756" s="11"/>
      <c r="AX756" s="11"/>
      <c r="BI756" s="11"/>
      <c r="BL756" s="11"/>
      <c r="CA756" s="9"/>
      <c r="CB756" s="9"/>
      <c r="CC756" s="9"/>
    </row>
    <row r="757" spans="1:81" ht="15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 s="67"/>
      <c r="N757" s="67"/>
      <c r="O757" s="16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C757" s="11"/>
      <c r="AN757" s="11"/>
      <c r="AX757" s="11"/>
      <c r="BI757" s="11"/>
      <c r="BL757" s="11"/>
      <c r="CA757" s="9"/>
      <c r="CB757" s="9"/>
      <c r="CC757" s="9"/>
    </row>
    <row r="758" spans="1:81" ht="15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 s="67"/>
      <c r="N758" s="67"/>
      <c r="O758" s="16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C758" s="11"/>
      <c r="AN758" s="11"/>
      <c r="AX758" s="11"/>
      <c r="BI758" s="11"/>
      <c r="BL758" s="11"/>
      <c r="CA758" s="9"/>
      <c r="CB758" s="9"/>
      <c r="CC758" s="9"/>
    </row>
    <row r="759" spans="1:81" ht="15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 s="67"/>
      <c r="N759" s="67"/>
      <c r="O759" s="16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C759" s="11"/>
      <c r="AN759" s="11"/>
      <c r="AX759" s="11"/>
      <c r="BI759" s="11"/>
      <c r="BL759" s="11"/>
      <c r="CA759" s="9"/>
      <c r="CB759" s="9"/>
      <c r="CC759" s="9"/>
    </row>
    <row r="760" spans="1:81" ht="15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 s="67"/>
      <c r="N760" s="67"/>
      <c r="O760" s="16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C760" s="11"/>
      <c r="AN760" s="11"/>
      <c r="AX760" s="11"/>
      <c r="BI760" s="11"/>
      <c r="BL760" s="11"/>
      <c r="CA760" s="9"/>
      <c r="CB760" s="9"/>
      <c r="CC760" s="9"/>
    </row>
    <row r="761" spans="1:81" ht="15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 s="67"/>
      <c r="N761" s="67"/>
      <c r="O761" s="16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C761" s="11"/>
      <c r="AN761" s="11"/>
      <c r="AX761" s="11"/>
      <c r="BI761" s="11"/>
      <c r="BL761" s="11"/>
      <c r="CA761" s="9"/>
      <c r="CB761" s="9"/>
      <c r="CC761" s="9"/>
    </row>
    <row r="762" spans="1:81" ht="15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 s="67"/>
      <c r="N762" s="67"/>
      <c r="O762" s="16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C762" s="11"/>
      <c r="AN762" s="11"/>
      <c r="AX762" s="11"/>
      <c r="BI762" s="11"/>
      <c r="BL762" s="11"/>
      <c r="CA762" s="9"/>
      <c r="CB762" s="9"/>
      <c r="CC762" s="9"/>
    </row>
    <row r="763" spans="1:81" ht="15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 s="67"/>
      <c r="N763" s="67"/>
      <c r="O763" s="16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C763" s="11"/>
      <c r="AN763" s="11"/>
      <c r="AX763" s="11"/>
      <c r="BI763" s="11"/>
      <c r="BL763" s="11"/>
      <c r="CA763" s="9"/>
      <c r="CB763" s="9"/>
      <c r="CC763" s="9"/>
    </row>
    <row r="764" spans="1:81" ht="15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 s="67"/>
      <c r="N764" s="67"/>
      <c r="O764" s="16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C764" s="11"/>
      <c r="AN764" s="11"/>
      <c r="AX764" s="11"/>
      <c r="BI764" s="11"/>
      <c r="BL764" s="11"/>
      <c r="CA764" s="9"/>
      <c r="CB764" s="9"/>
      <c r="CC764" s="9"/>
    </row>
    <row r="765" spans="1:81" ht="15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 s="67"/>
      <c r="N765" s="67"/>
      <c r="O765" s="16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C765" s="11"/>
      <c r="AN765" s="11"/>
      <c r="AX765" s="11"/>
      <c r="BI765" s="11"/>
      <c r="BL765" s="11"/>
      <c r="CA765" s="9"/>
      <c r="CB765" s="9"/>
      <c r="CC765" s="9"/>
    </row>
    <row r="766" spans="1:81" ht="15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 s="67"/>
      <c r="N766" s="67"/>
      <c r="O766" s="16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C766" s="11"/>
      <c r="AN766" s="11"/>
      <c r="AX766" s="11"/>
      <c r="BI766" s="11"/>
      <c r="BL766" s="11"/>
      <c r="CA766" s="9"/>
      <c r="CB766" s="9"/>
      <c r="CC766" s="9"/>
    </row>
    <row r="767" spans="1:81" ht="15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 s="67"/>
      <c r="N767" s="67"/>
      <c r="O767" s="16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C767" s="11"/>
      <c r="AN767" s="11"/>
      <c r="AX767" s="11"/>
      <c r="BI767" s="11"/>
      <c r="BL767" s="11"/>
      <c r="CA767" s="9"/>
      <c r="CB767" s="9"/>
      <c r="CC767" s="9"/>
    </row>
    <row r="768" spans="1:81" ht="15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 s="67"/>
      <c r="N768" s="67"/>
      <c r="O768" s="16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C768" s="11"/>
      <c r="AN768" s="11"/>
      <c r="AX768" s="11"/>
      <c r="BI768" s="11"/>
      <c r="BL768" s="11"/>
      <c r="CA768" s="9"/>
      <c r="CB768" s="9"/>
      <c r="CC768" s="9"/>
    </row>
    <row r="769" spans="1:81" ht="15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 s="67"/>
      <c r="N769" s="67"/>
      <c r="O769" s="16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C769" s="11"/>
      <c r="AN769" s="11"/>
      <c r="AX769" s="11"/>
      <c r="BI769" s="11"/>
      <c r="BL769" s="11"/>
      <c r="CA769" s="9"/>
      <c r="CB769" s="9"/>
      <c r="CC769" s="9"/>
    </row>
    <row r="770" spans="1:81" ht="15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 s="67"/>
      <c r="N770" s="67"/>
      <c r="O770" s="16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C770" s="11"/>
      <c r="AN770" s="11"/>
      <c r="AX770" s="11"/>
      <c r="BI770" s="11"/>
      <c r="BL770" s="11"/>
      <c r="CA770" s="9"/>
      <c r="CB770" s="9"/>
      <c r="CC770" s="9"/>
    </row>
    <row r="771" spans="1:81" ht="15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 s="67"/>
      <c r="N771" s="67"/>
      <c r="O771" s="16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C771" s="11"/>
      <c r="AN771" s="11"/>
      <c r="AX771" s="11"/>
      <c r="BI771" s="11"/>
      <c r="BL771" s="11"/>
      <c r="CA771" s="9"/>
      <c r="CB771" s="9"/>
      <c r="CC771" s="9"/>
    </row>
    <row r="772" spans="1:81" ht="15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 s="67"/>
      <c r="N772" s="67"/>
      <c r="O772" s="16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C772" s="11"/>
      <c r="AN772" s="11"/>
      <c r="AX772" s="11"/>
      <c r="BI772" s="11"/>
      <c r="BL772" s="11"/>
      <c r="CA772" s="9"/>
      <c r="CB772" s="9"/>
      <c r="CC772" s="9"/>
    </row>
    <row r="773" spans="1:81" ht="15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 s="67"/>
      <c r="N773" s="67"/>
      <c r="O773" s="16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C773" s="11"/>
      <c r="AN773" s="11"/>
      <c r="AX773" s="11"/>
      <c r="BI773" s="11"/>
      <c r="BL773" s="11"/>
      <c r="CA773" s="9"/>
      <c r="CB773" s="9"/>
      <c r="CC773" s="9"/>
    </row>
    <row r="774" spans="1:81" ht="15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 s="67"/>
      <c r="N774" s="67"/>
      <c r="O774" s="16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C774" s="11"/>
      <c r="AN774" s="11"/>
      <c r="AX774" s="11"/>
      <c r="BI774" s="11"/>
      <c r="BL774" s="11"/>
      <c r="CA774" s="9"/>
      <c r="CB774" s="9"/>
      <c r="CC774" s="9"/>
    </row>
    <row r="775" spans="1:81" ht="15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 s="67"/>
      <c r="N775" s="67"/>
      <c r="O775" s="16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C775" s="11"/>
      <c r="AN775" s="11"/>
      <c r="AX775" s="11"/>
      <c r="BI775" s="11"/>
      <c r="BL775" s="11"/>
      <c r="CA775" s="9"/>
      <c r="CB775" s="9"/>
      <c r="CC775" s="9"/>
    </row>
    <row r="776" spans="1:81" ht="15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 s="67"/>
      <c r="N776" s="67"/>
      <c r="O776" s="16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C776" s="11"/>
      <c r="AN776" s="11"/>
      <c r="AX776" s="11"/>
      <c r="BI776" s="11"/>
      <c r="BL776" s="11"/>
      <c r="CA776" s="9"/>
      <c r="CB776" s="9"/>
      <c r="CC776" s="9"/>
    </row>
    <row r="777" spans="1:81" ht="15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 s="67"/>
      <c r="N777" s="67"/>
      <c r="O777" s="16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C777" s="11"/>
      <c r="AN777" s="11"/>
      <c r="AX777" s="11"/>
      <c r="BI777" s="11"/>
      <c r="BL777" s="11"/>
      <c r="CA777" s="9"/>
      <c r="CB777" s="9"/>
      <c r="CC777" s="9"/>
    </row>
    <row r="778" spans="1:81" ht="15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 s="67"/>
      <c r="N778" s="67"/>
      <c r="O778" s="16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C778" s="11"/>
      <c r="AN778" s="11"/>
      <c r="AX778" s="11"/>
      <c r="BI778" s="11"/>
      <c r="BL778" s="11"/>
      <c r="CA778" s="9"/>
      <c r="CB778" s="9"/>
      <c r="CC778" s="9"/>
    </row>
    <row r="779" spans="1:81" ht="15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 s="67"/>
      <c r="N779" s="67"/>
      <c r="O779" s="16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C779" s="11"/>
      <c r="AN779" s="11"/>
      <c r="AX779" s="11"/>
      <c r="BI779" s="11"/>
      <c r="BL779" s="11"/>
      <c r="CA779" s="9"/>
      <c r="CB779" s="9"/>
      <c r="CC779" s="9"/>
    </row>
    <row r="780" spans="1:81" ht="15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 s="67"/>
      <c r="N780" s="67"/>
      <c r="O780" s="16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C780" s="11"/>
      <c r="AN780" s="11"/>
      <c r="AX780" s="11"/>
      <c r="BI780" s="11"/>
      <c r="BL780" s="11"/>
      <c r="CA780" s="9"/>
      <c r="CB780" s="9"/>
      <c r="CC780" s="9"/>
    </row>
    <row r="781" spans="1:81" ht="15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 s="67"/>
      <c r="N781" s="67"/>
      <c r="O781" s="16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C781" s="11"/>
      <c r="AN781" s="11"/>
      <c r="AX781" s="11"/>
      <c r="BI781" s="11"/>
      <c r="BL781" s="11"/>
      <c r="CA781" s="9"/>
      <c r="CB781" s="9"/>
      <c r="CC781" s="9"/>
    </row>
    <row r="782" spans="1:81" ht="15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 s="67"/>
      <c r="N782" s="67"/>
      <c r="O782" s="16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C782" s="11"/>
      <c r="AN782" s="11"/>
      <c r="AX782" s="11"/>
      <c r="BI782" s="11"/>
      <c r="BL782" s="11"/>
      <c r="CA782" s="9"/>
      <c r="CB782" s="9"/>
      <c r="CC782" s="9"/>
    </row>
    <row r="783" spans="1:81" ht="15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 s="67"/>
      <c r="N783" s="67"/>
      <c r="O783" s="16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C783" s="11"/>
      <c r="AN783" s="11"/>
      <c r="AX783" s="11"/>
      <c r="BI783" s="11"/>
      <c r="BL783" s="11"/>
      <c r="CA783" s="9"/>
      <c r="CB783" s="9"/>
      <c r="CC783" s="9"/>
    </row>
    <row r="784" spans="1:81" ht="15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 s="67"/>
      <c r="N784" s="67"/>
      <c r="O784" s="16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C784" s="11"/>
      <c r="AN784" s="11"/>
      <c r="AX784" s="11"/>
      <c r="BI784" s="11"/>
      <c r="BL784" s="11"/>
      <c r="CA784" s="9"/>
      <c r="CB784" s="9"/>
      <c r="CC784" s="9"/>
    </row>
    <row r="785" spans="1:81" ht="15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 s="67"/>
      <c r="N785" s="67"/>
      <c r="O785" s="16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C785" s="11"/>
      <c r="AN785" s="11"/>
      <c r="AX785" s="11"/>
      <c r="BI785" s="11"/>
      <c r="BL785" s="11"/>
      <c r="CA785" s="9"/>
      <c r="CB785" s="9"/>
      <c r="CC785" s="9"/>
    </row>
    <row r="786" spans="1:81" ht="15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 s="67"/>
      <c r="N786" s="67"/>
      <c r="O786" s="16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C786" s="11"/>
      <c r="AN786" s="11"/>
      <c r="AX786" s="11"/>
      <c r="BI786" s="11"/>
      <c r="BL786" s="11"/>
      <c r="CA786" s="9"/>
      <c r="CB786" s="9"/>
      <c r="CC786" s="9"/>
    </row>
    <row r="787" spans="1:81" ht="15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 s="67"/>
      <c r="N787" s="67"/>
      <c r="O787" s="16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C787" s="11"/>
      <c r="AN787" s="11"/>
      <c r="AX787" s="11"/>
      <c r="BI787" s="11"/>
      <c r="BL787" s="11"/>
      <c r="CA787" s="9"/>
      <c r="CB787" s="9"/>
      <c r="CC787" s="9"/>
    </row>
    <row r="788" spans="1:81" ht="15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 s="67"/>
      <c r="N788" s="67"/>
      <c r="O788" s="16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C788" s="11"/>
      <c r="AN788" s="11"/>
      <c r="AX788" s="11"/>
      <c r="BI788" s="11"/>
      <c r="BL788" s="11"/>
      <c r="CA788" s="9"/>
      <c r="CB788" s="9"/>
      <c r="CC788" s="9"/>
    </row>
    <row r="789" spans="1:81" ht="15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 s="67"/>
      <c r="N789" s="67"/>
      <c r="O789" s="16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C789" s="11"/>
      <c r="AN789" s="11"/>
      <c r="AX789" s="11"/>
      <c r="BI789" s="11"/>
      <c r="BL789" s="11"/>
      <c r="CA789" s="9"/>
      <c r="CB789" s="9"/>
      <c r="CC789" s="9"/>
    </row>
    <row r="790" spans="1:81" ht="15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 s="67"/>
      <c r="N790" s="67"/>
      <c r="O790" s="16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C790" s="11"/>
      <c r="AN790" s="11"/>
      <c r="AX790" s="11"/>
      <c r="BI790" s="11"/>
      <c r="BL790" s="11"/>
      <c r="CA790" s="9"/>
      <c r="CB790" s="9"/>
      <c r="CC790" s="9"/>
    </row>
    <row r="791" spans="1:81" ht="15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 s="67"/>
      <c r="N791" s="67"/>
      <c r="O791" s="16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C791" s="11"/>
      <c r="AN791" s="11"/>
      <c r="AX791" s="11"/>
      <c r="BI791" s="11"/>
      <c r="BL791" s="11"/>
      <c r="CA791" s="9"/>
      <c r="CB791" s="9"/>
      <c r="CC791" s="9"/>
    </row>
    <row r="792" spans="1:81" ht="15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 s="67"/>
      <c r="N792" s="67"/>
      <c r="O792" s="16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C792" s="11"/>
      <c r="AN792" s="11"/>
      <c r="AX792" s="11"/>
      <c r="BI792" s="11"/>
      <c r="BL792" s="11"/>
      <c r="CA792" s="9"/>
      <c r="CB792" s="9"/>
      <c r="CC792" s="9"/>
    </row>
    <row r="793" spans="1:81" ht="15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 s="67"/>
      <c r="N793" s="67"/>
      <c r="O793" s="16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C793" s="11"/>
      <c r="AN793" s="11"/>
      <c r="AX793" s="11"/>
      <c r="BI793" s="11"/>
      <c r="BL793" s="11"/>
      <c r="CA793" s="9"/>
      <c r="CB793" s="9"/>
      <c r="CC793" s="9"/>
    </row>
    <row r="794" spans="1:81" ht="15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 s="67"/>
      <c r="N794" s="67"/>
      <c r="O794" s="16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C794" s="11"/>
      <c r="AN794" s="11"/>
      <c r="AX794" s="11"/>
      <c r="BI794" s="11"/>
      <c r="BL794" s="11"/>
      <c r="CA794" s="9"/>
      <c r="CB794" s="9"/>
      <c r="CC794" s="9"/>
    </row>
    <row r="795" spans="1:81" ht="15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 s="67"/>
      <c r="N795" s="67"/>
      <c r="O795" s="16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C795" s="11"/>
      <c r="AN795" s="11"/>
      <c r="AX795" s="11"/>
      <c r="BI795" s="11"/>
      <c r="BL795" s="11"/>
      <c r="CA795" s="9"/>
      <c r="CB795" s="9"/>
      <c r="CC795" s="9"/>
    </row>
    <row r="796" spans="1:81" ht="15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 s="67"/>
      <c r="N796" s="67"/>
      <c r="O796" s="16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C796" s="11"/>
      <c r="AN796" s="11"/>
      <c r="AX796" s="11"/>
      <c r="BI796" s="11"/>
      <c r="BL796" s="11"/>
      <c r="CA796" s="9"/>
      <c r="CB796" s="9"/>
      <c r="CC796" s="9"/>
    </row>
    <row r="797" spans="1:81" ht="15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 s="67"/>
      <c r="N797" s="67"/>
      <c r="O797" s="16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C797" s="11"/>
      <c r="AN797" s="11"/>
      <c r="AX797" s="11"/>
      <c r="BI797" s="11"/>
      <c r="BL797" s="11"/>
      <c r="CA797" s="9"/>
      <c r="CB797" s="9"/>
      <c r="CC797" s="9"/>
    </row>
    <row r="798" spans="1:81" ht="15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 s="67"/>
      <c r="N798" s="67"/>
      <c r="O798" s="16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C798" s="11"/>
      <c r="AN798" s="11"/>
      <c r="AX798" s="11"/>
      <c r="BI798" s="11"/>
      <c r="BL798" s="11"/>
      <c r="CA798" s="9"/>
      <c r="CB798" s="9"/>
      <c r="CC798" s="9"/>
    </row>
    <row r="799" spans="1:81" ht="15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 s="67"/>
      <c r="N799" s="67"/>
      <c r="O799" s="16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C799" s="11"/>
      <c r="AN799" s="11"/>
      <c r="AX799" s="11"/>
      <c r="BI799" s="11"/>
      <c r="BL799" s="11"/>
      <c r="CA799" s="9"/>
      <c r="CB799" s="9"/>
      <c r="CC799" s="9"/>
    </row>
    <row r="800" spans="1:81" ht="15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 s="67"/>
      <c r="N800" s="67"/>
      <c r="O800" s="16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C800" s="11"/>
      <c r="AN800" s="11"/>
      <c r="AX800" s="11"/>
      <c r="BI800" s="11"/>
      <c r="BL800" s="11"/>
      <c r="CA800" s="9"/>
      <c r="CB800" s="9"/>
      <c r="CC800" s="9"/>
    </row>
    <row r="801" spans="1:81" ht="15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 s="67"/>
      <c r="N801" s="67"/>
      <c r="O801" s="16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C801" s="11"/>
      <c r="AN801" s="11"/>
      <c r="AX801" s="11"/>
      <c r="BI801" s="11"/>
      <c r="BL801" s="11"/>
      <c r="CA801" s="9"/>
      <c r="CB801" s="9"/>
      <c r="CC801" s="9"/>
    </row>
    <row r="802" spans="1:81" ht="15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 s="67"/>
      <c r="N802" s="67"/>
      <c r="O802" s="16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C802" s="11"/>
      <c r="AN802" s="11"/>
      <c r="AX802" s="11"/>
      <c r="BI802" s="11"/>
      <c r="BL802" s="11"/>
      <c r="CA802" s="9"/>
      <c r="CB802" s="9"/>
      <c r="CC802" s="9"/>
    </row>
    <row r="803" spans="1:81" ht="15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 s="67"/>
      <c r="N803" s="67"/>
      <c r="O803" s="16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C803" s="11"/>
      <c r="AN803" s="11"/>
      <c r="AX803" s="11"/>
      <c r="BI803" s="11"/>
      <c r="BL803" s="11"/>
      <c r="CA803" s="9"/>
      <c r="CB803" s="9"/>
      <c r="CC803" s="9"/>
    </row>
    <row r="804" spans="1:81" ht="15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 s="67"/>
      <c r="N804" s="67"/>
      <c r="O804" s="16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C804" s="11"/>
      <c r="AN804" s="11"/>
      <c r="AX804" s="11"/>
      <c r="BI804" s="11"/>
      <c r="BL804" s="11"/>
      <c r="CA804" s="9"/>
      <c r="CB804" s="9"/>
      <c r="CC804" s="9"/>
    </row>
    <row r="805" spans="1:81" ht="15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 s="67"/>
      <c r="N805" s="67"/>
      <c r="O805" s="16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C805" s="11"/>
      <c r="AN805" s="11"/>
      <c r="AX805" s="11"/>
      <c r="BI805" s="11"/>
      <c r="BL805" s="11"/>
      <c r="CA805" s="9"/>
      <c r="CB805" s="9"/>
      <c r="CC805" s="9"/>
    </row>
    <row r="806" spans="1:81" ht="15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 s="67"/>
      <c r="N806" s="67"/>
      <c r="O806" s="16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C806" s="11"/>
      <c r="AN806" s="11"/>
      <c r="AX806" s="11"/>
      <c r="BI806" s="11"/>
      <c r="BL806" s="11"/>
      <c r="CA806" s="9"/>
      <c r="CB806" s="9"/>
      <c r="CC806" s="9"/>
    </row>
    <row r="807" spans="1:81" ht="15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 s="67"/>
      <c r="N807" s="67"/>
      <c r="O807" s="16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C807" s="11"/>
      <c r="AN807" s="11"/>
      <c r="AX807" s="11"/>
      <c r="BI807" s="11"/>
      <c r="BL807" s="11"/>
      <c r="CA807" s="9"/>
      <c r="CB807" s="9"/>
      <c r="CC807" s="9"/>
    </row>
    <row r="808" spans="1:81" ht="15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 s="67"/>
      <c r="N808" s="67"/>
      <c r="O808" s="16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C808" s="11"/>
      <c r="AN808" s="11"/>
      <c r="AX808" s="11"/>
      <c r="BI808" s="11"/>
      <c r="BL808" s="11"/>
      <c r="CA808" s="9"/>
      <c r="CB808" s="9"/>
      <c r="CC808" s="9"/>
    </row>
    <row r="809" spans="1:81" ht="15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 s="67"/>
      <c r="N809" s="67"/>
      <c r="O809" s="16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C809" s="11"/>
      <c r="AN809" s="11"/>
      <c r="AX809" s="11"/>
      <c r="BI809" s="11"/>
      <c r="BL809" s="11"/>
      <c r="CA809" s="9"/>
      <c r="CB809" s="9"/>
      <c r="CC809" s="9"/>
    </row>
    <row r="810" spans="1:81" ht="15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 s="67"/>
      <c r="N810" s="67"/>
      <c r="O810" s="16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C810" s="11"/>
      <c r="AN810" s="11"/>
      <c r="AX810" s="11"/>
      <c r="BI810" s="11"/>
      <c r="BL810" s="11"/>
      <c r="CA810" s="9"/>
      <c r="CB810" s="9"/>
      <c r="CC810" s="9"/>
    </row>
    <row r="811" spans="1:81" ht="15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 s="67"/>
      <c r="N811" s="67"/>
      <c r="O811" s="16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C811" s="11"/>
      <c r="AN811" s="11"/>
      <c r="AX811" s="11"/>
      <c r="BI811" s="11"/>
      <c r="BL811" s="11"/>
      <c r="CA811" s="9"/>
      <c r="CB811" s="9"/>
      <c r="CC811" s="9"/>
    </row>
    <row r="812" spans="1:81" ht="15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 s="67"/>
      <c r="N812" s="67"/>
      <c r="O812" s="16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C812" s="11"/>
      <c r="AN812" s="11"/>
      <c r="AX812" s="11"/>
      <c r="BI812" s="11"/>
      <c r="BL812" s="11"/>
      <c r="CA812" s="9"/>
      <c r="CB812" s="9"/>
      <c r="CC812" s="9"/>
    </row>
    <row r="813" spans="1:81" ht="15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 s="67"/>
      <c r="N813" s="67"/>
      <c r="O813" s="16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C813" s="11"/>
      <c r="AN813" s="11"/>
      <c r="AX813" s="11"/>
      <c r="BI813" s="11"/>
      <c r="BL813" s="11"/>
      <c r="CA813" s="9"/>
      <c r="CB813" s="9"/>
      <c r="CC813" s="9"/>
    </row>
    <row r="814" spans="1:81" ht="15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 s="67"/>
      <c r="N814" s="67"/>
      <c r="O814" s="16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C814" s="11"/>
      <c r="AN814" s="11"/>
      <c r="AX814" s="11"/>
      <c r="BI814" s="11"/>
      <c r="BL814" s="11"/>
      <c r="CA814" s="9"/>
      <c r="CB814" s="9"/>
      <c r="CC814" s="9"/>
    </row>
    <row r="815" spans="1:81" ht="15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 s="67"/>
      <c r="N815" s="67"/>
      <c r="O815" s="16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C815" s="11"/>
      <c r="AN815" s="11"/>
      <c r="AX815" s="11"/>
      <c r="BI815" s="11"/>
      <c r="BL815" s="11"/>
      <c r="CA815" s="9"/>
      <c r="CB815" s="9"/>
      <c r="CC815" s="9"/>
    </row>
    <row r="816" spans="1:81" ht="15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 s="67"/>
      <c r="N816" s="67"/>
      <c r="O816" s="16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C816" s="11"/>
      <c r="AN816" s="11"/>
      <c r="AX816" s="11"/>
      <c r="BI816" s="11"/>
      <c r="BL816" s="11"/>
      <c r="CA816" s="9"/>
      <c r="CB816" s="9"/>
      <c r="CC816" s="9"/>
    </row>
    <row r="817" spans="1:100" ht="15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 s="67"/>
      <c r="N817" s="67"/>
      <c r="O817" s="16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C817" s="11"/>
      <c r="AN817" s="11"/>
      <c r="AX817" s="11"/>
      <c r="BI817" s="11"/>
      <c r="BL817" s="11"/>
      <c r="CA817" s="9"/>
      <c r="CB817" s="9"/>
      <c r="CC817" s="9"/>
    </row>
    <row r="818" spans="1:100" ht="15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 s="67"/>
      <c r="N818" s="67"/>
      <c r="O818" s="16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C818" s="11"/>
      <c r="AN818" s="11"/>
      <c r="AX818" s="11"/>
      <c r="BI818" s="11"/>
      <c r="BL818" s="11"/>
      <c r="CA818" s="9"/>
      <c r="CB818" s="9"/>
      <c r="CC818" s="9"/>
    </row>
    <row r="819" spans="1:100" ht="15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 s="67"/>
      <c r="N819" s="67"/>
      <c r="O819" s="16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C819" s="11"/>
      <c r="AN819" s="11"/>
      <c r="AX819" s="11"/>
      <c r="BI819" s="11"/>
      <c r="BL819" s="11"/>
      <c r="CA819" s="9"/>
      <c r="CB819" s="9"/>
      <c r="CC819" s="9"/>
    </row>
    <row r="820" spans="1:100" ht="15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 s="67"/>
      <c r="N820" s="67"/>
      <c r="O820" s="16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C820" s="11"/>
      <c r="AN820" s="11"/>
      <c r="AX820" s="11"/>
      <c r="BI820" s="11"/>
      <c r="BL820" s="11"/>
      <c r="CA820" s="9"/>
      <c r="CB820" s="9"/>
      <c r="CC820" s="9"/>
    </row>
    <row r="821" spans="1:100" ht="15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 s="67"/>
      <c r="N821" s="67"/>
      <c r="O821" s="16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C821" s="11"/>
      <c r="AN821" s="11"/>
      <c r="AX821" s="11"/>
      <c r="BI821" s="11"/>
      <c r="BT821" s="11"/>
      <c r="CE821" s="11"/>
      <c r="CT821" s="9"/>
      <c r="CU821" s="9"/>
      <c r="CV821" s="9"/>
    </row>
    <row r="822" spans="1:100" ht="15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 s="67"/>
      <c r="N822" s="67"/>
      <c r="O822" s="16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C822" s="11"/>
      <c r="AN822" s="11"/>
      <c r="AX822" s="11"/>
      <c r="BI822" s="11"/>
      <c r="BT822" s="11"/>
      <c r="CE822" s="11"/>
      <c r="CT822" s="9"/>
      <c r="CU822" s="9"/>
      <c r="CV822" s="9"/>
    </row>
    <row r="823" spans="1:100" ht="15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 s="67"/>
      <c r="N823" s="67"/>
      <c r="O823" s="16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C823" s="11"/>
      <c r="AN823" s="11"/>
      <c r="AX823" s="11"/>
      <c r="BI823" s="11"/>
      <c r="BT823" s="11"/>
      <c r="CE823" s="11"/>
      <c r="CT823" s="9"/>
      <c r="CU823" s="9"/>
      <c r="CV823" s="9"/>
    </row>
    <row r="824" spans="1:100" ht="15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 s="67"/>
      <c r="N824" s="67"/>
      <c r="O824" s="16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C824" s="11"/>
      <c r="AN824" s="11"/>
      <c r="AX824" s="11"/>
      <c r="BI824" s="11"/>
      <c r="BT824" s="11"/>
      <c r="CE824" s="11"/>
      <c r="CT824" s="9"/>
      <c r="CU824" s="9"/>
      <c r="CV824" s="9"/>
    </row>
    <row r="825" spans="1:100" ht="15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 s="67"/>
      <c r="N825" s="67"/>
      <c r="O825" s="16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C825" s="11"/>
      <c r="AN825" s="11"/>
      <c r="AX825" s="11"/>
      <c r="BI825" s="11"/>
      <c r="BT825" s="11"/>
      <c r="CE825" s="11"/>
      <c r="CT825" s="9"/>
      <c r="CU825" s="9"/>
      <c r="CV825" s="9"/>
    </row>
    <row r="826" spans="1:100" ht="15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 s="67"/>
      <c r="N826" s="67"/>
      <c r="O826" s="16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C826" s="11"/>
      <c r="AN826" s="11"/>
      <c r="AX826" s="11"/>
      <c r="BI826" s="11"/>
      <c r="BT826" s="11"/>
      <c r="CE826" s="11"/>
      <c r="CT826" s="9"/>
      <c r="CU826" s="9"/>
      <c r="CV826" s="9"/>
    </row>
    <row r="827" spans="1:100" ht="15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 s="67"/>
      <c r="N827" s="67"/>
      <c r="O827" s="16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C827" s="11"/>
      <c r="AN827" s="11"/>
      <c r="AX827" s="11"/>
      <c r="BI827" s="11"/>
      <c r="BT827" s="11"/>
      <c r="CE827" s="11"/>
      <c r="CT827" s="9"/>
      <c r="CU827" s="9"/>
      <c r="CV827" s="9"/>
    </row>
    <row r="828" spans="1:100" ht="15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 s="67"/>
      <c r="N828" s="67"/>
      <c r="O828" s="16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C828" s="11"/>
      <c r="AN828" s="11"/>
      <c r="AX828" s="11"/>
      <c r="BI828" s="11"/>
      <c r="BT828" s="11"/>
      <c r="CE828" s="11"/>
      <c r="CT828" s="9"/>
      <c r="CU828" s="9"/>
      <c r="CV828" s="9"/>
    </row>
    <row r="829" spans="1:100" ht="15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 s="67"/>
      <c r="N829" s="67"/>
      <c r="O829" s="16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C829" s="11"/>
      <c r="AN829" s="11"/>
      <c r="AX829" s="11"/>
      <c r="BI829" s="11"/>
      <c r="BT829" s="11"/>
      <c r="CE829" s="11"/>
      <c r="CT829" s="9"/>
      <c r="CU829" s="9"/>
      <c r="CV829" s="9"/>
    </row>
    <row r="830" spans="1:100" ht="15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 s="67"/>
      <c r="N830" s="67"/>
      <c r="O830" s="16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C830" s="11"/>
      <c r="AN830" s="11"/>
      <c r="AX830" s="11"/>
      <c r="BI830" s="11"/>
      <c r="BT830" s="11"/>
      <c r="CE830" s="11"/>
      <c r="CT830" s="9"/>
      <c r="CU830" s="9"/>
      <c r="CV830" s="9"/>
    </row>
    <row r="831" spans="1:100" ht="15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 s="67"/>
      <c r="N831" s="67"/>
      <c r="O831" s="16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C831" s="11"/>
      <c r="AN831" s="11"/>
      <c r="AX831" s="11"/>
      <c r="BI831" s="11"/>
      <c r="BT831" s="11"/>
      <c r="CE831" s="11"/>
      <c r="CT831" s="9"/>
      <c r="CU831" s="9"/>
      <c r="CV831" s="9"/>
    </row>
    <row r="832" spans="1:100" ht="15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 s="67"/>
      <c r="N832" s="67"/>
      <c r="O832" s="16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C832" s="11"/>
      <c r="AN832" s="11"/>
      <c r="AX832" s="11"/>
      <c r="BI832" s="11"/>
      <c r="BT832" s="11"/>
      <c r="CE832" s="11"/>
      <c r="CT832" s="9"/>
      <c r="CU832" s="9"/>
      <c r="CV832" s="9"/>
    </row>
    <row r="833" spans="1:100" ht="15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 s="67"/>
      <c r="N833" s="67"/>
      <c r="O833" s="16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C833" s="11"/>
      <c r="AN833" s="11"/>
      <c r="AX833" s="11"/>
      <c r="BI833" s="11"/>
      <c r="BT833" s="11"/>
      <c r="CE833" s="11"/>
      <c r="CT833" s="9"/>
      <c r="CU833" s="9"/>
      <c r="CV833" s="9"/>
    </row>
    <row r="834" spans="1:100" ht="15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 s="67"/>
      <c r="N834" s="67"/>
      <c r="O834" s="16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C834" s="11"/>
      <c r="AN834" s="11"/>
      <c r="AX834" s="11"/>
      <c r="BI834" s="11"/>
      <c r="BT834" s="11"/>
      <c r="CE834" s="11"/>
      <c r="CT834" s="9"/>
      <c r="CU834" s="9"/>
      <c r="CV834" s="9"/>
    </row>
    <row r="835" spans="1:100" ht="15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 s="67"/>
      <c r="N835" s="67"/>
      <c r="O835" s="16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C835" s="11"/>
      <c r="AN835" s="11"/>
      <c r="AX835" s="11"/>
      <c r="BI835" s="11"/>
      <c r="BT835" s="11"/>
      <c r="CE835" s="11"/>
      <c r="CT835" s="9"/>
      <c r="CU835" s="9"/>
      <c r="CV835" s="9"/>
    </row>
    <row r="836" spans="1:100" ht="15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 s="67"/>
      <c r="N836" s="67"/>
      <c r="O836" s="16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C836" s="11"/>
      <c r="AN836" s="11"/>
      <c r="AX836" s="11"/>
      <c r="BI836" s="11"/>
      <c r="BT836" s="11"/>
      <c r="CE836" s="11"/>
      <c r="CT836" s="9"/>
      <c r="CU836" s="9"/>
      <c r="CV836" s="9"/>
    </row>
    <row r="837" spans="1:100" ht="15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 s="67"/>
      <c r="N837" s="67"/>
      <c r="O837" s="16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C837" s="11"/>
      <c r="AN837" s="11"/>
      <c r="AX837" s="11"/>
      <c r="BI837" s="11"/>
      <c r="BT837" s="11"/>
      <c r="CE837" s="11"/>
      <c r="CT837" s="9"/>
      <c r="CU837" s="9"/>
      <c r="CV837" s="9"/>
    </row>
    <row r="838" spans="1:100" ht="15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 s="67"/>
      <c r="N838" s="67"/>
      <c r="O838" s="16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C838" s="11"/>
      <c r="AN838" s="11"/>
      <c r="AX838" s="11"/>
      <c r="BI838" s="11"/>
      <c r="BT838" s="11"/>
      <c r="CE838" s="11"/>
      <c r="CT838" s="9"/>
      <c r="CU838" s="9"/>
      <c r="CV838" s="9"/>
    </row>
    <row r="839" spans="1:100" ht="15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 s="67"/>
      <c r="N839" s="67"/>
      <c r="O839" s="16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C839" s="11"/>
      <c r="AN839" s="11"/>
      <c r="AX839" s="11"/>
      <c r="BI839" s="11"/>
      <c r="BT839" s="11"/>
      <c r="CE839" s="11"/>
      <c r="CT839" s="9"/>
      <c r="CU839" s="9"/>
      <c r="CV839" s="9"/>
    </row>
    <row r="840" spans="1:100" ht="15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 s="67"/>
      <c r="N840" s="67"/>
      <c r="O840" s="16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C840" s="11"/>
      <c r="AN840" s="11"/>
      <c r="AX840" s="11"/>
      <c r="BI840" s="11"/>
      <c r="BT840" s="11"/>
      <c r="CE840" s="11"/>
      <c r="CT840" s="9"/>
      <c r="CU840" s="9"/>
      <c r="CV840" s="9"/>
    </row>
    <row r="841" spans="1:100" ht="15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 s="67"/>
      <c r="N841" s="67"/>
      <c r="O841" s="16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C841" s="11"/>
      <c r="AN841" s="11"/>
      <c r="AX841" s="11"/>
      <c r="BI841" s="11"/>
      <c r="BT841" s="11"/>
      <c r="CE841" s="11"/>
      <c r="CT841" s="9"/>
      <c r="CU841" s="9"/>
      <c r="CV841" s="9"/>
    </row>
    <row r="842" spans="1:100" ht="15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 s="67"/>
      <c r="N842" s="67"/>
      <c r="O842" s="16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C842" s="11"/>
      <c r="AN842" s="11"/>
      <c r="AX842" s="11"/>
      <c r="BI842" s="11"/>
      <c r="BT842" s="11"/>
      <c r="CE842" s="11"/>
      <c r="CT842" s="9"/>
      <c r="CU842" s="9"/>
      <c r="CV842" s="9"/>
    </row>
    <row r="843" spans="1:100" ht="15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 s="67"/>
      <c r="N843" s="67"/>
      <c r="O843" s="16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C843" s="11"/>
      <c r="AN843" s="11"/>
      <c r="AX843" s="11"/>
      <c r="BI843" s="11"/>
      <c r="BT843" s="11"/>
      <c r="CE843" s="11"/>
      <c r="CT843" s="9"/>
      <c r="CU843" s="9"/>
      <c r="CV843" s="9"/>
    </row>
    <row r="844" spans="1:100" ht="15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 s="67"/>
      <c r="N844" s="67"/>
      <c r="O844" s="16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C844" s="11"/>
      <c r="AN844" s="11"/>
      <c r="AX844" s="11"/>
      <c r="BI844" s="11"/>
      <c r="BT844" s="11"/>
      <c r="CE844" s="11"/>
      <c r="CT844" s="9"/>
      <c r="CU844" s="9"/>
      <c r="CV844" s="9"/>
    </row>
    <row r="845" spans="1:100" ht="15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 s="67"/>
      <c r="N845" s="67"/>
      <c r="O845" s="16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C845" s="11"/>
      <c r="AN845" s="11"/>
      <c r="AX845" s="11"/>
      <c r="BI845" s="11"/>
      <c r="BT845" s="11"/>
      <c r="CE845" s="11"/>
      <c r="CT845" s="9"/>
      <c r="CU845" s="9"/>
      <c r="CV845" s="9"/>
    </row>
    <row r="846" spans="1:100" ht="15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 s="67"/>
      <c r="N846" s="67"/>
      <c r="O846" s="16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C846" s="11"/>
      <c r="AN846" s="11"/>
      <c r="AX846" s="11"/>
      <c r="BI846" s="11"/>
      <c r="BT846" s="11"/>
      <c r="CE846" s="11"/>
      <c r="CT846" s="9"/>
      <c r="CU846" s="9"/>
      <c r="CV846" s="9"/>
    </row>
    <row r="847" spans="1:100" ht="15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 s="67"/>
      <c r="N847" s="67"/>
      <c r="O847" s="16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C847" s="11"/>
      <c r="AN847" s="11"/>
      <c r="AX847" s="11"/>
      <c r="BI847" s="11"/>
      <c r="BT847" s="11"/>
      <c r="CE847" s="11"/>
      <c r="CT847" s="9"/>
      <c r="CU847" s="9"/>
      <c r="CV847" s="9"/>
    </row>
    <row r="848" spans="1:100" ht="15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 s="67"/>
      <c r="N848" s="67"/>
      <c r="O848" s="16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C848" s="11"/>
      <c r="AN848" s="11"/>
      <c r="AX848" s="11"/>
      <c r="BI848" s="11"/>
      <c r="BT848" s="11"/>
      <c r="CE848" s="11"/>
      <c r="CT848" s="9"/>
      <c r="CU848" s="9"/>
      <c r="CV848" s="9"/>
    </row>
    <row r="849" spans="1:100" ht="15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 s="67"/>
      <c r="N849" s="67"/>
      <c r="O849" s="16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C849" s="11"/>
      <c r="AN849" s="11"/>
      <c r="AX849" s="11"/>
      <c r="BI849" s="11"/>
      <c r="BT849" s="11"/>
      <c r="CE849" s="11"/>
      <c r="CT849" s="9"/>
      <c r="CU849" s="9"/>
      <c r="CV849" s="9"/>
    </row>
    <row r="850" spans="1:100" ht="15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 s="67"/>
      <c r="N850" s="67"/>
      <c r="O850" s="16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C850" s="11"/>
      <c r="AN850" s="11"/>
      <c r="AX850" s="11"/>
      <c r="BI850" s="11"/>
      <c r="BT850" s="11"/>
      <c r="CE850" s="11"/>
      <c r="CT850" s="9"/>
      <c r="CU850" s="9"/>
      <c r="CV850" s="9"/>
    </row>
    <row r="851" spans="1:100" ht="15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 s="67"/>
      <c r="N851" s="67"/>
      <c r="O851" s="16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C851" s="11"/>
      <c r="AN851" s="11"/>
      <c r="AX851" s="11"/>
      <c r="BI851" s="11"/>
      <c r="BT851" s="11"/>
      <c r="CE851" s="11"/>
      <c r="CT851" s="9"/>
      <c r="CU851" s="9"/>
      <c r="CV851" s="9"/>
    </row>
    <row r="852" spans="1:100" ht="15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 s="67"/>
      <c r="N852" s="67"/>
      <c r="O852" s="16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C852" s="11"/>
      <c r="AN852" s="11"/>
      <c r="AX852" s="11"/>
      <c r="BI852" s="11"/>
      <c r="BT852" s="11"/>
      <c r="CE852" s="11"/>
      <c r="CT852" s="9"/>
      <c r="CU852" s="9"/>
      <c r="CV852" s="9"/>
    </row>
    <row r="853" spans="1:100" ht="15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 s="67"/>
      <c r="N853" s="67"/>
      <c r="O853" s="16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C853" s="11"/>
      <c r="AN853" s="11"/>
      <c r="AX853" s="11"/>
      <c r="BI853" s="11"/>
      <c r="BT853" s="11"/>
      <c r="CE853" s="11"/>
      <c r="CT853" s="9"/>
      <c r="CU853" s="9"/>
      <c r="CV853" s="9"/>
    </row>
    <row r="854" spans="1:100" ht="15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 s="67"/>
      <c r="N854" s="67"/>
      <c r="O854" s="16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C854" s="11"/>
      <c r="AN854" s="11"/>
      <c r="AX854" s="11"/>
      <c r="BI854" s="11"/>
      <c r="BT854" s="11"/>
      <c r="CE854" s="11"/>
      <c r="CT854" s="9"/>
      <c r="CU854" s="9"/>
      <c r="CV854" s="9"/>
    </row>
    <row r="855" spans="1:100" ht="15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 s="67"/>
      <c r="N855" s="67"/>
      <c r="O855" s="16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C855" s="11"/>
      <c r="AN855" s="11"/>
      <c r="AX855" s="11"/>
      <c r="BI855" s="11"/>
      <c r="BT855" s="11"/>
      <c r="CE855" s="11"/>
      <c r="CT855" s="9"/>
      <c r="CU855" s="9"/>
      <c r="CV855" s="9"/>
    </row>
    <row r="856" spans="1:100" ht="15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 s="67"/>
      <c r="N856" s="67"/>
      <c r="O856" s="16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C856" s="11"/>
      <c r="AN856" s="11"/>
      <c r="AX856" s="11"/>
      <c r="BI856" s="11"/>
      <c r="BT856" s="11"/>
      <c r="CE856" s="11"/>
      <c r="CT856" s="9"/>
      <c r="CU856" s="9"/>
      <c r="CV856" s="9"/>
    </row>
    <row r="857" spans="1:100" ht="15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 s="67"/>
      <c r="N857" s="67"/>
      <c r="O857" s="16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C857" s="11"/>
      <c r="AN857" s="11"/>
      <c r="AX857" s="11"/>
      <c r="BI857" s="11"/>
      <c r="BT857" s="11"/>
      <c r="CE857" s="11"/>
      <c r="CT857" s="9"/>
      <c r="CU857" s="9"/>
      <c r="CV857" s="9"/>
    </row>
    <row r="858" spans="1:100" ht="15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 s="67"/>
      <c r="N858" s="67"/>
      <c r="O858" s="16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C858" s="11"/>
      <c r="AN858" s="11"/>
      <c r="AX858" s="11"/>
      <c r="BI858" s="11"/>
      <c r="BT858" s="11"/>
      <c r="CE858" s="11"/>
      <c r="CT858" s="9"/>
      <c r="CU858" s="9"/>
      <c r="CV858" s="9"/>
    </row>
    <row r="859" spans="1:100" ht="15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 s="67"/>
      <c r="N859" s="67"/>
      <c r="O859" s="16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C859" s="11"/>
      <c r="AN859" s="11"/>
      <c r="AX859" s="11"/>
      <c r="BI859" s="11"/>
      <c r="BT859" s="11"/>
      <c r="CE859" s="11"/>
      <c r="CT859" s="9"/>
      <c r="CU859" s="9"/>
      <c r="CV859" s="9"/>
    </row>
    <row r="860" spans="1:100" ht="15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 s="67"/>
      <c r="N860" s="67"/>
      <c r="O860" s="16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C860" s="11"/>
      <c r="AN860" s="11"/>
      <c r="AX860" s="11"/>
      <c r="BI860" s="11"/>
      <c r="BT860" s="11"/>
      <c r="CE860" s="11"/>
      <c r="CT860" s="9"/>
      <c r="CU860" s="9"/>
      <c r="CV860" s="9"/>
    </row>
    <row r="861" spans="1:100" ht="15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 s="67"/>
      <c r="N861" s="67"/>
      <c r="O861" s="16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C861" s="11"/>
      <c r="AN861" s="11"/>
      <c r="AX861" s="11"/>
      <c r="BI861" s="11"/>
      <c r="BT861" s="11"/>
      <c r="CE861" s="11"/>
      <c r="CT861" s="9"/>
      <c r="CU861" s="9"/>
      <c r="CV861" s="9"/>
    </row>
    <row r="862" spans="1:100" ht="15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 s="67"/>
      <c r="N862" s="67"/>
      <c r="O862" s="16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C862" s="11"/>
      <c r="AN862" s="11"/>
      <c r="AX862" s="11"/>
      <c r="BI862" s="11"/>
      <c r="BT862" s="11"/>
      <c r="CE862" s="11"/>
      <c r="CT862" s="9"/>
      <c r="CU862" s="9"/>
      <c r="CV862" s="9"/>
    </row>
    <row r="863" spans="1:100" ht="15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 s="67"/>
      <c r="N863" s="67"/>
      <c r="O863" s="16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C863" s="11"/>
      <c r="AN863" s="11"/>
      <c r="AX863" s="11"/>
      <c r="BI863" s="11"/>
      <c r="BT863" s="11"/>
      <c r="CE863" s="11"/>
      <c r="CT863" s="9"/>
      <c r="CU863" s="9"/>
      <c r="CV863" s="9"/>
    </row>
    <row r="864" spans="1:100" ht="15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 s="67"/>
      <c r="N864" s="67"/>
      <c r="O864" s="16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C864" s="11"/>
      <c r="AN864" s="11"/>
      <c r="AX864" s="11"/>
      <c r="BI864" s="11"/>
      <c r="BT864" s="11"/>
      <c r="CE864" s="11"/>
      <c r="CT864" s="9"/>
      <c r="CU864" s="9"/>
      <c r="CV864" s="9"/>
    </row>
    <row r="865" spans="1:100" ht="15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 s="67"/>
      <c r="N865" s="67"/>
      <c r="O865" s="16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C865" s="11"/>
      <c r="AN865" s="11"/>
      <c r="AX865" s="11"/>
      <c r="BI865" s="11"/>
      <c r="BT865" s="11"/>
      <c r="CE865" s="11"/>
      <c r="CT865" s="9"/>
      <c r="CU865" s="9"/>
      <c r="CV865" s="9"/>
    </row>
    <row r="866" spans="1:100" ht="15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 s="67"/>
      <c r="N866" s="67"/>
      <c r="O866" s="16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C866" s="11"/>
      <c r="AN866" s="11"/>
      <c r="AX866" s="11"/>
      <c r="BI866" s="11"/>
      <c r="BT866" s="11"/>
      <c r="CE866" s="11"/>
      <c r="CT866" s="9"/>
      <c r="CU866" s="9"/>
      <c r="CV866" s="9"/>
    </row>
    <row r="867" spans="1:100" ht="15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 s="67"/>
      <c r="N867" s="67"/>
      <c r="O867" s="16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C867" s="11"/>
      <c r="AN867" s="11"/>
      <c r="AX867" s="11"/>
      <c r="BI867" s="11"/>
      <c r="BT867" s="11"/>
      <c r="CE867" s="11"/>
      <c r="CT867" s="9"/>
      <c r="CU867" s="9"/>
      <c r="CV867" s="9"/>
    </row>
    <row r="868" spans="1:100" ht="15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 s="67"/>
      <c r="N868" s="67"/>
      <c r="O868" s="16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C868" s="11"/>
      <c r="AN868" s="11"/>
      <c r="AX868" s="11"/>
      <c r="BI868" s="11"/>
      <c r="BT868" s="11"/>
      <c r="CE868" s="11"/>
      <c r="CT868" s="9"/>
      <c r="CU868" s="9"/>
      <c r="CV868" s="9"/>
    </row>
    <row r="869" spans="1:100" ht="15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 s="67"/>
      <c r="N869" s="67"/>
      <c r="O869" s="16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C869" s="11"/>
      <c r="AN869" s="11"/>
      <c r="AX869" s="11"/>
      <c r="BI869" s="11"/>
      <c r="BT869" s="11"/>
      <c r="CE869" s="11"/>
      <c r="CT869" s="9"/>
      <c r="CU869" s="9"/>
      <c r="CV869" s="9"/>
    </row>
    <row r="870" spans="1:100" ht="15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 s="67"/>
      <c r="N870" s="67"/>
      <c r="O870" s="16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C870" s="11"/>
      <c r="AN870" s="11"/>
      <c r="AX870" s="11"/>
      <c r="BI870" s="11"/>
      <c r="BT870" s="11"/>
      <c r="CE870" s="11"/>
      <c r="CT870" s="9"/>
      <c r="CU870" s="9"/>
      <c r="CV870" s="9"/>
    </row>
    <row r="871" spans="1:100" ht="15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 s="67"/>
      <c r="N871" s="67"/>
      <c r="O871" s="16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C871" s="11"/>
      <c r="AN871" s="11"/>
      <c r="AX871" s="11"/>
      <c r="BI871" s="11"/>
      <c r="BT871" s="11"/>
      <c r="CE871" s="11"/>
      <c r="CT871" s="9"/>
      <c r="CU871" s="9"/>
      <c r="CV871" s="9"/>
    </row>
    <row r="872" spans="1:100" ht="15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 s="67"/>
      <c r="N872" s="67"/>
      <c r="O872" s="16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C872" s="11"/>
      <c r="AN872" s="11"/>
      <c r="AX872" s="11"/>
      <c r="BI872" s="11"/>
      <c r="BT872" s="11"/>
      <c r="CE872" s="11"/>
      <c r="CT872" s="9"/>
      <c r="CU872" s="9"/>
      <c r="CV872" s="9"/>
    </row>
    <row r="873" spans="1:100" ht="15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 s="67"/>
      <c r="N873" s="67"/>
      <c r="O873" s="16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C873" s="11"/>
      <c r="AN873" s="11"/>
      <c r="AX873" s="11"/>
      <c r="BI873" s="11"/>
      <c r="BT873" s="11"/>
      <c r="CE873" s="11"/>
      <c r="CT873" s="9"/>
      <c r="CU873" s="9"/>
      <c r="CV873" s="9"/>
    </row>
    <row r="874" spans="1:100" ht="15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 s="67"/>
      <c r="N874" s="67"/>
      <c r="O874" s="16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C874" s="11"/>
      <c r="AN874" s="11"/>
      <c r="AX874" s="11"/>
      <c r="BI874" s="11"/>
      <c r="BT874" s="11"/>
      <c r="CE874" s="11"/>
      <c r="CT874" s="9"/>
      <c r="CU874" s="9"/>
      <c r="CV874" s="9"/>
    </row>
    <row r="875" spans="1:100" ht="15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 s="67"/>
      <c r="N875" s="67"/>
      <c r="O875" s="16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C875" s="11"/>
      <c r="AN875" s="11"/>
      <c r="AX875" s="11"/>
      <c r="BI875" s="11"/>
      <c r="BT875" s="11"/>
      <c r="CE875" s="11"/>
      <c r="CT875" s="9"/>
      <c r="CU875" s="9"/>
      <c r="CV875" s="9"/>
    </row>
    <row r="876" spans="1:100" ht="15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 s="67"/>
      <c r="N876" s="67"/>
      <c r="O876" s="16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C876" s="11"/>
      <c r="AN876" s="11"/>
      <c r="AX876" s="11"/>
      <c r="BI876" s="11"/>
      <c r="BT876" s="11"/>
      <c r="CE876" s="11"/>
      <c r="CT876" s="9"/>
      <c r="CU876" s="9"/>
      <c r="CV876" s="9"/>
    </row>
    <row r="877" spans="1:100" ht="15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 s="67"/>
      <c r="N877" s="67"/>
      <c r="O877" s="16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C877" s="11"/>
      <c r="AN877" s="11"/>
      <c r="AX877" s="11"/>
      <c r="BI877" s="11"/>
      <c r="BT877" s="11"/>
      <c r="CE877" s="11"/>
      <c r="CT877" s="9"/>
      <c r="CU877" s="9"/>
      <c r="CV877" s="9"/>
    </row>
    <row r="878" spans="1:100" ht="15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 s="67"/>
      <c r="N878" s="67"/>
      <c r="O878" s="16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C878" s="11"/>
      <c r="AN878" s="11"/>
      <c r="AX878" s="11"/>
      <c r="BI878" s="11"/>
      <c r="BT878" s="11"/>
      <c r="CE878" s="11"/>
      <c r="CT878" s="9"/>
      <c r="CU878" s="9"/>
      <c r="CV878" s="9"/>
    </row>
    <row r="879" spans="1:100" ht="15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 s="67"/>
      <c r="N879" s="67"/>
      <c r="O879" s="16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C879" s="11"/>
      <c r="AN879" s="11"/>
      <c r="AX879" s="11"/>
      <c r="BI879" s="11"/>
      <c r="BT879" s="11"/>
      <c r="CE879" s="11"/>
      <c r="CT879" s="9"/>
      <c r="CU879" s="9"/>
      <c r="CV879" s="9"/>
    </row>
    <row r="880" spans="1:100" ht="15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 s="67"/>
      <c r="N880" s="67"/>
      <c r="O880" s="16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C880" s="11"/>
      <c r="AN880" s="11"/>
      <c r="AX880" s="11"/>
      <c r="BI880" s="11"/>
      <c r="BT880" s="11"/>
      <c r="CE880" s="11"/>
      <c r="CT880" s="9"/>
      <c r="CU880" s="9"/>
      <c r="CV880" s="9"/>
    </row>
    <row r="881" spans="1:100" ht="15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 s="67"/>
      <c r="N881" s="67"/>
      <c r="O881" s="16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C881" s="11"/>
      <c r="AN881" s="11"/>
      <c r="AX881" s="11"/>
      <c r="BI881" s="11"/>
      <c r="BT881" s="11"/>
      <c r="CE881" s="11"/>
      <c r="CT881" s="9"/>
      <c r="CU881" s="9"/>
      <c r="CV881" s="9"/>
    </row>
    <row r="882" spans="1:100" ht="15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 s="67"/>
      <c r="N882" s="67"/>
      <c r="O882" s="16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C882" s="11"/>
      <c r="AN882" s="11"/>
      <c r="AX882" s="11"/>
      <c r="BI882" s="11"/>
      <c r="BT882" s="11"/>
      <c r="CE882" s="11"/>
      <c r="CT882" s="9"/>
      <c r="CU882" s="9"/>
      <c r="CV882" s="9"/>
    </row>
    <row r="883" spans="1:100" ht="15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 s="67"/>
      <c r="N883" s="67"/>
      <c r="O883" s="16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C883" s="11"/>
      <c r="AN883" s="11"/>
      <c r="AX883" s="11"/>
      <c r="BI883" s="11"/>
      <c r="BT883" s="11"/>
      <c r="CE883" s="11"/>
      <c r="CT883" s="9"/>
      <c r="CU883" s="9"/>
      <c r="CV883" s="9"/>
    </row>
    <row r="884" spans="1:100" ht="15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 s="67"/>
      <c r="N884" s="67"/>
      <c r="O884" s="16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C884" s="11"/>
      <c r="AN884" s="11"/>
      <c r="AX884" s="11"/>
      <c r="BI884" s="11"/>
      <c r="BT884" s="11"/>
      <c r="CE884" s="11"/>
      <c r="CT884" s="9"/>
      <c r="CU884" s="9"/>
      <c r="CV884" s="9"/>
    </row>
    <row r="885" spans="1:100" ht="15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 s="67"/>
      <c r="N885" s="67"/>
      <c r="O885" s="16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C885" s="11"/>
      <c r="AN885" s="11"/>
      <c r="AX885" s="11"/>
      <c r="BI885" s="11"/>
      <c r="BT885" s="11"/>
      <c r="CE885" s="11"/>
      <c r="CT885" s="9"/>
      <c r="CU885" s="9"/>
      <c r="CV885" s="9"/>
    </row>
    <row r="886" spans="1:100" ht="15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 s="67"/>
      <c r="N886" s="67"/>
      <c r="O886" s="16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C886" s="11"/>
      <c r="AN886" s="11"/>
      <c r="AX886" s="11"/>
      <c r="BI886" s="11"/>
      <c r="BT886" s="11"/>
      <c r="CE886" s="11"/>
      <c r="CT886" s="9"/>
      <c r="CU886" s="9"/>
      <c r="CV886" s="9"/>
    </row>
    <row r="887" spans="1:100" ht="15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 s="67"/>
      <c r="N887" s="67"/>
      <c r="O887" s="16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C887" s="11"/>
      <c r="AN887" s="11"/>
      <c r="AX887" s="11"/>
      <c r="BI887" s="11"/>
      <c r="BT887" s="11"/>
      <c r="CE887" s="11"/>
      <c r="CT887" s="9"/>
      <c r="CU887" s="9"/>
      <c r="CV887" s="9"/>
    </row>
    <row r="888" spans="1:100" ht="15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 s="67"/>
      <c r="N888" s="67"/>
      <c r="O888" s="16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C888" s="11"/>
      <c r="AN888" s="11"/>
      <c r="AX888" s="11"/>
      <c r="BI888" s="11"/>
      <c r="BT888" s="11"/>
      <c r="CE888" s="11"/>
      <c r="CT888" s="9"/>
      <c r="CU888" s="9"/>
      <c r="CV888" s="9"/>
    </row>
    <row r="889" spans="1:100" ht="15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 s="67"/>
      <c r="N889" s="67"/>
      <c r="O889" s="16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C889" s="11"/>
      <c r="AN889" s="11"/>
      <c r="AX889" s="11"/>
      <c r="BI889" s="11"/>
      <c r="BT889" s="11"/>
      <c r="CE889" s="11"/>
      <c r="CT889" s="9"/>
      <c r="CU889" s="9"/>
      <c r="CV889" s="9"/>
    </row>
    <row r="890" spans="1:100" ht="15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 s="67"/>
      <c r="N890" s="67"/>
      <c r="O890" s="16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C890" s="11"/>
      <c r="AN890" s="11"/>
      <c r="AX890" s="11"/>
      <c r="BI890" s="11"/>
      <c r="BT890" s="11"/>
      <c r="CE890" s="11"/>
      <c r="CT890" s="9"/>
      <c r="CU890" s="9"/>
      <c r="CV890" s="9"/>
    </row>
    <row r="891" spans="1:100" ht="15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 s="67"/>
      <c r="N891" s="67"/>
      <c r="O891" s="16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C891" s="11"/>
      <c r="AN891" s="11"/>
      <c r="AX891" s="11"/>
      <c r="BI891" s="11"/>
      <c r="BT891" s="11"/>
      <c r="CE891" s="11"/>
      <c r="CT891" s="9"/>
      <c r="CU891" s="9"/>
      <c r="CV891" s="9"/>
    </row>
    <row r="892" spans="1:100" ht="15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 s="67"/>
      <c r="N892" s="67"/>
      <c r="O892" s="16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C892" s="11"/>
      <c r="AN892" s="11"/>
      <c r="AX892" s="11"/>
      <c r="BI892" s="11"/>
      <c r="BT892" s="11"/>
      <c r="CE892" s="11"/>
      <c r="CT892" s="9"/>
      <c r="CU892" s="9"/>
      <c r="CV892" s="9"/>
    </row>
    <row r="893" spans="1:100" ht="15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 s="67"/>
      <c r="N893" s="67"/>
      <c r="O893" s="16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C893" s="11"/>
      <c r="AN893" s="11"/>
      <c r="AX893" s="11"/>
      <c r="BI893" s="11"/>
      <c r="BT893" s="11"/>
      <c r="CE893" s="11"/>
      <c r="CT893" s="9"/>
      <c r="CU893" s="9"/>
      <c r="CV893" s="9"/>
    </row>
    <row r="894" spans="1:100" ht="15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 s="67"/>
      <c r="N894" s="67"/>
      <c r="O894" s="16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C894" s="11"/>
      <c r="AN894" s="11"/>
      <c r="AX894" s="11"/>
      <c r="BI894" s="11"/>
      <c r="BT894" s="11"/>
      <c r="CE894" s="11"/>
      <c r="CT894" s="9"/>
      <c r="CU894" s="9"/>
      <c r="CV894" s="9"/>
    </row>
    <row r="895" spans="1:100" ht="15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 s="67"/>
      <c r="N895" s="67"/>
      <c r="O895" s="16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C895" s="11"/>
      <c r="AN895" s="11"/>
      <c r="AX895" s="11"/>
      <c r="BI895" s="11"/>
      <c r="BT895" s="11"/>
      <c r="CE895" s="11"/>
      <c r="CT895" s="9"/>
      <c r="CU895" s="9"/>
      <c r="CV895" s="9"/>
    </row>
    <row r="896" spans="1:100" ht="15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 s="67"/>
      <c r="N896" s="67"/>
      <c r="O896" s="16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C896" s="11"/>
      <c r="AN896" s="11"/>
      <c r="AX896" s="11"/>
      <c r="BI896" s="11"/>
      <c r="BT896" s="11"/>
      <c r="CE896" s="11"/>
      <c r="CT896" s="9"/>
      <c r="CU896" s="9"/>
      <c r="CV896" s="9"/>
    </row>
    <row r="897" spans="1:100" ht="15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 s="67"/>
      <c r="N897" s="67"/>
      <c r="O897" s="16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C897" s="11"/>
      <c r="AN897" s="11"/>
      <c r="AX897" s="11"/>
      <c r="BI897" s="11"/>
      <c r="BT897" s="11"/>
      <c r="CE897" s="11"/>
      <c r="CT897" s="9"/>
      <c r="CU897" s="9"/>
      <c r="CV897" s="9"/>
    </row>
    <row r="898" spans="1:100" ht="15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 s="67"/>
      <c r="N898" s="67"/>
      <c r="O898" s="16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C898" s="11"/>
      <c r="AN898" s="11"/>
      <c r="AX898" s="11"/>
      <c r="BI898" s="11"/>
      <c r="BT898" s="11"/>
      <c r="CE898" s="11"/>
      <c r="CT898" s="9"/>
      <c r="CU898" s="9"/>
      <c r="CV898" s="9"/>
    </row>
    <row r="899" spans="1:100" ht="15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 s="67"/>
      <c r="N899" s="67"/>
      <c r="O899" s="16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C899" s="11"/>
      <c r="AN899" s="11"/>
      <c r="AX899" s="11"/>
      <c r="BI899" s="11"/>
      <c r="BT899" s="11"/>
      <c r="CE899" s="11"/>
      <c r="CT899" s="9"/>
      <c r="CU899" s="9"/>
      <c r="CV899" s="9"/>
    </row>
    <row r="900" spans="1:100" ht="15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 s="67"/>
      <c r="N900" s="67"/>
      <c r="O900" s="16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C900" s="11"/>
      <c r="AN900" s="11"/>
      <c r="AX900" s="11"/>
      <c r="BI900" s="11"/>
      <c r="BT900" s="11"/>
      <c r="CE900" s="11"/>
      <c r="CT900" s="9"/>
      <c r="CU900" s="9"/>
      <c r="CV900" s="9"/>
    </row>
    <row r="901" spans="1:100" ht="15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 s="67"/>
      <c r="N901" s="67"/>
      <c r="O901" s="16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C901" s="11"/>
      <c r="AN901" s="11"/>
      <c r="AX901" s="11"/>
      <c r="BI901" s="11"/>
      <c r="BT901" s="11"/>
      <c r="CE901" s="11"/>
      <c r="CT901" s="9"/>
      <c r="CU901" s="9"/>
      <c r="CV901" s="9"/>
    </row>
    <row r="902" spans="1:100" ht="15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 s="67"/>
      <c r="N902" s="67"/>
      <c r="O902" s="16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C902" s="11"/>
      <c r="AN902" s="11"/>
      <c r="AX902" s="11"/>
      <c r="BI902" s="11"/>
      <c r="BT902" s="11"/>
      <c r="CE902" s="11"/>
      <c r="CT902" s="9"/>
      <c r="CU902" s="9"/>
      <c r="CV902" s="9"/>
    </row>
    <row r="903" spans="1:100" ht="15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 s="67"/>
      <c r="N903" s="67"/>
      <c r="O903" s="16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C903" s="11"/>
      <c r="AN903" s="11"/>
      <c r="AX903" s="11"/>
      <c r="BI903" s="11"/>
      <c r="BT903" s="11"/>
      <c r="CE903" s="11"/>
      <c r="CT903" s="9"/>
      <c r="CU903" s="9"/>
      <c r="CV903" s="9"/>
    </row>
    <row r="904" spans="1:100" ht="15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 s="67"/>
      <c r="N904" s="67"/>
      <c r="O904" s="16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C904" s="11"/>
      <c r="AN904" s="11"/>
      <c r="AX904" s="11"/>
      <c r="BI904" s="11"/>
      <c r="BT904" s="11"/>
      <c r="CE904" s="11"/>
      <c r="CT904" s="9"/>
      <c r="CU904" s="9"/>
      <c r="CV904" s="9"/>
    </row>
    <row r="905" spans="1:100" ht="15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 s="67"/>
      <c r="N905" s="67"/>
      <c r="O905" s="16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C905" s="11"/>
      <c r="AN905" s="11"/>
      <c r="AX905" s="11"/>
      <c r="BI905" s="11"/>
      <c r="BT905" s="11"/>
      <c r="CE905" s="11"/>
      <c r="CT905" s="9"/>
      <c r="CU905" s="9"/>
      <c r="CV905" s="9"/>
    </row>
    <row r="906" spans="1:100" ht="15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 s="67"/>
      <c r="N906" s="67"/>
      <c r="O906" s="16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C906" s="11"/>
      <c r="AN906" s="11"/>
      <c r="AX906" s="11"/>
      <c r="BI906" s="11"/>
      <c r="BT906" s="11"/>
      <c r="CE906" s="11"/>
      <c r="CT906" s="9"/>
      <c r="CU906" s="9"/>
      <c r="CV906" s="9"/>
    </row>
    <row r="907" spans="1:100" ht="15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 s="67"/>
      <c r="N907" s="67"/>
      <c r="O907" s="16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C907" s="11"/>
      <c r="AN907" s="11"/>
      <c r="AX907" s="11"/>
      <c r="BI907" s="11"/>
      <c r="BT907" s="11"/>
      <c r="CE907" s="11"/>
      <c r="CT907" s="9"/>
      <c r="CU907" s="9"/>
      <c r="CV907" s="9"/>
    </row>
    <row r="908" spans="1:100" ht="15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 s="67"/>
      <c r="N908" s="67"/>
      <c r="O908" s="16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C908" s="11"/>
      <c r="AN908" s="11"/>
      <c r="AX908" s="11"/>
      <c r="BI908" s="11"/>
      <c r="BT908" s="11"/>
      <c r="CE908" s="11"/>
      <c r="CT908" s="9"/>
      <c r="CU908" s="9"/>
      <c r="CV908" s="9"/>
    </row>
    <row r="909" spans="1:100" ht="15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 s="67"/>
      <c r="N909" s="67"/>
      <c r="O909" s="16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C909" s="11"/>
      <c r="AN909" s="11"/>
      <c r="AX909" s="11"/>
      <c r="BI909" s="11"/>
      <c r="BT909" s="11"/>
      <c r="CE909" s="11"/>
      <c r="CT909" s="9"/>
      <c r="CU909" s="9"/>
      <c r="CV909" s="9"/>
    </row>
    <row r="910" spans="1:100" ht="15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 s="67"/>
      <c r="N910" s="67"/>
      <c r="O910" s="16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C910" s="11"/>
      <c r="AN910" s="11"/>
      <c r="AX910" s="11"/>
      <c r="BI910" s="11"/>
      <c r="BT910" s="11"/>
      <c r="CE910" s="11"/>
      <c r="CT910" s="9"/>
      <c r="CU910" s="9"/>
      <c r="CV910" s="9"/>
    </row>
    <row r="911" spans="1:100" ht="15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 s="67"/>
      <c r="N911" s="67"/>
      <c r="O911" s="16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C911" s="11"/>
      <c r="AN911" s="11"/>
      <c r="AX911" s="11"/>
      <c r="BI911" s="11"/>
      <c r="BT911" s="11"/>
      <c r="CE911" s="11"/>
      <c r="CT911" s="9"/>
      <c r="CU911" s="9"/>
      <c r="CV911" s="9"/>
    </row>
    <row r="912" spans="1:100" ht="15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 s="67"/>
      <c r="N912" s="67"/>
      <c r="O912" s="16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C912" s="11"/>
      <c r="AN912" s="11"/>
      <c r="AX912" s="11"/>
      <c r="BI912" s="11"/>
      <c r="BT912" s="11"/>
      <c r="CE912" s="11"/>
      <c r="CT912" s="9"/>
      <c r="CU912" s="9"/>
      <c r="CV912" s="9"/>
    </row>
    <row r="913" spans="1:100" ht="15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 s="67"/>
      <c r="N913" s="67"/>
      <c r="O913" s="16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C913" s="11"/>
      <c r="AN913" s="11"/>
      <c r="AX913" s="11"/>
      <c r="BI913" s="11"/>
      <c r="BT913" s="11"/>
      <c r="CE913" s="11"/>
      <c r="CT913" s="9"/>
      <c r="CU913" s="9"/>
      <c r="CV913" s="9"/>
    </row>
    <row r="914" spans="1:100" ht="15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 s="67"/>
      <c r="N914" s="67"/>
      <c r="O914" s="16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C914" s="11"/>
      <c r="AN914" s="11"/>
      <c r="AX914" s="11"/>
      <c r="BI914" s="11"/>
      <c r="BT914" s="11"/>
      <c r="CE914" s="11"/>
      <c r="CT914" s="9"/>
      <c r="CU914" s="9"/>
      <c r="CV914" s="9"/>
    </row>
    <row r="915" spans="1:100" ht="15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 s="67"/>
      <c r="N915" s="67"/>
      <c r="O915" s="16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C915" s="11"/>
      <c r="AN915" s="11"/>
      <c r="AX915" s="11"/>
      <c r="BI915" s="11"/>
      <c r="BT915" s="11"/>
      <c r="CE915" s="11"/>
      <c r="CT915" s="9"/>
      <c r="CU915" s="9"/>
      <c r="CV915" s="9"/>
    </row>
    <row r="916" spans="1:100" ht="15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 s="67"/>
      <c r="N916" s="67"/>
      <c r="O916" s="16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C916" s="11"/>
      <c r="AN916" s="11"/>
      <c r="AX916" s="11"/>
      <c r="BI916" s="11"/>
      <c r="BT916" s="11"/>
      <c r="CE916" s="11"/>
      <c r="CT916" s="9"/>
      <c r="CU916" s="9"/>
      <c r="CV916" s="9"/>
    </row>
    <row r="917" spans="1:100" ht="15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 s="67"/>
      <c r="N917" s="67"/>
      <c r="O917" s="16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C917" s="11"/>
      <c r="AN917" s="11"/>
      <c r="AX917" s="11"/>
      <c r="BI917" s="11"/>
      <c r="BT917" s="11"/>
      <c r="CE917" s="11"/>
      <c r="CT917" s="9"/>
      <c r="CU917" s="9"/>
      <c r="CV917" s="9"/>
    </row>
    <row r="918" spans="1:100" ht="15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 s="67"/>
      <c r="N918" s="67"/>
      <c r="O918" s="16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C918" s="11"/>
      <c r="AN918" s="11"/>
      <c r="AX918" s="11"/>
      <c r="BI918" s="11"/>
      <c r="BT918" s="11"/>
      <c r="CE918" s="11"/>
      <c r="CT918" s="9"/>
      <c r="CU918" s="9"/>
      <c r="CV918" s="9"/>
    </row>
    <row r="919" spans="1:100" ht="15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 s="67"/>
      <c r="N919" s="67"/>
      <c r="O919" s="16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C919" s="11"/>
      <c r="AN919" s="11"/>
      <c r="AX919" s="11"/>
      <c r="BI919" s="11"/>
      <c r="BT919" s="11"/>
      <c r="CE919" s="11"/>
      <c r="CT919" s="9"/>
      <c r="CU919" s="9"/>
      <c r="CV919" s="9"/>
    </row>
    <row r="920" spans="1:100" ht="15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 s="67"/>
      <c r="N920" s="67"/>
      <c r="O920" s="16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C920" s="11"/>
      <c r="AN920" s="11"/>
      <c r="AX920" s="11"/>
      <c r="BI920" s="11"/>
      <c r="BT920" s="11"/>
      <c r="CE920" s="11"/>
      <c r="CT920" s="9"/>
      <c r="CU920" s="9"/>
      <c r="CV920" s="9"/>
    </row>
    <row r="921" spans="1:100" ht="15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 s="67"/>
      <c r="N921" s="67"/>
      <c r="O921" s="16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C921" s="11"/>
      <c r="AN921" s="11"/>
      <c r="AX921" s="11"/>
      <c r="BI921" s="11"/>
      <c r="BT921" s="11"/>
      <c r="CE921" s="11"/>
      <c r="CT921" s="9"/>
      <c r="CU921" s="9"/>
      <c r="CV921" s="9"/>
    </row>
    <row r="922" spans="1:100" ht="15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 s="67"/>
      <c r="N922" s="67"/>
      <c r="O922" s="16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C922" s="11"/>
      <c r="AN922" s="11"/>
      <c r="AX922" s="11"/>
      <c r="BI922" s="11"/>
      <c r="BT922" s="11"/>
      <c r="CE922" s="11"/>
      <c r="CT922" s="9"/>
      <c r="CU922" s="9"/>
      <c r="CV922" s="9"/>
    </row>
    <row r="923" spans="1:100" ht="15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 s="67"/>
      <c r="N923" s="67"/>
      <c r="O923" s="16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C923" s="11"/>
      <c r="AN923" s="11"/>
      <c r="AX923" s="11"/>
      <c r="BI923" s="11"/>
      <c r="BT923" s="11"/>
      <c r="CE923" s="11"/>
      <c r="CT923" s="9"/>
      <c r="CU923" s="9"/>
      <c r="CV923" s="9"/>
    </row>
    <row r="924" spans="1:100" ht="15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 s="67"/>
      <c r="N924" s="67"/>
      <c r="O924" s="16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C924" s="11"/>
      <c r="AN924" s="11"/>
      <c r="AX924" s="11"/>
      <c r="BI924" s="11"/>
      <c r="BT924" s="11"/>
      <c r="CE924" s="11"/>
      <c r="CT924" s="9"/>
      <c r="CU924" s="9"/>
      <c r="CV924" s="9"/>
    </row>
    <row r="925" spans="1:100" ht="15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 s="67"/>
      <c r="N925" s="67"/>
      <c r="O925" s="16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C925" s="11"/>
      <c r="AN925" s="11"/>
      <c r="AX925" s="11"/>
      <c r="BI925" s="11"/>
      <c r="BT925" s="11"/>
      <c r="CE925" s="11"/>
      <c r="CT925" s="9"/>
      <c r="CU925" s="9"/>
      <c r="CV925" s="9"/>
    </row>
    <row r="926" spans="1:100" ht="15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 s="67"/>
      <c r="N926" s="67"/>
      <c r="O926" s="16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C926" s="11"/>
      <c r="AN926" s="11"/>
      <c r="AX926" s="11"/>
      <c r="BI926" s="11"/>
      <c r="BT926" s="11"/>
      <c r="CE926" s="11"/>
      <c r="CT926" s="9"/>
      <c r="CU926" s="9"/>
      <c r="CV926" s="9"/>
    </row>
    <row r="927" spans="1:100" ht="15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 s="67"/>
      <c r="N927" s="67"/>
      <c r="O927" s="16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C927" s="11"/>
      <c r="AN927" s="11"/>
      <c r="AX927" s="11"/>
      <c r="BI927" s="11"/>
      <c r="BT927" s="11"/>
      <c r="CE927" s="11"/>
      <c r="CT927" s="9"/>
      <c r="CU927" s="9"/>
      <c r="CV927" s="9"/>
    </row>
    <row r="928" spans="1:100" ht="15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 s="67"/>
      <c r="N928" s="67"/>
      <c r="O928" s="16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C928" s="11"/>
      <c r="AN928" s="11"/>
      <c r="AX928" s="11"/>
      <c r="BI928" s="11"/>
      <c r="BT928" s="11"/>
      <c r="CE928" s="11"/>
      <c r="CT928" s="9"/>
      <c r="CU928" s="9"/>
      <c r="CV928" s="9"/>
    </row>
    <row r="929" spans="1:100" ht="15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 s="67"/>
      <c r="N929" s="67"/>
      <c r="O929" s="16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C929" s="11"/>
      <c r="AN929" s="11"/>
      <c r="AX929" s="11"/>
      <c r="BI929" s="11"/>
      <c r="BT929" s="11"/>
      <c r="CE929" s="11"/>
      <c r="CT929" s="9"/>
      <c r="CU929" s="9"/>
      <c r="CV929" s="9"/>
    </row>
    <row r="930" spans="1:100" ht="15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 s="67"/>
      <c r="N930" s="67"/>
      <c r="O930" s="16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C930" s="11"/>
      <c r="AN930" s="11"/>
      <c r="AX930" s="11"/>
      <c r="BI930" s="11"/>
      <c r="BT930" s="11"/>
      <c r="CE930" s="11"/>
      <c r="CT930" s="9"/>
      <c r="CU930" s="9"/>
      <c r="CV930" s="9"/>
    </row>
    <row r="931" spans="1:100" ht="15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 s="67"/>
      <c r="N931" s="67"/>
      <c r="O931" s="16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C931" s="11"/>
      <c r="AN931" s="11"/>
      <c r="AX931" s="11"/>
      <c r="BI931" s="11"/>
      <c r="BT931" s="11"/>
      <c r="CE931" s="11"/>
      <c r="CT931" s="9"/>
      <c r="CU931" s="9"/>
      <c r="CV931" s="9"/>
    </row>
    <row r="932" spans="1:100" ht="15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 s="67"/>
      <c r="N932" s="67"/>
      <c r="O932" s="16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C932" s="11"/>
      <c r="AN932" s="11"/>
      <c r="AX932" s="11"/>
      <c r="BI932" s="11"/>
      <c r="BT932" s="11"/>
      <c r="CE932" s="11"/>
      <c r="CT932" s="9"/>
      <c r="CU932" s="9"/>
      <c r="CV932" s="9"/>
    </row>
    <row r="933" spans="1:100" ht="15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 s="67"/>
      <c r="N933" s="67"/>
      <c r="O933" s="16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C933" s="11"/>
      <c r="AN933" s="11"/>
      <c r="AX933" s="11"/>
      <c r="BI933" s="11"/>
      <c r="BT933" s="11"/>
      <c r="CE933" s="11"/>
      <c r="CT933" s="9"/>
      <c r="CU933" s="9"/>
      <c r="CV933" s="9"/>
    </row>
    <row r="934" spans="1:100" ht="15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 s="67"/>
      <c r="N934" s="67"/>
      <c r="O934" s="16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C934" s="11"/>
      <c r="AN934" s="11"/>
      <c r="AX934" s="11"/>
      <c r="BI934" s="11"/>
      <c r="BT934" s="11"/>
      <c r="CE934" s="11"/>
      <c r="CT934" s="9"/>
      <c r="CU934" s="9"/>
      <c r="CV934" s="9"/>
    </row>
    <row r="935" spans="1:100" ht="15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 s="67"/>
      <c r="N935" s="67"/>
      <c r="O935" s="16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C935" s="11"/>
      <c r="AN935" s="11"/>
      <c r="AX935" s="11"/>
      <c r="BI935" s="11"/>
      <c r="BT935" s="11"/>
      <c r="CE935" s="11"/>
      <c r="CT935" s="9"/>
      <c r="CU935" s="9"/>
      <c r="CV935" s="9"/>
    </row>
    <row r="936" spans="1:100" ht="15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 s="67"/>
      <c r="N936" s="67"/>
      <c r="O936" s="16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C936" s="11"/>
      <c r="AN936" s="11"/>
      <c r="AX936" s="11"/>
      <c r="BI936" s="11"/>
      <c r="BT936" s="11"/>
      <c r="CE936" s="11"/>
      <c r="CT936" s="9"/>
      <c r="CU936" s="9"/>
      <c r="CV936" s="9"/>
    </row>
    <row r="937" spans="1:100" ht="15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 s="67"/>
      <c r="N937" s="67"/>
      <c r="O937" s="16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C937" s="11"/>
      <c r="AN937" s="11"/>
      <c r="AX937" s="11"/>
      <c r="BI937" s="11"/>
      <c r="BT937" s="11"/>
      <c r="CE937" s="11"/>
      <c r="CT937" s="9"/>
      <c r="CU937" s="9"/>
      <c r="CV937" s="9"/>
    </row>
    <row r="938" spans="1:100" ht="15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 s="67"/>
      <c r="N938" s="67"/>
      <c r="O938" s="16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C938" s="11"/>
      <c r="AN938" s="11"/>
      <c r="AX938" s="11"/>
      <c r="BI938" s="11"/>
      <c r="BT938" s="11"/>
      <c r="CE938" s="11"/>
      <c r="CT938" s="9"/>
      <c r="CU938" s="9"/>
      <c r="CV938" s="9"/>
    </row>
    <row r="939" spans="1:100" ht="15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 s="67"/>
      <c r="N939" s="67"/>
      <c r="O939" s="16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C939" s="11"/>
      <c r="AN939" s="11"/>
      <c r="AX939" s="11"/>
      <c r="BI939" s="11"/>
      <c r="BT939" s="11"/>
      <c r="CE939" s="11"/>
      <c r="CT939" s="9"/>
      <c r="CU939" s="9"/>
      <c r="CV939" s="9"/>
    </row>
    <row r="940" spans="1:100" ht="15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 s="67"/>
      <c r="N940" s="67"/>
      <c r="O940" s="16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C940" s="11"/>
      <c r="AN940" s="11"/>
      <c r="AX940" s="11"/>
      <c r="BI940" s="11"/>
      <c r="BT940" s="11"/>
      <c r="CE940" s="11"/>
      <c r="CT940" s="9"/>
      <c r="CU940" s="9"/>
      <c r="CV940" s="9"/>
    </row>
    <row r="941" spans="1:100" ht="15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 s="67"/>
      <c r="N941" s="67"/>
      <c r="O941" s="16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C941" s="11"/>
      <c r="AN941" s="11"/>
      <c r="AX941" s="11"/>
      <c r="BI941" s="11"/>
      <c r="BT941" s="11"/>
      <c r="CE941" s="11"/>
      <c r="CT941" s="9"/>
      <c r="CU941" s="9"/>
      <c r="CV941" s="9"/>
    </row>
    <row r="942" spans="1:100" ht="15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 s="67"/>
      <c r="N942" s="67"/>
      <c r="O942" s="16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C942" s="11"/>
      <c r="AN942" s="11"/>
      <c r="AX942" s="11"/>
      <c r="BI942" s="11"/>
      <c r="BT942" s="11"/>
      <c r="CE942" s="11"/>
      <c r="CT942" s="9"/>
      <c r="CU942" s="9"/>
      <c r="CV942" s="9"/>
    </row>
    <row r="943" spans="1:100" ht="15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 s="67"/>
      <c r="N943" s="67"/>
      <c r="O943" s="16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C943" s="11"/>
      <c r="AN943" s="11"/>
      <c r="AX943" s="11"/>
      <c r="BI943" s="11"/>
      <c r="BT943" s="11"/>
      <c r="CE943" s="11"/>
      <c r="CT943" s="9"/>
      <c r="CU943" s="9"/>
      <c r="CV943" s="9"/>
    </row>
    <row r="944" spans="1:100" ht="15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 s="67"/>
      <c r="N944" s="67"/>
      <c r="O944" s="16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C944" s="11"/>
      <c r="AN944" s="11"/>
      <c r="AX944" s="11"/>
      <c r="BI944" s="11"/>
      <c r="BT944" s="11"/>
      <c r="CE944" s="11"/>
      <c r="CT944" s="9"/>
      <c r="CU944" s="9"/>
      <c r="CV944" s="9"/>
    </row>
    <row r="945" spans="1:100" ht="15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 s="67"/>
      <c r="N945" s="67"/>
      <c r="O945" s="16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C945" s="11"/>
      <c r="AN945" s="11"/>
      <c r="AX945" s="11"/>
      <c r="BI945" s="11"/>
      <c r="BT945" s="11"/>
      <c r="CE945" s="11"/>
      <c r="CT945" s="9"/>
      <c r="CU945" s="9"/>
      <c r="CV945" s="9"/>
    </row>
    <row r="946" spans="1:100" ht="15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 s="67"/>
      <c r="N946" s="67"/>
      <c r="O946" s="16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C946" s="11"/>
      <c r="AN946" s="11"/>
      <c r="AX946" s="11"/>
      <c r="BI946" s="11"/>
      <c r="BT946" s="11"/>
      <c r="CE946" s="11"/>
      <c r="CT946" s="9"/>
      <c r="CU946" s="9"/>
      <c r="CV946" s="9"/>
    </row>
    <row r="947" spans="1:100" ht="15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 s="67"/>
      <c r="N947" s="67"/>
      <c r="O947" s="16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C947" s="11"/>
      <c r="AN947" s="11"/>
      <c r="AX947" s="11"/>
      <c r="BI947" s="11"/>
      <c r="BT947" s="11"/>
      <c r="CE947" s="11"/>
      <c r="CT947" s="9"/>
      <c r="CU947" s="9"/>
      <c r="CV947" s="9"/>
    </row>
    <row r="948" spans="1:100" ht="15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 s="67"/>
      <c r="N948" s="67"/>
      <c r="O948" s="16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C948" s="11"/>
      <c r="AN948" s="11"/>
      <c r="AX948" s="11"/>
      <c r="BI948" s="11"/>
      <c r="BT948" s="11"/>
      <c r="CE948" s="11"/>
      <c r="CT948" s="9"/>
      <c r="CU948" s="9"/>
      <c r="CV948" s="9"/>
    </row>
    <row r="949" spans="1:100" ht="15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 s="67"/>
      <c r="N949" s="67"/>
      <c r="O949" s="16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C949" s="11"/>
      <c r="AN949" s="11"/>
      <c r="AX949" s="11"/>
      <c r="BI949" s="11"/>
      <c r="BT949" s="11"/>
      <c r="CE949" s="11"/>
      <c r="CT949" s="9"/>
      <c r="CU949" s="9"/>
      <c r="CV949" s="9"/>
    </row>
    <row r="950" spans="1:100" ht="15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 s="67"/>
      <c r="N950" s="67"/>
      <c r="O950" s="16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C950" s="11"/>
      <c r="AN950" s="11"/>
      <c r="AX950" s="11"/>
      <c r="BI950" s="11"/>
      <c r="BT950" s="11"/>
      <c r="CE950" s="11"/>
      <c r="CT950" s="9"/>
      <c r="CU950" s="9"/>
      <c r="CV950" s="9"/>
    </row>
    <row r="951" spans="1:100" ht="15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 s="67"/>
      <c r="N951" s="67"/>
      <c r="O951" s="16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C951" s="11"/>
      <c r="AN951" s="11"/>
      <c r="AX951" s="11"/>
      <c r="BI951" s="11"/>
      <c r="BT951" s="11"/>
      <c r="CE951" s="11"/>
      <c r="CT951" s="9"/>
      <c r="CU951" s="9"/>
      <c r="CV951" s="9"/>
    </row>
    <row r="952" spans="1:100" ht="15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 s="67"/>
      <c r="N952" s="67"/>
      <c r="O952" s="16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C952" s="11"/>
      <c r="AN952" s="11"/>
      <c r="AX952" s="11"/>
      <c r="BI952" s="11"/>
      <c r="BT952" s="11"/>
      <c r="CE952" s="11"/>
      <c r="CT952" s="9"/>
      <c r="CU952" s="9"/>
      <c r="CV952" s="9"/>
    </row>
    <row r="953" spans="1:100" ht="15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 s="67"/>
      <c r="N953" s="67"/>
      <c r="O953" s="16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C953" s="11"/>
      <c r="AN953" s="11"/>
      <c r="AX953" s="11"/>
      <c r="BI953" s="11"/>
      <c r="BT953" s="11"/>
      <c r="CE953" s="11"/>
      <c r="CT953" s="9"/>
      <c r="CU953" s="9"/>
      <c r="CV953" s="9"/>
    </row>
    <row r="954" spans="1:100" ht="15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 s="67"/>
      <c r="N954" s="67"/>
      <c r="O954" s="16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C954" s="11"/>
      <c r="AN954" s="11"/>
      <c r="AX954" s="11"/>
      <c r="BI954" s="11"/>
      <c r="BT954" s="11"/>
      <c r="CE954" s="11"/>
      <c r="CT954" s="9"/>
      <c r="CU954" s="9"/>
      <c r="CV954" s="9"/>
    </row>
    <row r="955" spans="1:100" ht="15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 s="67"/>
      <c r="N955" s="67"/>
      <c r="O955" s="16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C955" s="11"/>
      <c r="AN955" s="11"/>
      <c r="AX955" s="11"/>
      <c r="BI955" s="11"/>
      <c r="BT955" s="11"/>
      <c r="CE955" s="11"/>
      <c r="CT955" s="9"/>
      <c r="CU955" s="9"/>
      <c r="CV955" s="9"/>
    </row>
    <row r="956" spans="1:100" ht="15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 s="67"/>
      <c r="N956" s="67"/>
      <c r="O956" s="16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C956" s="11"/>
      <c r="AN956" s="11"/>
      <c r="AX956" s="11"/>
      <c r="BI956" s="11"/>
      <c r="BT956" s="11"/>
      <c r="CE956" s="11"/>
      <c r="CT956" s="9"/>
      <c r="CU956" s="9"/>
      <c r="CV956" s="9"/>
    </row>
    <row r="957" spans="1:100" ht="15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 s="67"/>
      <c r="N957" s="67"/>
      <c r="O957" s="16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C957" s="11"/>
      <c r="AN957" s="11"/>
      <c r="AX957" s="11"/>
      <c r="BI957" s="11"/>
      <c r="BT957" s="11"/>
      <c r="CE957" s="11"/>
      <c r="CT957" s="9"/>
      <c r="CU957" s="9"/>
      <c r="CV957" s="9"/>
    </row>
    <row r="958" spans="1:100" ht="15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 s="67"/>
      <c r="N958" s="67"/>
      <c r="O958" s="16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C958" s="11"/>
      <c r="AN958" s="11"/>
      <c r="AX958" s="11"/>
      <c r="BI958" s="11"/>
      <c r="BT958" s="11"/>
      <c r="CE958" s="11"/>
      <c r="CT958" s="9"/>
      <c r="CU958" s="9"/>
      <c r="CV958" s="9"/>
    </row>
    <row r="959" spans="1:100" ht="15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 s="67"/>
      <c r="N959" s="67"/>
      <c r="O959" s="16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C959" s="11"/>
      <c r="AN959" s="11"/>
      <c r="AX959" s="11"/>
      <c r="BI959" s="11"/>
      <c r="BT959" s="11"/>
      <c r="CE959" s="11"/>
      <c r="CT959" s="9"/>
      <c r="CU959" s="9"/>
      <c r="CV959" s="9"/>
    </row>
    <row r="960" spans="1:100" ht="15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 s="67"/>
      <c r="N960" s="67"/>
      <c r="O960" s="16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C960" s="11"/>
      <c r="AN960" s="11"/>
      <c r="AX960" s="11"/>
      <c r="BI960" s="11"/>
      <c r="BT960" s="11"/>
      <c r="CE960" s="11"/>
      <c r="CT960" s="9"/>
      <c r="CU960" s="9"/>
      <c r="CV960" s="9"/>
    </row>
    <row r="961" spans="1:100" ht="15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 s="67"/>
      <c r="N961" s="67"/>
      <c r="O961" s="16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C961" s="11"/>
      <c r="AN961" s="11"/>
      <c r="AX961" s="11"/>
      <c r="BI961" s="11"/>
      <c r="BT961" s="11"/>
      <c r="CE961" s="11"/>
      <c r="CT961" s="9"/>
      <c r="CU961" s="9"/>
      <c r="CV961" s="9"/>
    </row>
    <row r="962" spans="1:100" ht="15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 s="67"/>
      <c r="N962" s="67"/>
      <c r="O962" s="16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C962" s="11"/>
      <c r="AN962" s="11"/>
      <c r="AX962" s="11"/>
      <c r="BI962" s="11"/>
      <c r="BT962" s="11"/>
      <c r="CE962" s="11"/>
      <c r="CT962" s="9"/>
      <c r="CU962" s="9"/>
      <c r="CV962" s="9"/>
    </row>
    <row r="963" spans="1:100" ht="15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 s="67"/>
      <c r="N963" s="67"/>
      <c r="O963" s="16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C963" s="11"/>
      <c r="AN963" s="11"/>
      <c r="AX963" s="11"/>
      <c r="BI963" s="11"/>
      <c r="BT963" s="11"/>
      <c r="CE963" s="11"/>
      <c r="CT963" s="9"/>
      <c r="CU963" s="9"/>
      <c r="CV963" s="9"/>
    </row>
    <row r="964" spans="1:100" ht="15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 s="67"/>
      <c r="N964" s="67"/>
      <c r="O964" s="16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C964" s="11"/>
      <c r="AN964" s="11"/>
      <c r="AX964" s="11"/>
      <c r="BI964" s="11"/>
      <c r="BT964" s="11"/>
      <c r="CE964" s="11"/>
      <c r="CT964" s="9"/>
      <c r="CU964" s="9"/>
      <c r="CV964" s="9"/>
    </row>
    <row r="965" spans="1:100" ht="15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 s="67"/>
      <c r="N965" s="67"/>
      <c r="O965" s="16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C965" s="11"/>
      <c r="AN965" s="11"/>
      <c r="AX965" s="11"/>
      <c r="BI965" s="11"/>
      <c r="BT965" s="11"/>
      <c r="CE965" s="11"/>
      <c r="CT965" s="9"/>
      <c r="CU965" s="9"/>
      <c r="CV965" s="9"/>
    </row>
    <row r="966" spans="1:100" ht="15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 s="67"/>
      <c r="N966" s="67"/>
      <c r="O966" s="16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C966" s="11"/>
      <c r="AN966" s="11"/>
      <c r="AX966" s="11"/>
      <c r="BI966" s="11"/>
      <c r="BT966" s="11"/>
      <c r="CE966" s="11"/>
      <c r="CT966" s="9"/>
      <c r="CU966" s="9"/>
      <c r="CV966" s="9"/>
    </row>
    <row r="967" spans="1:100" ht="15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 s="67"/>
      <c r="N967" s="67"/>
      <c r="O967" s="16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C967" s="11"/>
      <c r="AN967" s="11"/>
      <c r="AX967" s="11"/>
      <c r="BI967" s="11"/>
      <c r="BT967" s="11"/>
      <c r="CE967" s="11"/>
      <c r="CT967" s="9"/>
      <c r="CU967" s="9"/>
      <c r="CV967" s="9"/>
    </row>
    <row r="968" spans="1:100" ht="15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 s="67"/>
      <c r="N968" s="67"/>
      <c r="O968" s="16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C968" s="11"/>
      <c r="AN968" s="11"/>
      <c r="AX968" s="11"/>
      <c r="BI968" s="11"/>
      <c r="BT968" s="11"/>
      <c r="CE968" s="11"/>
      <c r="CT968" s="9"/>
      <c r="CU968" s="9"/>
      <c r="CV968" s="9"/>
    </row>
    <row r="969" spans="1:100" ht="15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 s="67"/>
      <c r="N969" s="67"/>
      <c r="O969" s="16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C969" s="11"/>
      <c r="AN969" s="11"/>
      <c r="AX969" s="11"/>
      <c r="BI969" s="11"/>
      <c r="BT969" s="11"/>
      <c r="CE969" s="11"/>
      <c r="CT969" s="9"/>
      <c r="CU969" s="9"/>
      <c r="CV969" s="9"/>
    </row>
    <row r="970" spans="1:100" ht="15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 s="67"/>
      <c r="N970" s="67"/>
      <c r="O970" s="16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C970" s="11"/>
      <c r="AN970" s="11"/>
      <c r="AX970" s="11"/>
      <c r="BI970" s="11"/>
      <c r="BT970" s="11"/>
      <c r="CE970" s="11"/>
      <c r="CT970" s="9"/>
      <c r="CU970" s="9"/>
      <c r="CV970" s="9"/>
    </row>
    <row r="971" spans="1:100" ht="15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 s="67"/>
      <c r="N971" s="67"/>
      <c r="O971" s="16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C971" s="11"/>
      <c r="AN971" s="11"/>
      <c r="AX971" s="11"/>
      <c r="BI971" s="11"/>
      <c r="BT971" s="11"/>
      <c r="CE971" s="11"/>
      <c r="CT971" s="9"/>
      <c r="CU971" s="9"/>
      <c r="CV971" s="9"/>
    </row>
    <row r="972" spans="1:100" ht="15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 s="67"/>
      <c r="N972" s="67"/>
      <c r="O972" s="16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C972" s="11"/>
      <c r="AN972" s="11"/>
      <c r="AX972" s="11"/>
      <c r="BI972" s="11"/>
      <c r="BT972" s="11"/>
      <c r="CE972" s="11"/>
      <c r="CT972" s="9"/>
      <c r="CU972" s="9"/>
      <c r="CV972" s="9"/>
    </row>
    <row r="973" spans="1:100" ht="15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 s="67"/>
      <c r="N973" s="67"/>
      <c r="O973" s="16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C973" s="11"/>
      <c r="AN973" s="11"/>
      <c r="AX973" s="11"/>
      <c r="BI973" s="11"/>
      <c r="BT973" s="11"/>
      <c r="CE973" s="11"/>
      <c r="CT973" s="9"/>
      <c r="CU973" s="9"/>
      <c r="CV973" s="9"/>
    </row>
    <row r="974" spans="1:100" ht="15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 s="67"/>
      <c r="N974" s="67"/>
      <c r="O974" s="16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C974" s="11"/>
      <c r="AN974" s="11"/>
      <c r="AX974" s="11"/>
      <c r="BI974" s="11"/>
      <c r="BT974" s="11"/>
      <c r="CE974" s="11"/>
      <c r="CT974" s="9"/>
      <c r="CU974" s="9"/>
      <c r="CV974" s="9"/>
    </row>
    <row r="975" spans="1:100" ht="15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 s="67"/>
      <c r="N975" s="67"/>
      <c r="O975" s="16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C975" s="11"/>
      <c r="AN975" s="11"/>
      <c r="AX975" s="11"/>
      <c r="BI975" s="11"/>
      <c r="BT975" s="11"/>
      <c r="CE975" s="11"/>
      <c r="CT975" s="9"/>
      <c r="CU975" s="9"/>
      <c r="CV975" s="9"/>
    </row>
    <row r="976" spans="1:100" ht="15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 s="67"/>
      <c r="N976" s="67"/>
      <c r="O976" s="16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C976" s="11"/>
      <c r="AN976" s="11"/>
      <c r="AX976" s="11"/>
      <c r="BI976" s="11"/>
      <c r="BT976" s="11"/>
      <c r="CE976" s="11"/>
      <c r="CT976" s="9"/>
      <c r="CU976" s="9"/>
      <c r="CV976" s="9"/>
    </row>
    <row r="977" spans="1:100" ht="15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 s="67"/>
      <c r="N977" s="67"/>
      <c r="O977" s="16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C977" s="11"/>
      <c r="AN977" s="11"/>
      <c r="AX977" s="11"/>
      <c r="BI977" s="11"/>
      <c r="BT977" s="11"/>
      <c r="CE977" s="11"/>
      <c r="CT977" s="9"/>
      <c r="CU977" s="9"/>
      <c r="CV977" s="9"/>
    </row>
    <row r="978" spans="1:100" ht="15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 s="67"/>
      <c r="N978" s="67"/>
      <c r="O978" s="16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C978" s="11"/>
      <c r="AN978" s="11"/>
      <c r="AX978" s="11"/>
      <c r="BI978" s="11"/>
      <c r="BT978" s="11"/>
      <c r="CE978" s="11"/>
      <c r="CT978" s="9"/>
      <c r="CU978" s="9"/>
      <c r="CV978" s="9"/>
    </row>
    <row r="979" spans="1:100" ht="15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 s="67"/>
      <c r="N979" s="67"/>
      <c r="O979" s="16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C979" s="11"/>
      <c r="AN979" s="11"/>
      <c r="AX979" s="11"/>
      <c r="BI979" s="11"/>
      <c r="BT979" s="11"/>
      <c r="CE979" s="11"/>
      <c r="CT979" s="9"/>
      <c r="CU979" s="9"/>
      <c r="CV979" s="9"/>
    </row>
    <row r="980" spans="1:100" ht="15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 s="67"/>
      <c r="N980" s="67"/>
      <c r="O980" s="16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C980" s="11"/>
      <c r="AN980" s="11"/>
      <c r="AX980" s="11"/>
      <c r="BI980" s="11"/>
      <c r="BT980" s="11"/>
      <c r="CE980" s="11"/>
      <c r="CT980" s="9"/>
      <c r="CU980" s="9"/>
      <c r="CV980" s="9"/>
    </row>
    <row r="981" spans="1:100" ht="15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 s="67"/>
      <c r="N981" s="67"/>
      <c r="O981" s="16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C981" s="11"/>
      <c r="AN981" s="11"/>
      <c r="AX981" s="11"/>
      <c r="BI981" s="11"/>
      <c r="BT981" s="11"/>
      <c r="CE981" s="11"/>
      <c r="CT981" s="9"/>
      <c r="CU981" s="9"/>
      <c r="CV981" s="9"/>
    </row>
    <row r="982" spans="1:100" ht="15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 s="67"/>
      <c r="N982" s="67"/>
      <c r="O982" s="16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C982" s="11"/>
      <c r="AN982" s="11"/>
      <c r="AX982" s="11"/>
      <c r="BI982" s="11"/>
      <c r="BT982" s="11"/>
      <c r="CE982" s="11"/>
      <c r="CT982" s="9"/>
      <c r="CU982" s="9"/>
      <c r="CV982" s="9"/>
    </row>
    <row r="983" spans="1:100" ht="15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 s="67"/>
      <c r="N983" s="67"/>
      <c r="O983" s="16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C983" s="11"/>
      <c r="AN983" s="11"/>
      <c r="AX983" s="11"/>
      <c r="BI983" s="11"/>
      <c r="BT983" s="11"/>
      <c r="CE983" s="11"/>
      <c r="CT983" s="9"/>
      <c r="CU983" s="9"/>
      <c r="CV983" s="9"/>
    </row>
    <row r="984" spans="1:100" ht="15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 s="67"/>
      <c r="N984" s="67"/>
      <c r="O984" s="16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C984" s="11"/>
      <c r="AN984" s="11"/>
      <c r="AX984" s="11"/>
      <c r="BI984" s="11"/>
      <c r="BT984" s="11"/>
      <c r="CE984" s="11"/>
      <c r="CT984" s="9"/>
      <c r="CU984" s="9"/>
      <c r="CV984" s="9"/>
    </row>
    <row r="985" spans="1:100" ht="15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 s="67"/>
      <c r="N985" s="67"/>
      <c r="O985" s="16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C985" s="11"/>
      <c r="AN985" s="11"/>
      <c r="AX985" s="11"/>
      <c r="BI985" s="11"/>
      <c r="BT985" s="11"/>
      <c r="CE985" s="11"/>
      <c r="CT985" s="9"/>
      <c r="CU985" s="9"/>
      <c r="CV985" s="9"/>
    </row>
    <row r="986" spans="1:100" ht="15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 s="67"/>
      <c r="N986" s="67"/>
      <c r="O986" s="16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C986" s="11"/>
      <c r="AN986" s="11"/>
      <c r="AX986" s="11"/>
      <c r="BI986" s="11"/>
      <c r="BT986" s="11"/>
      <c r="CE986" s="11"/>
      <c r="CT986" s="9"/>
      <c r="CU986" s="9"/>
      <c r="CV986" s="9"/>
    </row>
    <row r="987" spans="1:100" ht="15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 s="67"/>
      <c r="N987" s="67"/>
      <c r="O987" s="16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C987" s="11"/>
      <c r="AN987" s="11"/>
      <c r="AX987" s="11"/>
      <c r="BI987" s="11"/>
      <c r="BT987" s="11"/>
      <c r="CE987" s="11"/>
      <c r="CT987" s="9"/>
      <c r="CU987" s="9"/>
      <c r="CV987" s="9"/>
    </row>
    <row r="988" spans="1:100" ht="15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 s="67"/>
      <c r="N988" s="67"/>
      <c r="O988" s="16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C988" s="11"/>
      <c r="AN988" s="11"/>
      <c r="AX988" s="11"/>
      <c r="BI988" s="11"/>
      <c r="BT988" s="11"/>
      <c r="CE988" s="11"/>
      <c r="CT988" s="9"/>
      <c r="CU988" s="9"/>
      <c r="CV988" s="9"/>
    </row>
    <row r="989" spans="1:100" ht="15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 s="67"/>
      <c r="N989" s="67"/>
      <c r="O989" s="16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C989" s="11"/>
      <c r="AN989" s="11"/>
      <c r="AX989" s="11"/>
      <c r="BI989" s="11"/>
      <c r="BT989" s="11"/>
      <c r="CE989" s="11"/>
      <c r="CT989" s="9"/>
      <c r="CU989" s="9"/>
      <c r="CV989" s="9"/>
    </row>
    <row r="990" spans="1:100" ht="15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 s="67"/>
      <c r="N990" s="67"/>
      <c r="O990" s="16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C990" s="11"/>
      <c r="AN990" s="11"/>
      <c r="AX990" s="11"/>
      <c r="BI990" s="11"/>
      <c r="BT990" s="11"/>
      <c r="CE990" s="11"/>
      <c r="CT990" s="9"/>
      <c r="CU990" s="9"/>
      <c r="CV990" s="9"/>
    </row>
    <row r="991" spans="1:100" ht="15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 s="67"/>
      <c r="N991" s="67"/>
      <c r="O991" s="16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C991" s="11"/>
      <c r="AN991" s="11"/>
      <c r="AX991" s="11"/>
      <c r="BI991" s="11"/>
      <c r="BT991" s="11"/>
      <c r="CE991" s="11"/>
      <c r="CT991" s="9"/>
      <c r="CU991" s="9"/>
      <c r="CV991" s="9"/>
    </row>
    <row r="992" spans="1:100" ht="15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 s="67"/>
      <c r="N992" s="67"/>
      <c r="O992" s="16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C992" s="11"/>
      <c r="AN992" s="11"/>
      <c r="AX992" s="11"/>
      <c r="BI992" s="11"/>
      <c r="BT992" s="11"/>
      <c r="CE992" s="11"/>
      <c r="CT992" s="9"/>
      <c r="CU992" s="9"/>
      <c r="CV992" s="9"/>
    </row>
    <row r="993" spans="1:100" ht="15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 s="67"/>
      <c r="N993" s="67"/>
      <c r="O993" s="16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C993" s="11"/>
      <c r="AN993" s="11"/>
      <c r="AX993" s="11"/>
      <c r="BI993" s="11"/>
      <c r="BT993" s="11"/>
      <c r="CE993" s="11"/>
      <c r="CT993" s="9"/>
      <c r="CU993" s="9"/>
      <c r="CV993" s="9"/>
    </row>
    <row r="994" spans="1:100" ht="15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 s="67"/>
      <c r="N994" s="67"/>
      <c r="O994" s="16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C994" s="11"/>
      <c r="AN994" s="11"/>
      <c r="AX994" s="11"/>
      <c r="BI994" s="11"/>
      <c r="BT994" s="11"/>
      <c r="CE994" s="11"/>
      <c r="CT994" s="9"/>
      <c r="CU994" s="9"/>
      <c r="CV994" s="9"/>
    </row>
    <row r="995" spans="1:100" ht="15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 s="67"/>
      <c r="N995" s="67"/>
      <c r="O995" s="16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C995" s="11"/>
      <c r="AN995" s="11"/>
      <c r="AX995" s="11"/>
      <c r="BI995" s="11"/>
      <c r="BT995" s="11"/>
      <c r="CE995" s="11"/>
      <c r="CT995" s="9"/>
      <c r="CU995" s="9"/>
      <c r="CV995" s="9"/>
    </row>
    <row r="996" spans="1:100" ht="15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 s="67"/>
      <c r="N996" s="67"/>
      <c r="O996" s="16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C996" s="11"/>
      <c r="AN996" s="11"/>
      <c r="AX996" s="11"/>
      <c r="BI996" s="11"/>
      <c r="BT996" s="11"/>
      <c r="CE996" s="11"/>
      <c r="CT996" s="9"/>
      <c r="CU996" s="9"/>
      <c r="CV996" s="9"/>
    </row>
    <row r="997" spans="1:100" ht="15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 s="67"/>
      <c r="N997" s="67"/>
      <c r="O997" s="16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C997" s="11"/>
      <c r="AN997" s="11"/>
      <c r="AX997" s="11"/>
      <c r="BI997" s="11"/>
      <c r="BT997" s="11"/>
      <c r="CE997" s="11"/>
      <c r="CT997" s="9"/>
      <c r="CU997" s="9"/>
      <c r="CV997" s="9"/>
    </row>
    <row r="998" spans="1:100" ht="15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 s="67"/>
      <c r="N998" s="67"/>
      <c r="O998" s="16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C998" s="11"/>
      <c r="AN998" s="11"/>
      <c r="AX998" s="11"/>
      <c r="BI998" s="11"/>
      <c r="BT998" s="11"/>
      <c r="CE998" s="11"/>
      <c r="CT998" s="9"/>
      <c r="CU998" s="9"/>
      <c r="CV998" s="9"/>
    </row>
    <row r="999" spans="1:100" ht="15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 s="67"/>
      <c r="N999" s="67"/>
      <c r="O999" s="16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C999" s="11"/>
      <c r="AN999" s="11"/>
      <c r="AX999" s="11"/>
      <c r="BI999" s="11"/>
      <c r="BT999" s="11"/>
      <c r="CE999" s="11"/>
      <c r="CT999" s="9"/>
      <c r="CU999" s="9"/>
      <c r="CV999" s="9"/>
    </row>
    <row r="1000" spans="1:100" ht="15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 s="67"/>
      <c r="N1000" s="67"/>
      <c r="O1000" s="16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C1000" s="11"/>
      <c r="AN1000" s="11"/>
      <c r="AX1000" s="11"/>
      <c r="BI1000" s="11"/>
      <c r="BT1000" s="11"/>
      <c r="CE1000" s="11"/>
      <c r="CT1000" s="9"/>
      <c r="CU1000" s="9"/>
      <c r="CV1000" s="9"/>
    </row>
    <row r="1001" spans="1:100" ht="15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 s="67"/>
      <c r="N1001" s="67"/>
      <c r="O1001" s="16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C1001" s="11"/>
      <c r="AN1001" s="11"/>
      <c r="AX1001" s="11"/>
      <c r="BI1001" s="11"/>
      <c r="BT1001" s="11"/>
      <c r="CE1001" s="11"/>
      <c r="CT1001" s="9"/>
      <c r="CU1001" s="9"/>
      <c r="CV1001" s="9"/>
    </row>
    <row r="1002" spans="1:100" ht="15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 s="67"/>
      <c r="N1002" s="67"/>
      <c r="O1002" s="16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C1002" s="11"/>
      <c r="AN1002" s="11"/>
      <c r="AX1002" s="11"/>
      <c r="BI1002" s="11"/>
      <c r="BT1002" s="11"/>
      <c r="CE1002" s="11"/>
      <c r="CT1002" s="9"/>
      <c r="CU1002" s="9"/>
      <c r="CV1002" s="9"/>
    </row>
    <row r="1003" spans="1:100" ht="15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 s="67"/>
      <c r="N1003" s="67"/>
      <c r="O1003" s="16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C1003" s="11"/>
      <c r="AN1003" s="11"/>
      <c r="AX1003" s="11"/>
      <c r="BI1003" s="11"/>
      <c r="BT1003" s="11"/>
      <c r="CE1003" s="11"/>
      <c r="CT1003" s="9"/>
      <c r="CU1003" s="9"/>
      <c r="CV1003" s="9"/>
    </row>
    <row r="1004" spans="1:100" ht="15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 s="67"/>
      <c r="N1004" s="67"/>
      <c r="O1004" s="16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C1004" s="11"/>
      <c r="AN1004" s="11"/>
      <c r="AX1004" s="11"/>
      <c r="BI1004" s="11"/>
      <c r="BT1004" s="11"/>
      <c r="CE1004" s="11"/>
      <c r="CT1004" s="9"/>
      <c r="CU1004" s="9"/>
      <c r="CV1004" s="9"/>
    </row>
    <row r="1005" spans="1:100" ht="15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 s="67"/>
      <c r="N1005" s="67"/>
      <c r="O1005" s="16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C1005" s="11"/>
      <c r="AN1005" s="11"/>
      <c r="AX1005" s="11"/>
      <c r="BI1005" s="11"/>
      <c r="BT1005" s="11"/>
      <c r="CE1005" s="11"/>
      <c r="CT1005" s="9"/>
      <c r="CU1005" s="9"/>
      <c r="CV1005" s="9"/>
    </row>
    <row r="1006" spans="1:100" ht="15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 s="67"/>
      <c r="N1006" s="67"/>
      <c r="O1006" s="16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C1006" s="11"/>
      <c r="AN1006" s="11"/>
      <c r="AX1006" s="11"/>
      <c r="BI1006" s="11"/>
      <c r="BT1006" s="11"/>
      <c r="CE1006" s="11"/>
      <c r="CT1006" s="9"/>
      <c r="CU1006" s="9"/>
      <c r="CV1006" s="9"/>
    </row>
    <row r="1007" spans="1:100" ht="15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 s="67"/>
      <c r="N1007" s="67"/>
      <c r="O1007" s="16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C1007" s="11"/>
      <c r="AN1007" s="11"/>
      <c r="AX1007" s="11"/>
      <c r="BI1007" s="11"/>
      <c r="BT1007" s="11"/>
      <c r="CE1007" s="11"/>
      <c r="CT1007" s="9"/>
      <c r="CU1007" s="9"/>
      <c r="CV1007" s="9"/>
    </row>
    <row r="1008" spans="1:100" ht="15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 s="67"/>
      <c r="N1008" s="67"/>
      <c r="O1008" s="16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C1008" s="11"/>
      <c r="AN1008" s="11"/>
      <c r="AX1008" s="11"/>
      <c r="BI1008" s="11"/>
      <c r="BT1008" s="11"/>
      <c r="CE1008" s="11"/>
      <c r="CT1008" s="9"/>
      <c r="CU1008" s="9"/>
      <c r="CV1008" s="9"/>
    </row>
    <row r="1009" spans="1:100" ht="15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 s="67"/>
      <c r="N1009" s="67"/>
      <c r="O1009" s="16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C1009" s="11"/>
      <c r="AN1009" s="11"/>
      <c r="AX1009" s="11"/>
      <c r="BI1009" s="11"/>
      <c r="BT1009" s="11"/>
      <c r="CE1009" s="11"/>
      <c r="CT1009" s="9"/>
      <c r="CU1009" s="9"/>
      <c r="CV1009" s="9"/>
    </row>
    <row r="1010" spans="1:100" ht="15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 s="67"/>
      <c r="N1010" s="67"/>
      <c r="O1010" s="16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C1010" s="11"/>
      <c r="AN1010" s="11"/>
      <c r="AX1010" s="11"/>
      <c r="BI1010" s="11"/>
      <c r="BT1010" s="11"/>
      <c r="CE1010" s="11"/>
      <c r="CT1010" s="9"/>
      <c r="CU1010" s="9"/>
      <c r="CV1010" s="9"/>
    </row>
    <row r="1011" spans="1:100" ht="15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 s="67"/>
      <c r="N1011" s="67"/>
      <c r="O1011" s="16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C1011" s="11"/>
      <c r="AN1011" s="11"/>
      <c r="AX1011" s="11"/>
      <c r="BI1011" s="11"/>
      <c r="BT1011" s="11"/>
      <c r="CE1011" s="11"/>
      <c r="CT1011" s="9"/>
      <c r="CU1011" s="9"/>
      <c r="CV1011" s="9"/>
    </row>
    <row r="1012" spans="1:100" ht="15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 s="67"/>
      <c r="N1012" s="67"/>
      <c r="O1012" s="16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C1012" s="11"/>
      <c r="AN1012" s="11"/>
      <c r="AX1012" s="11"/>
      <c r="BI1012" s="11"/>
      <c r="BT1012" s="11"/>
      <c r="CE1012" s="11"/>
      <c r="CT1012" s="9"/>
      <c r="CU1012" s="9"/>
      <c r="CV1012" s="9"/>
    </row>
    <row r="1013" spans="1:100" ht="15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 s="67"/>
      <c r="N1013" s="67"/>
      <c r="O1013" s="16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C1013" s="11"/>
      <c r="AN1013" s="11"/>
      <c r="AX1013" s="11"/>
      <c r="BI1013" s="11"/>
      <c r="BT1013" s="11"/>
      <c r="CE1013" s="11"/>
      <c r="CT1013" s="9"/>
      <c r="CU1013" s="9"/>
      <c r="CV1013" s="9"/>
    </row>
    <row r="1014" spans="1:100" ht="15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 s="67"/>
      <c r="N1014" s="67"/>
      <c r="O1014" s="16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C1014" s="11"/>
      <c r="AN1014" s="11"/>
      <c r="AX1014" s="11"/>
      <c r="BI1014" s="11"/>
      <c r="BT1014" s="11"/>
      <c r="CE1014" s="11"/>
      <c r="CT1014" s="9"/>
      <c r="CU1014" s="9"/>
      <c r="CV1014" s="9"/>
    </row>
    <row r="1015" spans="1:100" ht="15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 s="67"/>
      <c r="N1015" s="67"/>
      <c r="O1015" s="16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C1015" s="11"/>
      <c r="AN1015" s="11"/>
      <c r="AX1015" s="11"/>
      <c r="BI1015" s="11"/>
      <c r="BT1015" s="11"/>
      <c r="CE1015" s="11"/>
      <c r="CT1015" s="9"/>
      <c r="CU1015" s="9"/>
      <c r="CV1015" s="9"/>
    </row>
    <row r="1016" spans="1:100" ht="15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 s="67"/>
      <c r="N1016" s="67"/>
      <c r="O1016" s="16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C1016" s="11"/>
      <c r="AN1016" s="11"/>
      <c r="AX1016" s="11"/>
      <c r="BI1016" s="11"/>
      <c r="BT1016" s="11"/>
      <c r="CE1016" s="11"/>
      <c r="CT1016" s="9"/>
      <c r="CU1016" s="9"/>
      <c r="CV1016" s="9"/>
    </row>
    <row r="1017" spans="1:100" ht="15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 s="67"/>
      <c r="N1017" s="67"/>
      <c r="O1017" s="16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C1017" s="11"/>
      <c r="AN1017" s="11"/>
      <c r="AX1017" s="11"/>
      <c r="BI1017" s="11"/>
      <c r="BT1017" s="11"/>
      <c r="CE1017" s="11"/>
      <c r="CT1017" s="9"/>
      <c r="CU1017" s="9"/>
      <c r="CV1017" s="9"/>
    </row>
    <row r="1018" spans="1:100" ht="15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 s="67"/>
      <c r="N1018" s="67"/>
      <c r="O1018" s="16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C1018" s="11"/>
      <c r="AN1018" s="11"/>
      <c r="AX1018" s="11"/>
      <c r="BI1018" s="11"/>
      <c r="BT1018" s="11"/>
      <c r="CE1018" s="11"/>
      <c r="CT1018" s="9"/>
      <c r="CU1018" s="9"/>
      <c r="CV1018" s="9"/>
    </row>
    <row r="1019" spans="1:100" ht="15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 s="67"/>
      <c r="N1019" s="67"/>
      <c r="O1019" s="16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C1019" s="11"/>
      <c r="AN1019" s="11"/>
      <c r="AX1019" s="11"/>
      <c r="BI1019" s="11"/>
      <c r="BT1019" s="11"/>
      <c r="CE1019" s="11"/>
      <c r="CT1019" s="9"/>
      <c r="CU1019" s="9"/>
      <c r="CV1019" s="9"/>
    </row>
    <row r="1020" spans="1:100" ht="15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 s="67"/>
      <c r="N1020" s="67"/>
      <c r="O1020" s="16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C1020" s="11"/>
      <c r="AN1020" s="11"/>
      <c r="AX1020" s="11"/>
      <c r="BI1020" s="11"/>
      <c r="BT1020" s="11"/>
      <c r="CE1020" s="11"/>
      <c r="CT1020" s="9"/>
      <c r="CU1020" s="9"/>
      <c r="CV1020" s="9"/>
    </row>
    <row r="1021" spans="1:100" ht="15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 s="67"/>
      <c r="N1021" s="67"/>
      <c r="O1021" s="16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C1021" s="11"/>
      <c r="AN1021" s="11"/>
      <c r="AX1021" s="11"/>
      <c r="BI1021" s="11"/>
      <c r="BT1021" s="11"/>
      <c r="CE1021" s="11"/>
      <c r="CT1021" s="9"/>
      <c r="CU1021" s="9"/>
      <c r="CV1021" s="9"/>
    </row>
    <row r="1022" spans="1:100" ht="15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 s="67"/>
      <c r="N1022" s="67"/>
      <c r="O1022" s="16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C1022" s="11"/>
      <c r="AN1022" s="11"/>
      <c r="AX1022" s="11"/>
      <c r="BI1022" s="11"/>
      <c r="BT1022" s="11"/>
      <c r="CE1022" s="11"/>
      <c r="CT1022" s="9"/>
      <c r="CU1022" s="9"/>
      <c r="CV1022" s="9"/>
    </row>
    <row r="1023" spans="1:100" ht="15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 s="67"/>
      <c r="N1023" s="67"/>
      <c r="O1023" s="16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C1023" s="11"/>
      <c r="AN1023" s="11"/>
      <c r="AX1023" s="11"/>
      <c r="BI1023" s="11"/>
      <c r="BT1023" s="11"/>
      <c r="CE1023" s="11"/>
      <c r="CT1023" s="9"/>
      <c r="CU1023" s="9"/>
      <c r="CV1023" s="9"/>
    </row>
    <row r="1024" spans="1:100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 s="67"/>
      <c r="N1024" s="67"/>
      <c r="O1024" s="16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C1024" s="11"/>
      <c r="AN1024" s="11"/>
      <c r="AX1024" s="11"/>
      <c r="BI1024" s="11"/>
      <c r="BT1024" s="11"/>
      <c r="CE1024" s="11"/>
      <c r="CT1024" s="9"/>
      <c r="CU1024" s="9"/>
      <c r="CV1024" s="9"/>
    </row>
    <row r="1025" spans="1:100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 s="67"/>
      <c r="N1025" s="67"/>
      <c r="O1025" s="16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C1025" s="11"/>
      <c r="AN1025" s="11"/>
      <c r="AX1025" s="11"/>
      <c r="BI1025" s="11"/>
      <c r="BT1025" s="11"/>
      <c r="CE1025" s="11"/>
      <c r="CT1025" s="9"/>
      <c r="CU1025" s="9"/>
      <c r="CV1025" s="9"/>
    </row>
    <row r="1026" spans="1:100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 s="67"/>
      <c r="N1026" s="67"/>
      <c r="O1026" s="16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C1026" s="11"/>
      <c r="AN1026" s="11"/>
      <c r="AX1026" s="11"/>
      <c r="BI1026" s="11"/>
      <c r="BT1026" s="11"/>
      <c r="CE1026" s="11"/>
      <c r="CT1026" s="9"/>
      <c r="CU1026" s="9"/>
      <c r="CV1026" s="9"/>
    </row>
    <row r="1027" spans="1:100" ht="15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 s="67"/>
      <c r="N1027" s="67"/>
      <c r="O1027" s="16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C1027" s="11"/>
      <c r="AN1027" s="11"/>
      <c r="AX1027" s="11"/>
      <c r="BI1027" s="11"/>
      <c r="BT1027" s="11"/>
      <c r="CE1027" s="11"/>
      <c r="CT1027" s="9"/>
      <c r="CU1027" s="9"/>
      <c r="CV1027" s="9"/>
    </row>
    <row r="1028" spans="1:100" ht="15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 s="67"/>
      <c r="N1028" s="67"/>
      <c r="O1028" s="16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C1028" s="11"/>
      <c r="AN1028" s="11"/>
      <c r="AX1028" s="11"/>
      <c r="BI1028" s="11"/>
      <c r="BT1028" s="11"/>
      <c r="CE1028" s="11"/>
      <c r="CT1028" s="9"/>
      <c r="CU1028" s="9"/>
      <c r="CV1028" s="9"/>
    </row>
    <row r="1029" spans="1:100" ht="15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 s="67"/>
      <c r="N1029" s="67"/>
      <c r="O1029" s="16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C1029" s="11"/>
      <c r="AN1029" s="11"/>
      <c r="AX1029" s="11"/>
      <c r="BI1029" s="11"/>
      <c r="BT1029" s="11"/>
      <c r="CE1029" s="11"/>
      <c r="CT1029" s="9"/>
      <c r="CU1029" s="9"/>
      <c r="CV1029" s="9"/>
    </row>
    <row r="1030" spans="1:100" ht="15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 s="67"/>
      <c r="N1030" s="67"/>
      <c r="O1030" s="16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C1030" s="11"/>
      <c r="AN1030" s="11"/>
      <c r="AX1030" s="11"/>
      <c r="BI1030" s="11"/>
      <c r="BT1030" s="11"/>
      <c r="CE1030" s="11"/>
      <c r="CT1030" s="9"/>
      <c r="CU1030" s="9"/>
      <c r="CV1030" s="9"/>
    </row>
    <row r="1031" spans="1:100" ht="15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 s="67"/>
      <c r="N1031" s="67"/>
      <c r="O1031" s="16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C1031" s="11"/>
      <c r="AN1031" s="11"/>
      <c r="AX1031" s="11"/>
      <c r="BI1031" s="11"/>
      <c r="BT1031" s="11"/>
      <c r="CE1031" s="11"/>
      <c r="CT1031" s="9"/>
      <c r="CU1031" s="9"/>
      <c r="CV1031" s="9"/>
    </row>
    <row r="1032" spans="1:100" ht="15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 s="67"/>
      <c r="N1032" s="67"/>
      <c r="O1032" s="16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C1032" s="11"/>
      <c r="AN1032" s="11"/>
      <c r="AX1032" s="11"/>
      <c r="BI1032" s="11"/>
      <c r="BT1032" s="11"/>
      <c r="CE1032" s="11"/>
      <c r="CT1032" s="9"/>
      <c r="CU1032" s="9"/>
      <c r="CV1032" s="9"/>
    </row>
    <row r="1033" spans="1:100" ht="15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 s="67"/>
      <c r="N1033" s="67"/>
      <c r="O1033" s="16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C1033" s="11"/>
      <c r="AN1033" s="11"/>
      <c r="AX1033" s="11"/>
      <c r="BI1033" s="11"/>
      <c r="BT1033" s="11"/>
      <c r="CE1033" s="11"/>
      <c r="CT1033" s="9"/>
      <c r="CU1033" s="9"/>
      <c r="CV1033" s="9"/>
    </row>
    <row r="1034" spans="1:100" ht="15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 s="67"/>
      <c r="N1034" s="67"/>
      <c r="O1034" s="16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C1034" s="11"/>
      <c r="AN1034" s="11"/>
      <c r="AX1034" s="11"/>
      <c r="BI1034" s="11"/>
      <c r="BT1034" s="11"/>
      <c r="CE1034" s="11"/>
      <c r="CT1034" s="9"/>
      <c r="CU1034" s="9"/>
      <c r="CV1034" s="9"/>
    </row>
    <row r="1035" spans="1:100" ht="15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 s="67"/>
      <c r="N1035" s="67"/>
      <c r="O1035" s="16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C1035" s="11"/>
      <c r="AN1035" s="11"/>
      <c r="AX1035" s="11"/>
      <c r="BI1035" s="11"/>
      <c r="BT1035" s="11"/>
      <c r="CE1035" s="11"/>
      <c r="CT1035" s="9"/>
      <c r="CU1035" s="9"/>
      <c r="CV1035" s="9"/>
    </row>
    <row r="1036" spans="1:100" ht="15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 s="67"/>
      <c r="N1036" s="67"/>
      <c r="O1036" s="16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C1036" s="11"/>
      <c r="AN1036" s="11"/>
      <c r="AX1036" s="11"/>
      <c r="BI1036" s="11"/>
      <c r="BT1036" s="11"/>
      <c r="CE1036" s="11"/>
      <c r="CT1036" s="9"/>
      <c r="CU1036" s="9"/>
      <c r="CV1036" s="9"/>
    </row>
    <row r="1037" spans="1:100" ht="15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 s="67"/>
      <c r="N1037" s="67"/>
      <c r="O1037" s="16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C1037" s="11"/>
      <c r="AN1037" s="11"/>
      <c r="AX1037" s="11"/>
      <c r="BI1037" s="11"/>
      <c r="BT1037" s="11"/>
      <c r="CE1037" s="11"/>
      <c r="CT1037" s="9"/>
      <c r="CU1037" s="9"/>
      <c r="CV1037" s="9"/>
    </row>
    <row r="1038" spans="1:100" ht="15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 s="67"/>
      <c r="N1038" s="67"/>
      <c r="O1038" s="16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C1038" s="11"/>
      <c r="AN1038" s="11"/>
      <c r="AX1038" s="11"/>
      <c r="BI1038" s="11"/>
      <c r="BT1038" s="11"/>
      <c r="CE1038" s="11"/>
      <c r="CT1038" s="9"/>
      <c r="CU1038" s="9"/>
      <c r="CV1038" s="9"/>
    </row>
    <row r="1039" spans="1:100" ht="15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 s="67"/>
      <c r="N1039" s="67"/>
      <c r="O1039" s="16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C1039" s="11"/>
      <c r="AN1039" s="11"/>
      <c r="AX1039" s="11"/>
      <c r="BI1039" s="11"/>
      <c r="BT1039" s="11"/>
      <c r="CE1039" s="11"/>
      <c r="CT1039" s="9"/>
      <c r="CU1039" s="9"/>
      <c r="CV1039" s="9"/>
    </row>
    <row r="1040" spans="1:100" ht="15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 s="67"/>
      <c r="N1040" s="67"/>
      <c r="O1040" s="16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C1040" s="11"/>
      <c r="AN1040" s="11"/>
      <c r="AX1040" s="11"/>
      <c r="BI1040" s="11"/>
      <c r="BT1040" s="11"/>
      <c r="CE1040" s="11"/>
      <c r="CT1040" s="9"/>
      <c r="CU1040" s="9"/>
      <c r="CV1040" s="9"/>
    </row>
    <row r="1041" spans="1:100" ht="15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 s="67"/>
      <c r="N1041" s="67"/>
      <c r="O1041" s="16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C1041" s="11"/>
      <c r="AN1041" s="11"/>
      <c r="AX1041" s="11"/>
      <c r="BI1041" s="11"/>
      <c r="BT1041" s="11"/>
      <c r="CE1041" s="11"/>
      <c r="CT1041" s="9"/>
      <c r="CU1041" s="9"/>
      <c r="CV1041" s="9"/>
    </row>
    <row r="1042" spans="1:100" ht="15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 s="67"/>
      <c r="N1042" s="67"/>
      <c r="O1042" s="16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C1042" s="11"/>
      <c r="AN1042" s="11"/>
      <c r="AX1042" s="11"/>
      <c r="BI1042" s="11"/>
      <c r="BT1042" s="11"/>
      <c r="CE1042" s="11"/>
      <c r="CT1042" s="9"/>
      <c r="CU1042" s="9"/>
      <c r="CV1042" s="9"/>
    </row>
    <row r="1043" spans="1:100" ht="15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 s="67"/>
      <c r="N1043" s="67"/>
      <c r="O1043" s="16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C1043" s="11"/>
      <c r="AN1043" s="11"/>
      <c r="AX1043" s="11"/>
      <c r="BI1043" s="11"/>
      <c r="BT1043" s="11"/>
      <c r="CE1043" s="11"/>
      <c r="CT1043" s="9"/>
      <c r="CU1043" s="9"/>
      <c r="CV1043" s="9"/>
    </row>
    <row r="1044" spans="1:100" ht="15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 s="67"/>
      <c r="N1044" s="67"/>
      <c r="O1044" s="16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C1044" s="11"/>
      <c r="AN1044" s="11"/>
      <c r="AX1044" s="11"/>
      <c r="BI1044" s="11"/>
      <c r="BT1044" s="11"/>
      <c r="CE1044" s="11"/>
      <c r="CT1044" s="9"/>
      <c r="CU1044" s="9"/>
      <c r="CV1044" s="9"/>
    </row>
    <row r="1045" spans="1:100" ht="15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 s="67"/>
      <c r="N1045" s="67"/>
      <c r="O1045" s="16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C1045" s="11"/>
      <c r="AN1045" s="11"/>
      <c r="AX1045" s="11"/>
      <c r="BI1045" s="11"/>
      <c r="BT1045" s="11"/>
      <c r="CE1045" s="11"/>
      <c r="CT1045" s="9"/>
      <c r="CU1045" s="9"/>
      <c r="CV1045" s="9"/>
    </row>
    <row r="1046" spans="1:100" ht="15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 s="67"/>
      <c r="N1046" s="67"/>
      <c r="O1046" s="16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C1046" s="11"/>
      <c r="AN1046" s="11"/>
      <c r="AX1046" s="11"/>
      <c r="BI1046" s="11"/>
      <c r="BT1046" s="11"/>
      <c r="CE1046" s="11"/>
      <c r="CT1046" s="9"/>
      <c r="CU1046" s="9"/>
      <c r="CV1046" s="9"/>
    </row>
    <row r="1047" spans="1:100" ht="15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 s="67"/>
      <c r="N1047" s="67"/>
      <c r="O1047" s="16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C1047" s="11"/>
      <c r="AN1047" s="11"/>
      <c r="AX1047" s="11"/>
      <c r="BI1047" s="11"/>
      <c r="BT1047" s="11"/>
      <c r="CE1047" s="11"/>
      <c r="CT1047" s="9"/>
      <c r="CU1047" s="9"/>
      <c r="CV1047" s="9"/>
    </row>
    <row r="1048" spans="1:100" ht="15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 s="67"/>
      <c r="N1048" s="67"/>
      <c r="O1048" s="16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C1048" s="11"/>
      <c r="AN1048" s="11"/>
      <c r="AX1048" s="11"/>
      <c r="BI1048" s="11"/>
      <c r="BT1048" s="11"/>
      <c r="CE1048" s="11"/>
      <c r="CT1048" s="9"/>
      <c r="CU1048" s="9"/>
      <c r="CV1048" s="9"/>
    </row>
    <row r="1049" spans="1:100" ht="15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 s="67"/>
      <c r="N1049" s="67"/>
      <c r="O1049" s="16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C1049" s="11"/>
      <c r="AN1049" s="11"/>
      <c r="AX1049" s="11"/>
      <c r="BI1049" s="11"/>
      <c r="BT1049" s="11"/>
      <c r="CE1049" s="11"/>
      <c r="CT1049" s="9"/>
      <c r="CU1049" s="9"/>
      <c r="CV1049" s="9"/>
    </row>
    <row r="1050" spans="1:100" ht="15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 s="67"/>
      <c r="N1050" s="67"/>
      <c r="O1050" s="16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C1050" s="11"/>
      <c r="AN1050" s="11"/>
      <c r="AX1050" s="11"/>
      <c r="BI1050" s="11"/>
      <c r="BT1050" s="11"/>
      <c r="CE1050" s="11"/>
      <c r="CT1050" s="9"/>
      <c r="CU1050" s="9"/>
      <c r="CV1050" s="9"/>
    </row>
    <row r="1051" spans="1:100" ht="15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 s="67"/>
      <c r="N1051" s="67"/>
      <c r="O1051" s="16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C1051" s="11"/>
      <c r="AN1051" s="11"/>
      <c r="AX1051" s="11"/>
      <c r="BI1051" s="11"/>
      <c r="BT1051" s="11"/>
      <c r="CE1051" s="11"/>
      <c r="CT1051" s="9"/>
      <c r="CU1051" s="9"/>
      <c r="CV1051" s="9"/>
    </row>
    <row r="1052" spans="1:100" ht="15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 s="67"/>
      <c r="N1052" s="67"/>
      <c r="O1052" s="16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C1052" s="11"/>
      <c r="AN1052" s="11"/>
      <c r="AX1052" s="11"/>
      <c r="BI1052" s="11"/>
      <c r="BT1052" s="11"/>
      <c r="CE1052" s="11"/>
      <c r="CT1052" s="9"/>
      <c r="CU1052" s="9"/>
      <c r="CV1052" s="9"/>
    </row>
    <row r="1053" spans="1:100" ht="15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 s="67"/>
      <c r="N1053" s="67"/>
      <c r="O1053" s="16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C1053" s="11"/>
      <c r="AN1053" s="11"/>
      <c r="AX1053" s="11"/>
      <c r="BI1053" s="11"/>
      <c r="BT1053" s="11"/>
      <c r="CE1053" s="11"/>
      <c r="CT1053" s="9"/>
      <c r="CU1053" s="9"/>
      <c r="CV1053" s="9"/>
    </row>
    <row r="1054" spans="1:100" ht="15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 s="67"/>
      <c r="N1054" s="67"/>
      <c r="O1054" s="16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C1054" s="11"/>
      <c r="AN1054" s="11"/>
      <c r="AX1054" s="11"/>
      <c r="BI1054" s="11"/>
      <c r="BT1054" s="11"/>
      <c r="CE1054" s="11"/>
      <c r="CT1054" s="9"/>
      <c r="CU1054" s="9"/>
      <c r="CV1054" s="9"/>
    </row>
    <row r="1055" spans="1:100" ht="15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 s="67"/>
      <c r="N1055" s="67"/>
      <c r="O1055" s="16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C1055" s="11"/>
      <c r="AN1055" s="11"/>
      <c r="AX1055" s="11"/>
      <c r="BI1055" s="11"/>
      <c r="BT1055" s="11"/>
      <c r="CE1055" s="11"/>
      <c r="CT1055" s="9"/>
      <c r="CU1055" s="9"/>
      <c r="CV1055" s="9"/>
    </row>
    <row r="1056" spans="1:100" ht="15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 s="67"/>
      <c r="N1056" s="67"/>
      <c r="O1056" s="16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C1056" s="11"/>
      <c r="AN1056" s="11"/>
      <c r="AX1056" s="11"/>
      <c r="BI1056" s="11"/>
      <c r="BT1056" s="11"/>
      <c r="CE1056" s="11"/>
      <c r="CT1056" s="9"/>
      <c r="CU1056" s="9"/>
      <c r="CV1056" s="9"/>
    </row>
    <row r="1057" spans="1:100" ht="15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 s="67"/>
      <c r="N1057" s="67"/>
      <c r="O1057" s="16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C1057" s="11"/>
      <c r="AN1057" s="11"/>
      <c r="AX1057" s="11"/>
      <c r="BI1057" s="11"/>
      <c r="BT1057" s="11"/>
      <c r="CE1057" s="11"/>
      <c r="CT1057" s="9"/>
      <c r="CU1057" s="9"/>
      <c r="CV1057" s="9"/>
    </row>
    <row r="1058" spans="1:100" ht="15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 s="67"/>
      <c r="N1058" s="67"/>
      <c r="O1058" s="16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C1058" s="11"/>
      <c r="AN1058" s="11"/>
      <c r="AX1058" s="11"/>
      <c r="BI1058" s="11"/>
      <c r="BT1058" s="11"/>
      <c r="CE1058" s="11"/>
      <c r="CT1058" s="9"/>
      <c r="CU1058" s="9"/>
      <c r="CV1058" s="9"/>
    </row>
    <row r="1059" spans="1:100" ht="15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 s="67"/>
      <c r="N1059" s="67"/>
      <c r="O1059" s="16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C1059" s="11"/>
      <c r="AN1059" s="11"/>
      <c r="AX1059" s="11"/>
      <c r="BI1059" s="11"/>
      <c r="BT1059" s="11"/>
      <c r="CE1059" s="11"/>
      <c r="CT1059" s="9"/>
      <c r="CU1059" s="9"/>
      <c r="CV1059" s="9"/>
    </row>
    <row r="1060" spans="1:100" ht="15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 s="67"/>
      <c r="N1060" s="67"/>
      <c r="O1060" s="16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C1060" s="11"/>
      <c r="AN1060" s="11"/>
      <c r="AX1060" s="11"/>
      <c r="BI1060" s="11"/>
      <c r="BT1060" s="11"/>
      <c r="CE1060" s="11"/>
      <c r="CT1060" s="9"/>
      <c r="CU1060" s="9"/>
      <c r="CV1060" s="9"/>
    </row>
    <row r="1061" spans="1:100" ht="15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 s="67"/>
      <c r="N1061" s="67"/>
      <c r="O1061" s="16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C1061" s="11"/>
      <c r="AN1061" s="11"/>
      <c r="AX1061" s="11"/>
      <c r="BI1061" s="11"/>
      <c r="BT1061" s="11"/>
      <c r="CE1061" s="11"/>
      <c r="CT1061" s="9"/>
      <c r="CU1061" s="9"/>
      <c r="CV1061" s="9"/>
    </row>
    <row r="1062" spans="1:100" ht="15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 s="67"/>
      <c r="N1062" s="67"/>
      <c r="O1062" s="16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C1062" s="11"/>
      <c r="AN1062" s="11"/>
      <c r="AX1062" s="11"/>
      <c r="BI1062" s="11"/>
      <c r="BT1062" s="11"/>
      <c r="CE1062" s="11"/>
      <c r="CT1062" s="9"/>
      <c r="CU1062" s="9"/>
      <c r="CV1062" s="9"/>
    </row>
    <row r="1063" spans="1:100" ht="15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 s="67"/>
      <c r="N1063" s="67"/>
      <c r="O1063" s="16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C1063" s="11"/>
      <c r="AN1063" s="11"/>
      <c r="AX1063" s="11"/>
      <c r="BI1063" s="11"/>
      <c r="BT1063" s="11"/>
      <c r="CE1063" s="11"/>
      <c r="CT1063" s="9"/>
      <c r="CU1063" s="9"/>
      <c r="CV1063" s="9"/>
    </row>
    <row r="1064" spans="1:100" ht="15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 s="67"/>
      <c r="N1064" s="67"/>
      <c r="O1064" s="16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C1064" s="11"/>
      <c r="AN1064" s="11"/>
      <c r="AX1064" s="11"/>
      <c r="BI1064" s="11"/>
      <c r="BT1064" s="11"/>
      <c r="CE1064" s="11"/>
      <c r="CT1064" s="9"/>
      <c r="CU1064" s="9"/>
      <c r="CV1064" s="9"/>
    </row>
    <row r="1065" spans="1:100" ht="15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 s="67"/>
      <c r="N1065" s="67"/>
      <c r="O1065" s="16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C1065" s="11"/>
      <c r="AN1065" s="11"/>
      <c r="AX1065" s="11"/>
      <c r="BI1065" s="11"/>
      <c r="BT1065" s="11"/>
      <c r="CE1065" s="11"/>
      <c r="CT1065" s="9"/>
      <c r="CU1065" s="9"/>
      <c r="CV1065" s="9"/>
    </row>
    <row r="1066" spans="1:100" ht="15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 s="67"/>
      <c r="N1066" s="67"/>
      <c r="O1066" s="16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C1066" s="11"/>
      <c r="AN1066" s="11"/>
      <c r="AX1066" s="11"/>
      <c r="BI1066" s="11"/>
      <c r="BT1066" s="11"/>
      <c r="CE1066" s="11"/>
      <c r="CT1066" s="9"/>
      <c r="CU1066" s="9"/>
      <c r="CV1066" s="9"/>
    </row>
    <row r="1067" spans="1:100" ht="15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 s="67"/>
      <c r="N1067" s="67"/>
      <c r="O1067" s="16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C1067" s="11"/>
      <c r="AN1067" s="11"/>
      <c r="AX1067" s="11"/>
      <c r="BI1067" s="11"/>
      <c r="BT1067" s="11"/>
      <c r="CE1067" s="11"/>
      <c r="CT1067" s="9"/>
      <c r="CU1067" s="9"/>
      <c r="CV1067" s="9"/>
    </row>
    <row r="1068" spans="1:100" ht="15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 s="67"/>
      <c r="N1068" s="67"/>
      <c r="O1068" s="16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C1068" s="11"/>
      <c r="AN1068" s="11"/>
      <c r="AX1068" s="11"/>
      <c r="BI1068" s="11"/>
      <c r="BT1068" s="11"/>
      <c r="CE1068" s="11"/>
      <c r="CT1068" s="9"/>
      <c r="CU1068" s="9"/>
      <c r="CV1068" s="9"/>
    </row>
    <row r="1069" spans="1:100" ht="15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 s="67"/>
      <c r="N1069" s="67"/>
      <c r="O1069" s="16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C1069" s="11"/>
      <c r="AN1069" s="11"/>
      <c r="AX1069" s="11"/>
      <c r="BI1069" s="11"/>
      <c r="BT1069" s="11"/>
      <c r="CE1069" s="11"/>
      <c r="CT1069" s="9"/>
      <c r="CU1069" s="9"/>
      <c r="CV1069" s="9"/>
    </row>
    <row r="1070" spans="1:100" ht="15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 s="67"/>
      <c r="N1070" s="67"/>
      <c r="O1070" s="16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C1070" s="11"/>
      <c r="AN1070" s="11"/>
      <c r="AX1070" s="11"/>
      <c r="BI1070" s="11"/>
      <c r="BT1070" s="11"/>
      <c r="CE1070" s="11"/>
      <c r="CT1070" s="9"/>
      <c r="CU1070" s="9"/>
      <c r="CV1070" s="9"/>
    </row>
    <row r="1071" spans="1:100" ht="15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 s="67"/>
      <c r="N1071" s="67"/>
      <c r="O1071" s="16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C1071" s="11"/>
      <c r="AN1071" s="11"/>
      <c r="AX1071" s="11"/>
      <c r="BI1071" s="11"/>
      <c r="BT1071" s="11"/>
      <c r="CE1071" s="11"/>
      <c r="CT1071" s="9"/>
      <c r="CU1071" s="9"/>
      <c r="CV1071" s="9"/>
    </row>
    <row r="1072" spans="1:100" ht="15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 s="67"/>
      <c r="N1072" s="67"/>
      <c r="O1072" s="16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C1072" s="11"/>
      <c r="AN1072" s="11"/>
      <c r="AX1072" s="11"/>
      <c r="BI1072" s="11"/>
      <c r="BT1072" s="11"/>
      <c r="CE1072" s="11"/>
      <c r="CT1072" s="9"/>
      <c r="CU1072" s="9"/>
      <c r="CV1072" s="9"/>
    </row>
    <row r="1073" spans="1:100" ht="15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 s="67"/>
      <c r="N1073" s="67"/>
      <c r="O1073" s="16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C1073" s="11"/>
      <c r="AN1073" s="11"/>
      <c r="AX1073" s="11"/>
      <c r="BI1073" s="11"/>
      <c r="BT1073" s="11"/>
      <c r="CE1073" s="11"/>
      <c r="CT1073" s="9"/>
      <c r="CU1073" s="9"/>
      <c r="CV1073" s="9"/>
    </row>
    <row r="1074" spans="1:100" ht="15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 s="67"/>
      <c r="N1074" s="67"/>
      <c r="O1074" s="16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C1074" s="11"/>
      <c r="AN1074" s="11"/>
      <c r="AX1074" s="11"/>
      <c r="BI1074" s="11"/>
      <c r="BT1074" s="11"/>
      <c r="CE1074" s="11"/>
      <c r="CT1074" s="9"/>
      <c r="CU1074" s="9"/>
      <c r="CV1074" s="9"/>
    </row>
    <row r="1075" spans="1:100" ht="15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 s="67"/>
      <c r="N1075" s="67"/>
      <c r="O1075" s="16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C1075" s="11"/>
      <c r="AN1075" s="11"/>
      <c r="AX1075" s="11"/>
      <c r="BI1075" s="11"/>
      <c r="BT1075" s="11"/>
      <c r="CE1075" s="11"/>
      <c r="CT1075" s="9"/>
      <c r="CU1075" s="9"/>
      <c r="CV1075" s="9"/>
    </row>
    <row r="1076" spans="1:100" ht="15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 s="67"/>
      <c r="N1076" s="67"/>
      <c r="O1076" s="16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C1076" s="11"/>
      <c r="AN1076" s="11"/>
      <c r="AX1076" s="11"/>
      <c r="BI1076" s="11"/>
      <c r="BT1076" s="11"/>
      <c r="CE1076" s="11"/>
      <c r="CT1076" s="9"/>
      <c r="CU1076" s="9"/>
      <c r="CV1076" s="9"/>
    </row>
    <row r="1077" spans="1:100" ht="15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 s="67"/>
      <c r="N1077" s="67"/>
      <c r="O1077" s="16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C1077" s="11"/>
      <c r="AN1077" s="11"/>
      <c r="AX1077" s="11"/>
      <c r="BI1077" s="11"/>
      <c r="BT1077" s="11"/>
      <c r="CE1077" s="11"/>
      <c r="CT1077" s="9"/>
      <c r="CU1077" s="9"/>
      <c r="CV1077" s="9"/>
    </row>
    <row r="1078" spans="1:100" ht="15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 s="67"/>
      <c r="N1078" s="67"/>
      <c r="O1078" s="16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C1078" s="11"/>
      <c r="AN1078" s="11"/>
      <c r="AX1078" s="11"/>
      <c r="BI1078" s="11"/>
      <c r="BT1078" s="11"/>
      <c r="CE1078" s="11"/>
      <c r="CT1078" s="9"/>
      <c r="CU1078" s="9"/>
      <c r="CV1078" s="9"/>
    </row>
    <row r="1079" spans="1:100" ht="15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 s="67"/>
      <c r="N1079" s="67"/>
      <c r="O1079" s="16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C1079" s="11"/>
      <c r="AN1079" s="11"/>
      <c r="AX1079" s="11"/>
      <c r="BI1079" s="11"/>
      <c r="BT1079" s="11"/>
      <c r="CE1079" s="11"/>
      <c r="CT1079" s="9"/>
      <c r="CU1079" s="9"/>
      <c r="CV1079" s="9"/>
    </row>
    <row r="1080" spans="1:100" ht="15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 s="67"/>
      <c r="N1080" s="67"/>
      <c r="O1080" s="16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C1080" s="11"/>
      <c r="AN1080" s="11"/>
      <c r="AX1080" s="11"/>
      <c r="BI1080" s="11"/>
      <c r="BT1080" s="11"/>
      <c r="CE1080" s="11"/>
      <c r="CT1080" s="9"/>
      <c r="CU1080" s="9"/>
      <c r="CV1080" s="9"/>
    </row>
    <row r="1081" spans="1:100" ht="15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 s="67"/>
      <c r="N1081" s="67"/>
      <c r="O1081" s="16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C1081" s="11"/>
      <c r="AN1081" s="11"/>
      <c r="AX1081" s="11"/>
      <c r="BI1081" s="11"/>
      <c r="BT1081" s="11"/>
      <c r="CE1081" s="11"/>
      <c r="CT1081" s="9"/>
      <c r="CU1081" s="9"/>
      <c r="CV1081" s="9"/>
    </row>
    <row r="1082" spans="1:100" ht="15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 s="67"/>
      <c r="N1082" s="67"/>
      <c r="O1082" s="16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C1082" s="11"/>
      <c r="AN1082" s="11"/>
      <c r="AX1082" s="11"/>
      <c r="BI1082" s="11"/>
      <c r="BT1082" s="11"/>
      <c r="CE1082" s="11"/>
      <c r="CT1082" s="9"/>
      <c r="CU1082" s="9"/>
      <c r="CV1082" s="9"/>
    </row>
    <row r="1083" spans="1:100" ht="15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 s="67"/>
      <c r="N1083" s="67"/>
      <c r="O1083" s="16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C1083" s="11"/>
      <c r="AN1083" s="11"/>
      <c r="AX1083" s="11"/>
      <c r="BI1083" s="11"/>
      <c r="BT1083" s="11"/>
      <c r="CE1083" s="11"/>
      <c r="CT1083" s="9"/>
      <c r="CU1083" s="9"/>
      <c r="CV1083" s="9"/>
    </row>
    <row r="1084" spans="1:100" ht="15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 s="67"/>
      <c r="N1084" s="67"/>
      <c r="O1084" s="16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C1084" s="11"/>
      <c r="AN1084" s="11"/>
      <c r="AX1084" s="11"/>
      <c r="BI1084" s="11"/>
      <c r="BT1084" s="11"/>
      <c r="CE1084" s="11"/>
      <c r="CT1084" s="9"/>
      <c r="CU1084" s="9"/>
      <c r="CV1084" s="9"/>
    </row>
    <row r="1085" spans="1:100" ht="15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 s="67"/>
      <c r="N1085" s="67"/>
      <c r="O1085" s="16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C1085" s="11"/>
      <c r="AN1085" s="11"/>
      <c r="AX1085" s="11"/>
      <c r="BI1085" s="11"/>
      <c r="BT1085" s="11"/>
      <c r="CE1085" s="11"/>
      <c r="CT1085" s="9"/>
      <c r="CU1085" s="9"/>
      <c r="CV1085" s="9"/>
    </row>
    <row r="1086" spans="1:100" ht="15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 s="67"/>
      <c r="N1086" s="67"/>
      <c r="O1086" s="16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C1086" s="11"/>
      <c r="AN1086" s="11"/>
      <c r="AX1086" s="11"/>
      <c r="BI1086" s="11"/>
      <c r="BT1086" s="11"/>
      <c r="CE1086" s="11"/>
      <c r="CT1086" s="9"/>
      <c r="CU1086" s="9"/>
      <c r="CV1086" s="9"/>
    </row>
    <row r="1087" spans="1:100" ht="15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 s="67"/>
      <c r="N1087" s="67"/>
      <c r="O1087" s="16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C1087" s="11"/>
      <c r="AN1087" s="11"/>
      <c r="AX1087" s="11"/>
      <c r="BI1087" s="11"/>
      <c r="BT1087" s="11"/>
      <c r="CE1087" s="11"/>
      <c r="CT1087" s="9"/>
      <c r="CU1087" s="9"/>
      <c r="CV1087" s="9"/>
    </row>
    <row r="1088" spans="1:100" ht="15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 s="67"/>
      <c r="N1088" s="67"/>
      <c r="O1088" s="16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C1088" s="11"/>
      <c r="AN1088" s="11"/>
      <c r="AX1088" s="11"/>
      <c r="BI1088" s="11"/>
      <c r="BT1088" s="11"/>
      <c r="CE1088" s="11"/>
      <c r="CT1088" s="9"/>
      <c r="CU1088" s="9"/>
      <c r="CV1088" s="9"/>
    </row>
    <row r="1089" spans="1:100" ht="15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 s="67"/>
      <c r="N1089" s="67"/>
      <c r="O1089" s="16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C1089" s="11"/>
      <c r="AN1089" s="11"/>
      <c r="AX1089" s="11"/>
      <c r="BI1089" s="11"/>
      <c r="BT1089" s="11"/>
      <c r="CE1089" s="11"/>
      <c r="CT1089" s="9"/>
      <c r="CU1089" s="9"/>
      <c r="CV1089" s="9"/>
    </row>
    <row r="1090" spans="1:100" ht="15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 s="67"/>
      <c r="N1090" s="67"/>
      <c r="O1090" s="16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C1090" s="11"/>
      <c r="AN1090" s="11"/>
      <c r="AX1090" s="11"/>
      <c r="BI1090" s="11"/>
      <c r="BT1090" s="11"/>
      <c r="CE1090" s="11"/>
      <c r="CT1090" s="9"/>
      <c r="CU1090" s="9"/>
      <c r="CV1090" s="9"/>
    </row>
    <row r="1091" spans="1:100" ht="15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 s="67"/>
      <c r="N1091" s="67"/>
      <c r="O1091" s="16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C1091" s="11"/>
      <c r="AN1091" s="11"/>
      <c r="AX1091" s="11"/>
      <c r="BI1091" s="11"/>
      <c r="BT1091" s="11"/>
      <c r="CE1091" s="11"/>
      <c r="CT1091" s="9"/>
      <c r="CU1091" s="9"/>
      <c r="CV1091" s="9"/>
    </row>
    <row r="1092" spans="1:100" ht="15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 s="67"/>
      <c r="N1092" s="67"/>
      <c r="O1092" s="16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C1092" s="11"/>
      <c r="AN1092" s="11"/>
      <c r="AX1092" s="11"/>
      <c r="BI1092" s="11"/>
      <c r="BT1092" s="11"/>
      <c r="CE1092" s="11"/>
      <c r="CT1092" s="9"/>
      <c r="CU1092" s="9"/>
      <c r="CV1092" s="9"/>
    </row>
    <row r="1093" spans="1:100" ht="15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 s="67"/>
      <c r="N1093" s="67"/>
      <c r="O1093" s="16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C1093" s="11"/>
      <c r="AN1093" s="11"/>
      <c r="AX1093" s="11"/>
      <c r="BI1093" s="11"/>
      <c r="BT1093" s="11"/>
      <c r="CE1093" s="11"/>
      <c r="CT1093" s="9"/>
      <c r="CU1093" s="9"/>
      <c r="CV1093" s="9"/>
    </row>
    <row r="1094" spans="1:100" ht="15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 s="67"/>
      <c r="N1094" s="67"/>
      <c r="O1094" s="16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C1094" s="11"/>
      <c r="AN1094" s="11"/>
      <c r="AX1094" s="11"/>
      <c r="BI1094" s="11"/>
      <c r="BT1094" s="11"/>
      <c r="CE1094" s="11"/>
      <c r="CT1094" s="9"/>
      <c r="CU1094" s="9"/>
      <c r="CV1094" s="9"/>
    </row>
    <row r="1095" spans="1:100" ht="15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 s="67"/>
      <c r="N1095" s="67"/>
      <c r="O1095" s="16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C1095" s="11"/>
      <c r="AN1095" s="11"/>
      <c r="AX1095" s="11"/>
      <c r="BI1095" s="11"/>
      <c r="BT1095" s="11"/>
      <c r="CE1095" s="11"/>
      <c r="CT1095" s="9"/>
      <c r="CU1095" s="9"/>
      <c r="CV1095" s="9"/>
    </row>
    <row r="1096" spans="1:100" ht="15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 s="67"/>
      <c r="N1096" s="67"/>
      <c r="O1096" s="16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C1096" s="11"/>
      <c r="AN1096" s="11"/>
      <c r="AX1096" s="11"/>
      <c r="BI1096" s="11"/>
      <c r="BT1096" s="11"/>
      <c r="CE1096" s="11"/>
      <c r="CT1096" s="9"/>
      <c r="CU1096" s="9"/>
      <c r="CV1096" s="9"/>
    </row>
    <row r="1097" spans="1:100" ht="15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 s="67"/>
      <c r="N1097" s="67"/>
      <c r="O1097" s="16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C1097" s="11"/>
      <c r="AN1097" s="11"/>
      <c r="AX1097" s="11"/>
      <c r="BI1097" s="11"/>
      <c r="BT1097" s="11"/>
      <c r="CE1097" s="11"/>
      <c r="CT1097" s="9"/>
      <c r="CU1097" s="9"/>
      <c r="CV1097" s="9"/>
    </row>
    <row r="1098" spans="1:100" ht="15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 s="67"/>
      <c r="N1098" s="67"/>
      <c r="O1098" s="16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C1098" s="11"/>
      <c r="AN1098" s="11"/>
      <c r="AX1098" s="11"/>
      <c r="BI1098" s="11"/>
      <c r="BT1098" s="11"/>
      <c r="CE1098" s="11"/>
      <c r="CT1098" s="9"/>
      <c r="CU1098" s="9"/>
      <c r="CV1098" s="9"/>
    </row>
    <row r="1099" spans="1:100" ht="15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 s="67"/>
      <c r="N1099" s="67"/>
      <c r="O1099" s="16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C1099" s="11"/>
      <c r="AN1099" s="11"/>
      <c r="AX1099" s="11"/>
      <c r="BI1099" s="11"/>
      <c r="BT1099" s="11"/>
      <c r="CE1099" s="11"/>
      <c r="CT1099" s="9"/>
      <c r="CU1099" s="9"/>
      <c r="CV1099" s="9"/>
    </row>
    <row r="1100" spans="1:100" ht="15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 s="67"/>
      <c r="N1100" s="67"/>
      <c r="O1100" s="16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C1100" s="11"/>
      <c r="AN1100" s="11"/>
      <c r="AX1100" s="11"/>
      <c r="BI1100" s="11"/>
      <c r="BT1100" s="11"/>
      <c r="CE1100" s="11"/>
      <c r="CT1100" s="9"/>
      <c r="CU1100" s="9"/>
      <c r="CV1100" s="9"/>
    </row>
    <row r="1101" spans="1:100" ht="15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 s="67"/>
      <c r="N1101" s="67"/>
      <c r="O1101" s="16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C1101" s="11"/>
      <c r="AN1101" s="11"/>
      <c r="AX1101" s="11"/>
      <c r="BI1101" s="11"/>
      <c r="BT1101" s="11"/>
      <c r="CE1101" s="11"/>
      <c r="CT1101" s="9"/>
      <c r="CU1101" s="9"/>
      <c r="CV1101" s="9"/>
    </row>
    <row r="1102" spans="1:100" ht="15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 s="67"/>
      <c r="N1102" s="67"/>
      <c r="O1102" s="16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C1102" s="11"/>
      <c r="AN1102" s="11"/>
      <c r="AX1102" s="11"/>
      <c r="BI1102" s="11"/>
      <c r="BT1102" s="11"/>
      <c r="CE1102" s="11"/>
      <c r="CT1102" s="9"/>
      <c r="CU1102" s="9"/>
      <c r="CV1102" s="9"/>
    </row>
    <row r="1103" spans="1:100" ht="15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 s="67"/>
      <c r="N1103" s="67"/>
      <c r="O1103" s="16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C1103" s="11"/>
      <c r="AN1103" s="11"/>
      <c r="AX1103" s="11"/>
      <c r="BI1103" s="11"/>
      <c r="BT1103" s="11"/>
      <c r="CE1103" s="11"/>
      <c r="CT1103" s="9"/>
      <c r="CU1103" s="9"/>
      <c r="CV1103" s="9"/>
    </row>
    <row r="1104" spans="1:100" ht="15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 s="67"/>
      <c r="N1104" s="67"/>
      <c r="O1104" s="16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C1104" s="11"/>
      <c r="AN1104" s="11"/>
      <c r="AX1104" s="11"/>
      <c r="BI1104" s="11"/>
      <c r="BT1104" s="11"/>
      <c r="CE1104" s="11"/>
      <c r="CT1104" s="9"/>
      <c r="CU1104" s="9"/>
      <c r="CV1104" s="9"/>
    </row>
    <row r="1105" spans="1:100" ht="15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 s="67"/>
      <c r="N1105" s="67"/>
      <c r="O1105" s="16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C1105" s="11"/>
      <c r="AN1105" s="11"/>
      <c r="AX1105" s="11"/>
      <c r="BI1105" s="11"/>
      <c r="BT1105" s="11"/>
      <c r="CE1105" s="11"/>
      <c r="CT1105" s="9"/>
      <c r="CU1105" s="9"/>
      <c r="CV1105" s="9"/>
    </row>
    <row r="1106" spans="1:100" ht="15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 s="67"/>
      <c r="N1106" s="67"/>
      <c r="O1106" s="16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C1106" s="11"/>
      <c r="AN1106" s="11"/>
      <c r="AX1106" s="11"/>
      <c r="BI1106" s="11"/>
      <c r="BT1106" s="11"/>
      <c r="CE1106" s="11"/>
      <c r="CT1106" s="9"/>
      <c r="CU1106" s="9"/>
      <c r="CV1106" s="9"/>
    </row>
    <row r="1107" spans="1:100" ht="15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 s="67"/>
      <c r="N1107" s="67"/>
      <c r="O1107" s="16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C1107" s="11"/>
      <c r="AN1107" s="11"/>
      <c r="AX1107" s="11"/>
      <c r="BI1107" s="11"/>
      <c r="BT1107" s="11"/>
      <c r="CE1107" s="11"/>
      <c r="CT1107" s="9"/>
      <c r="CU1107" s="9"/>
      <c r="CV1107" s="9"/>
    </row>
    <row r="1108" spans="1:100" ht="15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 s="67"/>
      <c r="N1108" s="67"/>
      <c r="O1108" s="16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C1108" s="11"/>
      <c r="AN1108" s="11"/>
      <c r="AX1108" s="11"/>
      <c r="BI1108" s="11"/>
      <c r="BT1108" s="11"/>
      <c r="CE1108" s="11"/>
      <c r="CT1108" s="9"/>
      <c r="CU1108" s="9"/>
    </row>
    <row r="1109" spans="1:100" ht="15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 s="67"/>
      <c r="N1109" s="67"/>
      <c r="O1109" s="16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C1109" s="11"/>
      <c r="AN1109" s="11"/>
      <c r="AX1109" s="11"/>
      <c r="BI1109" s="11"/>
      <c r="BT1109" s="11"/>
      <c r="CE1109" s="11"/>
      <c r="CT1109" s="9"/>
      <c r="CU1109" s="9"/>
    </row>
    <row r="1110" spans="1:100" ht="15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 s="67"/>
      <c r="N1110" s="67"/>
      <c r="O1110" s="16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C1110" s="11"/>
      <c r="AN1110" s="11"/>
      <c r="AX1110" s="11"/>
      <c r="BI1110" s="11"/>
      <c r="BT1110" s="11"/>
      <c r="CE1110" s="11"/>
      <c r="CT1110" s="9"/>
      <c r="CU1110" s="9"/>
    </row>
    <row r="1111" spans="1:100" ht="15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 s="67"/>
      <c r="N1111" s="67"/>
      <c r="O1111" s="16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C1111" s="11"/>
      <c r="AN1111" s="11"/>
      <c r="AX1111" s="11"/>
      <c r="BI1111" s="11"/>
      <c r="BT1111" s="11"/>
      <c r="CE1111" s="11"/>
      <c r="CT1111" s="9"/>
      <c r="CU1111" s="9"/>
    </row>
    <row r="1112" spans="1:100" ht="15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 s="67"/>
      <c r="N1112" s="67"/>
      <c r="O1112" s="16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C1112" s="11"/>
      <c r="AN1112" s="11"/>
      <c r="AX1112" s="11"/>
      <c r="BI1112" s="11"/>
      <c r="BT1112" s="11"/>
      <c r="CE1112" s="11"/>
      <c r="CT1112" s="9"/>
      <c r="CU1112" s="9"/>
    </row>
    <row r="1113" spans="1:100" ht="15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 s="67"/>
      <c r="N1113" s="67"/>
      <c r="O1113" s="16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C1113" s="11"/>
      <c r="AN1113" s="11"/>
      <c r="AX1113" s="11"/>
      <c r="BI1113" s="11"/>
      <c r="BT1113" s="11"/>
      <c r="CE1113" s="11"/>
      <c r="CT1113" s="9"/>
      <c r="CU1113" s="9"/>
    </row>
    <row r="1114" spans="1:100" ht="15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 s="67"/>
      <c r="N1114" s="67"/>
      <c r="O1114" s="16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C1114" s="11"/>
      <c r="AN1114" s="11"/>
      <c r="AX1114" s="11"/>
      <c r="BI1114" s="11"/>
      <c r="BT1114" s="11"/>
      <c r="CE1114" s="11"/>
      <c r="CT1114" s="9"/>
      <c r="CU1114" s="9"/>
    </row>
    <row r="1115" spans="1:100" ht="15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 s="67"/>
      <c r="N1115" s="67"/>
      <c r="O1115" s="16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C1115" s="11"/>
      <c r="AN1115" s="11"/>
      <c r="AX1115" s="11"/>
      <c r="BI1115" s="11"/>
      <c r="BT1115" s="11"/>
      <c r="CE1115" s="11"/>
      <c r="CT1115" s="9"/>
      <c r="CU1115" s="9"/>
    </row>
    <row r="1116" spans="1:100" ht="15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 s="67"/>
      <c r="N1116" s="67"/>
      <c r="O1116" s="16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C1116" s="11"/>
      <c r="AN1116" s="11"/>
      <c r="AX1116" s="11"/>
      <c r="BI1116" s="11"/>
      <c r="BT1116" s="11"/>
      <c r="CE1116" s="11"/>
      <c r="CT1116" s="9"/>
      <c r="CU1116" s="9"/>
    </row>
    <row r="1117" spans="1:100" ht="15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 s="67"/>
      <c r="N1117" s="67"/>
      <c r="O1117" s="16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C1117" s="11"/>
      <c r="AN1117" s="11"/>
      <c r="AX1117" s="11"/>
      <c r="BI1117" s="11"/>
      <c r="BT1117" s="11"/>
      <c r="CE1117" s="11"/>
      <c r="CT1117" s="9"/>
      <c r="CU1117" s="9"/>
    </row>
    <row r="1118" spans="1:100" ht="15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 s="67"/>
      <c r="N1118" s="67"/>
      <c r="O1118" s="16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C1118" s="11"/>
      <c r="AN1118" s="11"/>
      <c r="AX1118" s="11"/>
      <c r="BI1118" s="11"/>
      <c r="BT1118" s="11"/>
      <c r="CE1118" s="11"/>
      <c r="CT1118" s="9"/>
      <c r="CU1118" s="9"/>
    </row>
    <row r="1119" spans="1:100" ht="15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 s="67"/>
      <c r="N1119" s="67"/>
      <c r="O1119" s="16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C1119" s="11"/>
      <c r="AN1119" s="11"/>
      <c r="AX1119" s="11"/>
      <c r="BI1119" s="11"/>
      <c r="BT1119" s="11"/>
      <c r="CE1119" s="11"/>
      <c r="CT1119" s="9"/>
      <c r="CU1119" s="9"/>
    </row>
    <row r="1120" spans="1:100" ht="15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 s="67"/>
      <c r="N1120" s="67"/>
      <c r="O1120" s="16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C1120" s="11"/>
      <c r="AN1120" s="11"/>
      <c r="AX1120" s="11"/>
      <c r="BI1120" s="11"/>
      <c r="BT1120" s="11"/>
      <c r="CE1120" s="11"/>
      <c r="CT1120" s="9"/>
      <c r="CU1120" s="9"/>
    </row>
    <row r="1121" spans="1:99" ht="15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 s="67"/>
      <c r="N1121" s="67"/>
      <c r="O1121" s="16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C1121" s="11"/>
      <c r="AN1121" s="11"/>
      <c r="AX1121" s="11"/>
      <c r="BI1121" s="11"/>
      <c r="BT1121" s="11"/>
      <c r="CE1121" s="11"/>
      <c r="CT1121" s="9"/>
      <c r="CU1121" s="9"/>
    </row>
    <row r="1122" spans="1:99" ht="15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 s="67"/>
      <c r="N1122" s="67"/>
      <c r="O1122" s="16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C1122" s="11"/>
      <c r="AN1122" s="11"/>
      <c r="AX1122" s="11"/>
      <c r="BI1122" s="11"/>
      <c r="BT1122" s="11"/>
      <c r="CE1122" s="11"/>
      <c r="CT1122" s="9"/>
      <c r="CU1122" s="9"/>
    </row>
    <row r="1123" spans="1:99" ht="15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 s="67"/>
      <c r="N1123" s="67"/>
      <c r="O1123" s="16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C1123" s="11"/>
      <c r="AN1123" s="11"/>
      <c r="AX1123" s="11"/>
      <c r="BI1123" s="11"/>
      <c r="BT1123" s="11"/>
      <c r="CE1123" s="11"/>
      <c r="CT1123" s="9"/>
      <c r="CU1123" s="9"/>
    </row>
    <row r="1124" spans="1:99" ht="15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 s="67"/>
      <c r="N1124" s="67"/>
      <c r="O1124" s="16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C1124" s="11"/>
      <c r="AN1124" s="11"/>
      <c r="AX1124" s="11"/>
      <c r="BI1124" s="11"/>
      <c r="BT1124" s="11"/>
      <c r="CE1124" s="11"/>
      <c r="CT1124" s="9"/>
      <c r="CU1124" s="9"/>
    </row>
    <row r="1125" spans="1:99" ht="15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 s="67"/>
      <c r="N1125" s="67"/>
      <c r="O1125" s="16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C1125" s="11"/>
      <c r="AN1125" s="11"/>
      <c r="AX1125" s="11"/>
      <c r="BI1125" s="11"/>
      <c r="BT1125" s="11"/>
      <c r="CE1125" s="11"/>
      <c r="CT1125" s="9"/>
      <c r="CU1125" s="9"/>
    </row>
    <row r="1126" spans="1:99" ht="15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 s="67"/>
      <c r="N1126" s="67"/>
      <c r="O1126" s="16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C1126" s="11"/>
      <c r="AN1126" s="11"/>
      <c r="AX1126" s="11"/>
      <c r="BI1126" s="11"/>
      <c r="BT1126" s="11"/>
      <c r="CE1126" s="11"/>
      <c r="CT1126" s="9"/>
      <c r="CU1126" s="9"/>
    </row>
    <row r="1127" spans="1:99" ht="15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 s="67"/>
      <c r="N1127" s="67"/>
      <c r="O1127" s="16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C1127" s="11"/>
      <c r="AN1127" s="11"/>
      <c r="AX1127" s="11"/>
      <c r="BI1127" s="11"/>
      <c r="BT1127" s="11"/>
      <c r="CE1127" s="11"/>
      <c r="CT1127" s="9"/>
      <c r="CU1127" s="9"/>
    </row>
    <row r="1128" spans="1:99" ht="15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 s="67"/>
      <c r="N1128" s="67"/>
      <c r="O1128" s="16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C1128" s="11"/>
      <c r="AN1128" s="11"/>
      <c r="AX1128" s="11"/>
      <c r="BI1128" s="11"/>
      <c r="BT1128" s="11"/>
      <c r="CE1128" s="11"/>
      <c r="CT1128" s="9"/>
      <c r="CU1128" s="9"/>
    </row>
    <row r="1129" spans="1:99" ht="15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 s="67"/>
      <c r="N1129" s="67"/>
      <c r="O1129" s="16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C1129" s="11"/>
      <c r="AN1129" s="11"/>
      <c r="AX1129" s="11"/>
      <c r="BI1129" s="11"/>
      <c r="BT1129" s="11"/>
      <c r="CE1129" s="11"/>
      <c r="CT1129" s="9"/>
      <c r="CU1129" s="9"/>
    </row>
    <row r="1130" spans="1:99" ht="15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 s="67"/>
      <c r="N1130" s="67"/>
      <c r="O1130" s="16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C1130" s="11"/>
      <c r="AN1130" s="11"/>
      <c r="AX1130" s="11"/>
      <c r="BI1130" s="11"/>
      <c r="BT1130" s="11"/>
      <c r="CE1130" s="11"/>
      <c r="CT1130" s="9"/>
      <c r="CU1130" s="9"/>
    </row>
    <row r="1131" spans="1:99" ht="15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 s="67"/>
      <c r="N1131" s="67"/>
      <c r="O1131" s="16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C1131" s="11"/>
      <c r="AN1131" s="11"/>
      <c r="AX1131" s="11"/>
      <c r="BI1131" s="11"/>
      <c r="BT1131" s="11"/>
      <c r="CE1131" s="11"/>
      <c r="CT1131" s="9"/>
      <c r="CU1131" s="9"/>
    </row>
    <row r="1132" spans="1:99" ht="15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 s="67"/>
      <c r="N1132" s="67"/>
      <c r="O1132" s="16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C1132" s="11"/>
      <c r="AN1132" s="11"/>
      <c r="AX1132" s="11"/>
      <c r="BI1132" s="11"/>
      <c r="BT1132" s="11"/>
      <c r="CE1132" s="11"/>
      <c r="CT1132" s="9"/>
      <c r="CU1132" s="9"/>
    </row>
    <row r="1133" spans="1:99" ht="15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 s="67"/>
      <c r="N1133" s="67"/>
      <c r="O1133" s="16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C1133" s="11"/>
      <c r="AN1133" s="11"/>
      <c r="AX1133" s="11"/>
      <c r="BI1133" s="11"/>
      <c r="BT1133" s="11"/>
      <c r="CE1133" s="11"/>
      <c r="CT1133" s="9"/>
      <c r="CU1133" s="9"/>
    </row>
    <row r="1134" spans="1:99" ht="15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 s="67"/>
      <c r="N1134" s="67"/>
      <c r="O1134" s="16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C1134" s="11"/>
      <c r="AN1134" s="11"/>
      <c r="AX1134" s="11"/>
      <c r="BI1134" s="11"/>
      <c r="BT1134" s="11"/>
      <c r="CE1134" s="11"/>
      <c r="CT1134" s="9"/>
      <c r="CU1134" s="9"/>
    </row>
    <row r="1135" spans="1:99" ht="15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 s="67"/>
      <c r="N1135" s="67"/>
      <c r="O1135" s="16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C1135" s="11"/>
      <c r="AN1135" s="11"/>
      <c r="AX1135" s="11"/>
      <c r="BI1135" s="11"/>
      <c r="BT1135" s="11"/>
      <c r="CE1135" s="11"/>
      <c r="CT1135" s="9"/>
      <c r="CU1135" s="9"/>
    </row>
    <row r="1136" spans="1:99" ht="15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 s="67"/>
      <c r="N1136" s="67"/>
      <c r="O1136" s="16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C1136" s="11"/>
      <c r="AN1136" s="11"/>
      <c r="AX1136" s="11"/>
      <c r="BI1136" s="11"/>
      <c r="BT1136" s="11"/>
      <c r="CE1136" s="11"/>
      <c r="CT1136" s="9"/>
      <c r="CU1136" s="9"/>
    </row>
    <row r="1137" spans="1:99" ht="15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 s="67"/>
      <c r="N1137" s="67"/>
      <c r="O1137" s="16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C1137" s="11"/>
      <c r="AN1137" s="11"/>
      <c r="AX1137" s="11"/>
      <c r="BI1137" s="11"/>
      <c r="BT1137" s="11"/>
      <c r="CE1137" s="11"/>
      <c r="CT1137" s="9"/>
      <c r="CU1137" s="9"/>
    </row>
    <row r="1138" spans="1:99" ht="15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 s="67"/>
      <c r="N1138" s="67"/>
      <c r="O1138" s="16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C1138" s="11"/>
      <c r="AN1138" s="11"/>
      <c r="AX1138" s="11"/>
      <c r="BI1138" s="11"/>
      <c r="BT1138" s="11"/>
      <c r="CE1138" s="11"/>
      <c r="CT1138" s="9"/>
      <c r="CU1138" s="9"/>
    </row>
    <row r="1139" spans="1:99" ht="15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 s="67"/>
      <c r="N1139" s="67"/>
      <c r="O1139" s="16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C1139" s="11"/>
      <c r="AN1139" s="11"/>
      <c r="AX1139" s="11"/>
      <c r="BI1139" s="11"/>
      <c r="BT1139" s="11"/>
      <c r="CE1139" s="11"/>
      <c r="CT1139" s="9"/>
      <c r="CU1139" s="9"/>
    </row>
    <row r="1140" spans="1:99" ht="15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 s="67"/>
      <c r="N1140" s="67"/>
      <c r="O1140" s="16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C1140" s="11"/>
      <c r="AN1140" s="11"/>
      <c r="AX1140" s="11"/>
      <c r="BI1140" s="11"/>
      <c r="BT1140" s="11"/>
      <c r="CE1140" s="11"/>
      <c r="CT1140" s="9"/>
      <c r="CU1140" s="9"/>
    </row>
    <row r="1141" spans="1:99" ht="15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 s="67"/>
      <c r="N1141" s="67"/>
      <c r="O1141" s="16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C1141" s="11"/>
      <c r="AN1141" s="11"/>
      <c r="AX1141" s="11"/>
      <c r="BI1141" s="11"/>
      <c r="BT1141" s="11"/>
      <c r="CE1141" s="11"/>
      <c r="CT1141" s="9"/>
      <c r="CU1141" s="9"/>
    </row>
    <row r="1142" spans="1:99" ht="15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 s="67"/>
      <c r="N1142" s="67"/>
      <c r="O1142" s="16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C1142" s="11"/>
      <c r="AN1142" s="11"/>
      <c r="AX1142" s="11"/>
      <c r="BI1142" s="11"/>
      <c r="BT1142" s="11"/>
      <c r="CE1142" s="11"/>
      <c r="CT1142" s="9"/>
      <c r="CU1142" s="9"/>
    </row>
    <row r="1143" spans="1:99" ht="15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 s="67"/>
      <c r="N1143" s="67"/>
      <c r="O1143" s="16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C1143" s="11"/>
      <c r="AN1143" s="11"/>
      <c r="AX1143" s="11"/>
      <c r="BI1143" s="11"/>
      <c r="BT1143" s="11"/>
      <c r="CE1143" s="11"/>
      <c r="CT1143" s="9"/>
      <c r="CU1143" s="9"/>
    </row>
    <row r="1144" spans="1:99" ht="15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 s="67"/>
      <c r="N1144" s="67"/>
      <c r="O1144" s="16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C1144" s="11"/>
      <c r="AN1144" s="11"/>
      <c r="AX1144" s="11"/>
      <c r="BI1144" s="11"/>
      <c r="BT1144" s="11"/>
      <c r="CE1144" s="11"/>
      <c r="CT1144" s="9"/>
      <c r="CU1144" s="9"/>
    </row>
    <row r="1145" spans="1:99" ht="15" x14ac:dyDescent="0.25">
      <c r="A1145" s="66"/>
      <c r="B1145" s="66"/>
      <c r="C1145" s="67"/>
      <c r="D1145" s="67"/>
      <c r="E1145" s="67"/>
      <c r="F1145" s="67"/>
      <c r="G1145" s="67"/>
      <c r="H1145" s="67"/>
      <c r="I1145" s="67"/>
      <c r="J1145" s="67"/>
      <c r="K1145" s="67"/>
      <c r="L1145" s="67"/>
      <c r="M1145" s="67"/>
      <c r="N1145" s="67"/>
      <c r="O1145" s="16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C1145" s="11"/>
      <c r="AN1145" s="11"/>
      <c r="AX1145" s="11"/>
      <c r="BI1145" s="11"/>
      <c r="BT1145" s="11"/>
      <c r="CE1145" s="11"/>
      <c r="CT1145" s="9"/>
      <c r="CU1145" s="9"/>
    </row>
    <row r="1146" spans="1:99" ht="15" x14ac:dyDescent="0.25">
      <c r="A1146" s="66"/>
      <c r="B1146" s="66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16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C1146" s="11"/>
      <c r="AN1146" s="11"/>
      <c r="AX1146" s="11"/>
      <c r="BI1146" s="11"/>
      <c r="BT1146" s="11"/>
      <c r="CE1146" s="11"/>
      <c r="CT1146" s="9"/>
      <c r="CU1146" s="9"/>
    </row>
    <row r="1147" spans="1:99" ht="15" x14ac:dyDescent="0.25">
      <c r="A1147" s="66"/>
      <c r="B1147" s="66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16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C1147" s="11"/>
      <c r="AN1147" s="11"/>
      <c r="AX1147" s="11"/>
      <c r="BI1147" s="11"/>
      <c r="BT1147" s="11"/>
      <c r="CE1147" s="11"/>
      <c r="CT1147" s="9"/>
      <c r="CU1147" s="9"/>
    </row>
    <row r="1148" spans="1:99" ht="15" x14ac:dyDescent="0.25">
      <c r="A1148" s="66"/>
      <c r="B1148" s="66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16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C1148" s="11"/>
      <c r="AN1148" s="11"/>
      <c r="AX1148" s="11"/>
      <c r="BI1148" s="11"/>
      <c r="BT1148" s="11"/>
      <c r="CE1148" s="11"/>
      <c r="CT1148" s="9"/>
      <c r="CU1148" s="9"/>
    </row>
    <row r="1149" spans="1:99" ht="15" x14ac:dyDescent="0.25">
      <c r="A1149" s="66"/>
      <c r="B1149" s="66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16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C1149" s="11"/>
      <c r="AN1149" s="11"/>
      <c r="AX1149" s="11"/>
      <c r="BI1149" s="11"/>
      <c r="BT1149" s="11"/>
      <c r="CE1149" s="11"/>
      <c r="CT1149" s="9"/>
      <c r="CU1149" s="9"/>
    </row>
    <row r="1150" spans="1:99" ht="15" x14ac:dyDescent="0.25">
      <c r="A1150" s="66"/>
      <c r="B1150" s="66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16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C1150" s="11"/>
      <c r="AN1150" s="11"/>
      <c r="AX1150" s="11"/>
      <c r="BI1150" s="11"/>
      <c r="BT1150" s="11"/>
      <c r="CE1150" s="11"/>
      <c r="CT1150" s="9"/>
      <c r="CU1150" s="9"/>
    </row>
    <row r="1151" spans="1:99" ht="15" x14ac:dyDescent="0.25">
      <c r="A1151" s="66"/>
      <c r="B1151" s="66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16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C1151" s="11"/>
      <c r="AN1151" s="11"/>
      <c r="AX1151" s="11"/>
      <c r="BI1151" s="11"/>
      <c r="BT1151" s="11"/>
      <c r="CE1151" s="11"/>
      <c r="CT1151" s="9"/>
      <c r="CU1151" s="9"/>
    </row>
    <row r="1152" spans="1:99" ht="15" x14ac:dyDescent="0.25">
      <c r="A1152" s="66"/>
      <c r="B1152" s="66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16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C1152" s="11"/>
      <c r="AN1152" s="11"/>
      <c r="AX1152" s="11"/>
      <c r="BI1152" s="11"/>
      <c r="BT1152" s="11"/>
      <c r="CE1152" s="11"/>
      <c r="CT1152" s="9"/>
      <c r="CU1152" s="9"/>
    </row>
    <row r="1153" spans="1:99" ht="15" x14ac:dyDescent="0.25">
      <c r="A1153" s="66"/>
      <c r="B1153" s="66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16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C1153" s="11"/>
      <c r="AN1153" s="11"/>
      <c r="AX1153" s="11"/>
      <c r="BI1153" s="11"/>
      <c r="BT1153" s="11"/>
      <c r="CE1153" s="11"/>
      <c r="CT1153" s="9"/>
      <c r="CU1153" s="9"/>
    </row>
    <row r="1154" spans="1:99" ht="15" x14ac:dyDescent="0.25">
      <c r="A1154" s="66"/>
      <c r="B1154" s="66"/>
      <c r="C1154" s="67"/>
      <c r="D1154" s="67"/>
      <c r="E1154" s="67"/>
      <c r="F1154" s="67"/>
      <c r="G1154" s="67"/>
      <c r="H1154" s="67"/>
      <c r="I1154" s="67"/>
      <c r="J1154" s="67"/>
      <c r="K1154" s="67"/>
      <c r="L1154" s="67"/>
      <c r="M1154" s="67"/>
      <c r="N1154" s="67"/>
      <c r="O1154" s="16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C1154" s="11"/>
      <c r="AN1154" s="11"/>
      <c r="AX1154" s="11"/>
      <c r="BI1154" s="11"/>
      <c r="BT1154" s="11"/>
      <c r="CE1154" s="11"/>
      <c r="CT1154" s="9"/>
      <c r="CU1154" s="9"/>
    </row>
    <row r="1155" spans="1:99" ht="15" x14ac:dyDescent="0.25">
      <c r="A1155" s="66"/>
      <c r="B1155" s="66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16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C1155" s="11"/>
      <c r="AN1155" s="11"/>
      <c r="AX1155" s="11"/>
      <c r="BI1155" s="11"/>
      <c r="BT1155" s="11"/>
      <c r="CE1155" s="11"/>
      <c r="CT1155" s="9"/>
      <c r="CU1155" s="9"/>
    </row>
    <row r="1156" spans="1:99" ht="15" x14ac:dyDescent="0.25">
      <c r="A1156" s="66"/>
      <c r="B1156" s="66"/>
      <c r="C1156" s="67"/>
      <c r="D1156" s="67"/>
      <c r="E1156" s="67"/>
      <c r="F1156" s="67"/>
      <c r="G1156" s="67"/>
      <c r="H1156" s="67"/>
      <c r="I1156" s="67"/>
      <c r="J1156" s="67"/>
      <c r="K1156" s="67"/>
      <c r="L1156" s="67"/>
      <c r="M1156" s="67"/>
      <c r="N1156" s="67"/>
      <c r="O1156" s="16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C1156" s="11"/>
      <c r="AN1156" s="11"/>
      <c r="AX1156" s="11"/>
      <c r="BI1156" s="11"/>
      <c r="BT1156" s="11"/>
      <c r="CE1156" s="11"/>
      <c r="CT1156" s="9"/>
      <c r="CU1156" s="9"/>
    </row>
    <row r="1157" spans="1:99" ht="15" x14ac:dyDescent="0.25">
      <c r="A1157" s="66"/>
      <c r="B1157" s="66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16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C1157" s="11"/>
      <c r="AN1157" s="11"/>
      <c r="AX1157" s="11"/>
      <c r="BI1157" s="11"/>
      <c r="BT1157" s="11"/>
      <c r="CE1157" s="11"/>
      <c r="CT1157" s="9"/>
      <c r="CU1157" s="9"/>
    </row>
    <row r="1158" spans="1:99" ht="15" x14ac:dyDescent="0.25">
      <c r="A1158" s="66"/>
      <c r="B1158" s="66"/>
      <c r="C1158" s="67"/>
      <c r="D1158" s="67"/>
      <c r="E1158" s="67"/>
      <c r="F1158" s="67"/>
      <c r="G1158" s="67"/>
      <c r="H1158" s="67"/>
      <c r="I1158" s="67"/>
      <c r="J1158" s="67"/>
      <c r="K1158" s="67"/>
      <c r="L1158" s="67"/>
      <c r="M1158" s="67"/>
      <c r="N1158" s="67"/>
      <c r="O1158" s="16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C1158" s="11"/>
      <c r="AN1158" s="11"/>
      <c r="AX1158" s="11"/>
      <c r="BI1158" s="11"/>
      <c r="BT1158" s="11"/>
      <c r="CE1158" s="11"/>
      <c r="CT1158" s="9"/>
      <c r="CU1158" s="9"/>
    </row>
    <row r="1159" spans="1:99" ht="15" x14ac:dyDescent="0.25">
      <c r="A1159" s="66"/>
      <c r="B1159" s="66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16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C1159" s="11"/>
      <c r="AN1159" s="11"/>
      <c r="AX1159" s="11"/>
      <c r="BI1159" s="11"/>
      <c r="BT1159" s="11"/>
      <c r="CE1159" s="11"/>
      <c r="CT1159" s="9"/>
      <c r="CU1159" s="9"/>
    </row>
    <row r="1160" spans="1:99" ht="15" x14ac:dyDescent="0.25">
      <c r="A1160" s="66"/>
      <c r="B1160" s="66"/>
      <c r="C1160" s="67"/>
      <c r="D1160" s="67"/>
      <c r="E1160" s="67"/>
      <c r="F1160" s="67"/>
      <c r="G1160" s="67"/>
      <c r="H1160" s="67"/>
      <c r="I1160" s="67"/>
      <c r="J1160" s="67"/>
      <c r="K1160" s="67"/>
      <c r="L1160" s="67"/>
      <c r="M1160" s="67"/>
      <c r="N1160" s="67"/>
      <c r="O1160" s="16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C1160" s="11"/>
      <c r="AN1160" s="11"/>
      <c r="AX1160" s="11"/>
      <c r="BI1160" s="11"/>
      <c r="BT1160" s="11"/>
      <c r="CE1160" s="11"/>
      <c r="CT1160" s="9"/>
      <c r="CU1160" s="9"/>
    </row>
    <row r="1161" spans="1:99" ht="15" x14ac:dyDescent="0.25">
      <c r="A1161" s="66"/>
      <c r="B1161" s="66"/>
      <c r="C1161" s="67"/>
      <c r="D1161" s="67"/>
      <c r="E1161" s="67"/>
      <c r="F1161" s="67"/>
      <c r="G1161" s="67"/>
      <c r="H1161" s="67"/>
      <c r="I1161" s="67"/>
      <c r="J1161" s="67"/>
      <c r="K1161" s="67"/>
      <c r="L1161" s="67"/>
      <c r="M1161" s="67"/>
      <c r="N1161" s="67"/>
      <c r="O1161" s="16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C1161" s="11"/>
      <c r="AN1161" s="11"/>
      <c r="AX1161" s="11"/>
      <c r="BI1161" s="11"/>
      <c r="BT1161" s="11"/>
      <c r="CE1161" s="11"/>
      <c r="CT1161" s="9"/>
      <c r="CU1161" s="9"/>
    </row>
    <row r="1162" spans="1:99" ht="15" x14ac:dyDescent="0.25">
      <c r="A1162" s="66"/>
      <c r="B1162" s="66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16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C1162" s="11"/>
      <c r="AN1162" s="11"/>
      <c r="AX1162" s="11"/>
      <c r="BI1162" s="11"/>
      <c r="BT1162" s="11"/>
      <c r="CE1162" s="11"/>
      <c r="CT1162" s="9"/>
      <c r="CU1162" s="9"/>
    </row>
    <row r="1163" spans="1:99" ht="15" x14ac:dyDescent="0.25">
      <c r="A1163" s="66"/>
      <c r="B1163" s="66"/>
      <c r="C1163" s="67"/>
      <c r="D1163" s="67"/>
      <c r="E1163" s="67"/>
      <c r="F1163" s="67"/>
      <c r="G1163" s="67"/>
      <c r="H1163" s="67"/>
      <c r="I1163" s="67"/>
      <c r="J1163" s="67"/>
      <c r="K1163" s="67"/>
      <c r="L1163" s="67"/>
      <c r="M1163" s="67"/>
      <c r="N1163" s="67"/>
      <c r="O1163" s="16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C1163" s="11"/>
      <c r="AN1163" s="11"/>
      <c r="AX1163" s="11"/>
      <c r="BI1163" s="11"/>
      <c r="BT1163" s="11"/>
      <c r="CE1163" s="11"/>
      <c r="CT1163" s="9"/>
      <c r="CU1163" s="9"/>
    </row>
    <row r="1164" spans="1:99" ht="15" x14ac:dyDescent="0.25">
      <c r="A1164" s="66"/>
      <c r="B1164" s="66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16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C1164" s="11"/>
      <c r="AN1164" s="11"/>
      <c r="AX1164" s="11"/>
      <c r="BI1164" s="11"/>
      <c r="BT1164" s="11"/>
      <c r="CE1164" s="11"/>
      <c r="CT1164" s="9"/>
      <c r="CU1164" s="9"/>
    </row>
    <row r="1165" spans="1:99" ht="15" x14ac:dyDescent="0.25">
      <c r="A1165" s="66"/>
      <c r="B1165" s="66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16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C1165" s="11"/>
      <c r="AN1165" s="11"/>
      <c r="AX1165" s="11"/>
      <c r="BI1165" s="11"/>
      <c r="BT1165" s="11"/>
      <c r="CE1165" s="11"/>
      <c r="CT1165" s="9"/>
      <c r="CU1165" s="9"/>
    </row>
    <row r="1166" spans="1:99" ht="15" x14ac:dyDescent="0.25">
      <c r="A1166" s="66"/>
      <c r="B1166" s="66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16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C1166" s="11"/>
      <c r="AN1166" s="11"/>
      <c r="AX1166" s="11"/>
      <c r="BI1166" s="11"/>
      <c r="BT1166" s="11"/>
      <c r="CE1166" s="11"/>
      <c r="CT1166" s="9"/>
      <c r="CU1166" s="9"/>
    </row>
    <row r="1167" spans="1:99" ht="15" x14ac:dyDescent="0.25">
      <c r="A1167" s="66"/>
      <c r="B1167" s="66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16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C1167" s="11"/>
      <c r="AN1167" s="11"/>
      <c r="AX1167" s="11"/>
      <c r="BI1167" s="11"/>
      <c r="BT1167" s="11"/>
      <c r="CE1167" s="11"/>
      <c r="CT1167" s="9"/>
      <c r="CU1167" s="9"/>
    </row>
    <row r="1168" spans="1:99" ht="15" x14ac:dyDescent="0.25">
      <c r="A1168" s="66"/>
      <c r="B1168" s="66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16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C1168" s="11"/>
      <c r="AN1168" s="11"/>
      <c r="AX1168" s="11"/>
      <c r="BI1168" s="11"/>
      <c r="BT1168" s="11"/>
      <c r="CE1168" s="11"/>
      <c r="CT1168" s="9"/>
      <c r="CU1168" s="9"/>
    </row>
    <row r="1169" spans="1:99" ht="15" x14ac:dyDescent="0.25">
      <c r="A1169" s="66"/>
      <c r="B1169" s="66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16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C1169" s="11"/>
      <c r="AN1169" s="11"/>
      <c r="AX1169" s="11"/>
      <c r="BI1169" s="11"/>
      <c r="BT1169" s="11"/>
      <c r="CE1169" s="11"/>
      <c r="CT1169" s="9"/>
      <c r="CU1169" s="9"/>
    </row>
    <row r="1170" spans="1:99" ht="15" x14ac:dyDescent="0.25">
      <c r="A1170" s="66"/>
      <c r="B1170" s="66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16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C1170" s="11"/>
      <c r="AN1170" s="11"/>
      <c r="AX1170" s="11"/>
      <c r="BI1170" s="11"/>
      <c r="BT1170" s="11"/>
      <c r="CE1170" s="11"/>
      <c r="CT1170" s="9"/>
      <c r="CU1170" s="9"/>
    </row>
    <row r="1171" spans="1:99" ht="15" x14ac:dyDescent="0.25">
      <c r="A1171" s="66"/>
      <c r="B1171" s="66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16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C1171" s="11"/>
      <c r="AN1171" s="11"/>
      <c r="AX1171" s="11"/>
      <c r="BI1171" s="11"/>
      <c r="BT1171" s="11"/>
      <c r="CE1171" s="11"/>
      <c r="CT1171" s="9"/>
      <c r="CU1171" s="9"/>
    </row>
    <row r="1172" spans="1:99" ht="15" x14ac:dyDescent="0.25">
      <c r="A1172" s="66"/>
      <c r="B1172" s="66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16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C1172" s="11"/>
      <c r="AN1172" s="11"/>
      <c r="AX1172" s="11"/>
      <c r="BI1172" s="11"/>
      <c r="BT1172" s="11"/>
      <c r="CE1172" s="11"/>
      <c r="CT1172" s="9"/>
      <c r="CU1172" s="9"/>
    </row>
    <row r="1173" spans="1:99" ht="15" x14ac:dyDescent="0.25">
      <c r="A1173" s="66"/>
      <c r="B1173" s="66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16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C1173" s="11"/>
      <c r="AN1173" s="11"/>
      <c r="AX1173" s="11"/>
      <c r="BI1173" s="11"/>
      <c r="BT1173" s="11"/>
      <c r="CE1173" s="11"/>
      <c r="CT1173" s="9"/>
      <c r="CU1173" s="9"/>
    </row>
    <row r="1174" spans="1:99" ht="15" x14ac:dyDescent="0.25">
      <c r="A1174" s="66"/>
      <c r="B1174" s="66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16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C1174" s="11"/>
      <c r="AN1174" s="11"/>
      <c r="AX1174" s="11"/>
      <c r="BI1174" s="11"/>
      <c r="BT1174" s="11"/>
      <c r="CE1174" s="11"/>
      <c r="CT1174" s="9"/>
      <c r="CU1174" s="9"/>
    </row>
    <row r="1175" spans="1:99" ht="15" x14ac:dyDescent="0.25">
      <c r="A1175" s="66"/>
      <c r="B1175" s="66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16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C1175" s="11"/>
      <c r="AN1175" s="11"/>
      <c r="AX1175" s="11"/>
      <c r="BI1175" s="11"/>
      <c r="BT1175" s="11"/>
      <c r="CE1175" s="11"/>
      <c r="CT1175" s="9"/>
      <c r="CU1175" s="9"/>
    </row>
    <row r="1176" spans="1:99" ht="15" x14ac:dyDescent="0.25">
      <c r="A1176" s="66"/>
      <c r="B1176" s="66"/>
      <c r="C1176" s="67"/>
      <c r="D1176" s="67"/>
      <c r="E1176" s="67"/>
      <c r="F1176" s="67"/>
      <c r="G1176" s="67"/>
      <c r="H1176" s="67"/>
      <c r="I1176" s="67"/>
      <c r="J1176" s="67"/>
      <c r="K1176" s="67"/>
      <c r="L1176" s="67"/>
      <c r="M1176" s="67"/>
      <c r="N1176" s="67"/>
      <c r="O1176" s="16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C1176" s="11"/>
      <c r="AN1176" s="11"/>
      <c r="AX1176" s="11"/>
      <c r="BI1176" s="11"/>
      <c r="BT1176" s="11"/>
      <c r="CE1176" s="11"/>
      <c r="CT1176" s="9"/>
      <c r="CU1176" s="9"/>
    </row>
    <row r="1177" spans="1:99" ht="15" x14ac:dyDescent="0.25">
      <c r="A1177" s="66"/>
      <c r="B1177" s="66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16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C1177" s="11"/>
      <c r="AN1177" s="11"/>
      <c r="AX1177" s="11"/>
      <c r="BI1177" s="11"/>
      <c r="BT1177" s="11"/>
      <c r="CE1177" s="11"/>
      <c r="CT1177" s="9"/>
      <c r="CU1177" s="9"/>
    </row>
    <row r="1178" spans="1:99" ht="15" x14ac:dyDescent="0.25">
      <c r="A1178" s="66"/>
      <c r="B1178" s="66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16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C1178" s="11"/>
      <c r="AN1178" s="11"/>
      <c r="AX1178" s="11"/>
      <c r="BI1178" s="11"/>
      <c r="BT1178" s="11"/>
      <c r="CE1178" s="11"/>
      <c r="CT1178" s="9"/>
      <c r="CU1178" s="9"/>
    </row>
    <row r="1179" spans="1:99" ht="15" x14ac:dyDescent="0.25">
      <c r="A1179" s="66"/>
      <c r="B1179" s="66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16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C1179" s="11"/>
      <c r="AN1179" s="11"/>
      <c r="AX1179" s="11"/>
      <c r="BI1179" s="11"/>
      <c r="BT1179" s="11"/>
      <c r="CE1179" s="11"/>
      <c r="CT1179" s="9"/>
      <c r="CU1179" s="9"/>
    </row>
    <row r="1180" spans="1:99" ht="15" x14ac:dyDescent="0.25">
      <c r="A1180" s="66"/>
      <c r="B1180" s="66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16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C1180" s="11"/>
      <c r="AN1180" s="11"/>
      <c r="AX1180" s="11"/>
      <c r="BI1180" s="11"/>
      <c r="BT1180" s="11"/>
      <c r="CE1180" s="11"/>
      <c r="CT1180" s="9"/>
      <c r="CU1180" s="9"/>
    </row>
    <row r="1181" spans="1:99" ht="15" x14ac:dyDescent="0.25">
      <c r="A1181" s="66"/>
      <c r="B1181" s="66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16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C1181" s="11"/>
      <c r="AN1181" s="11"/>
      <c r="AX1181" s="11"/>
      <c r="BI1181" s="11"/>
      <c r="BT1181" s="11"/>
      <c r="CE1181" s="11"/>
      <c r="CT1181" s="9"/>
      <c r="CU1181" s="9"/>
    </row>
    <row r="1182" spans="1:99" ht="15" x14ac:dyDescent="0.25">
      <c r="A1182" s="66"/>
      <c r="B1182" s="66"/>
      <c r="C1182" s="67"/>
      <c r="D1182" s="67"/>
      <c r="E1182" s="67"/>
      <c r="F1182" s="67"/>
      <c r="G1182" s="67"/>
      <c r="H1182" s="67"/>
      <c r="I1182" s="67"/>
      <c r="J1182" s="67"/>
      <c r="K1182" s="67"/>
      <c r="L1182" s="67"/>
      <c r="M1182" s="67"/>
      <c r="N1182" s="67"/>
      <c r="O1182" s="16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C1182" s="11"/>
      <c r="AN1182" s="11"/>
      <c r="AX1182" s="11"/>
      <c r="BI1182" s="11"/>
      <c r="BT1182" s="11"/>
      <c r="CE1182" s="11"/>
      <c r="CT1182" s="9"/>
      <c r="CU1182" s="9"/>
    </row>
    <row r="1183" spans="1:99" ht="15" x14ac:dyDescent="0.25">
      <c r="A1183" s="66"/>
      <c r="B1183" s="66"/>
      <c r="C1183" s="67"/>
      <c r="D1183" s="67"/>
      <c r="E1183" s="67"/>
      <c r="F1183" s="67"/>
      <c r="G1183" s="67"/>
      <c r="H1183" s="67"/>
      <c r="I1183" s="67"/>
      <c r="J1183" s="67"/>
      <c r="K1183" s="67"/>
      <c r="L1183" s="67"/>
      <c r="M1183" s="67"/>
      <c r="N1183" s="67"/>
      <c r="O1183" s="16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C1183" s="11"/>
      <c r="AN1183" s="11"/>
      <c r="AX1183" s="11"/>
      <c r="BI1183" s="11"/>
      <c r="BT1183" s="11"/>
      <c r="CE1183" s="11"/>
      <c r="CT1183" s="9"/>
      <c r="CU1183" s="9"/>
    </row>
    <row r="1184" spans="1:99" ht="15" x14ac:dyDescent="0.25">
      <c r="A1184" s="66"/>
      <c r="B1184" s="66"/>
      <c r="C1184" s="67"/>
      <c r="D1184" s="67"/>
      <c r="E1184" s="67"/>
      <c r="F1184" s="67"/>
      <c r="G1184" s="67"/>
      <c r="H1184" s="67"/>
      <c r="I1184" s="67"/>
      <c r="J1184" s="67"/>
      <c r="K1184" s="67"/>
      <c r="L1184" s="67"/>
      <c r="M1184" s="67"/>
      <c r="N1184" s="67"/>
      <c r="O1184" s="16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C1184" s="11"/>
      <c r="AN1184" s="11"/>
      <c r="AX1184" s="11"/>
      <c r="BI1184" s="11"/>
      <c r="BT1184" s="11"/>
      <c r="CE1184" s="11"/>
      <c r="CT1184" s="9"/>
      <c r="CU1184" s="9"/>
    </row>
    <row r="1185" spans="1:99" ht="15" x14ac:dyDescent="0.25">
      <c r="A1185" s="66"/>
      <c r="B1185" s="66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16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C1185" s="11"/>
      <c r="AN1185" s="11"/>
      <c r="AX1185" s="11"/>
      <c r="BI1185" s="11"/>
      <c r="BT1185" s="11"/>
      <c r="CE1185" s="11"/>
      <c r="CT1185" s="9"/>
      <c r="CU1185" s="9"/>
    </row>
    <row r="1186" spans="1:99" ht="15" x14ac:dyDescent="0.25">
      <c r="A1186" s="66"/>
      <c r="B1186" s="66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16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C1186" s="11"/>
      <c r="AN1186" s="11"/>
      <c r="AX1186" s="11"/>
      <c r="BI1186" s="11"/>
      <c r="BT1186" s="11"/>
      <c r="CE1186" s="11"/>
      <c r="CT1186" s="9"/>
      <c r="CU1186" s="9"/>
    </row>
    <row r="1187" spans="1:99" ht="15" x14ac:dyDescent="0.25">
      <c r="A1187" s="66"/>
      <c r="B1187" s="66"/>
      <c r="C1187" s="67"/>
      <c r="D1187" s="67"/>
      <c r="E1187" s="67"/>
      <c r="F1187" s="67"/>
      <c r="G1187" s="67"/>
      <c r="H1187" s="67"/>
      <c r="I1187" s="67"/>
      <c r="J1187" s="67"/>
      <c r="K1187" s="67"/>
      <c r="L1187" s="67"/>
      <c r="M1187" s="67"/>
      <c r="N1187" s="67"/>
      <c r="O1187" s="16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C1187" s="11"/>
      <c r="AN1187" s="11"/>
      <c r="AX1187" s="11"/>
      <c r="BI1187" s="11"/>
      <c r="BT1187" s="11"/>
      <c r="CE1187" s="11"/>
      <c r="CT1187" s="9"/>
      <c r="CU1187" s="9"/>
    </row>
    <row r="1188" spans="1:99" ht="15" x14ac:dyDescent="0.25">
      <c r="A1188" s="66"/>
      <c r="B1188" s="66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16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C1188" s="11"/>
      <c r="AN1188" s="11"/>
      <c r="AX1188" s="11"/>
      <c r="BI1188" s="11"/>
      <c r="BT1188" s="11"/>
      <c r="CE1188" s="11"/>
      <c r="CT1188" s="9"/>
      <c r="CU1188" s="9"/>
    </row>
    <row r="1189" spans="1:99" ht="15" x14ac:dyDescent="0.25">
      <c r="A1189" s="66"/>
      <c r="B1189" s="66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16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C1189" s="11"/>
      <c r="AN1189" s="11"/>
      <c r="AX1189" s="11"/>
      <c r="BI1189" s="11"/>
      <c r="BT1189" s="11"/>
      <c r="CE1189" s="11"/>
      <c r="CT1189" s="9"/>
      <c r="CU1189" s="9"/>
    </row>
    <row r="1190" spans="1:99" ht="15" x14ac:dyDescent="0.25">
      <c r="A1190" s="66"/>
      <c r="B1190" s="66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16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C1190" s="11"/>
      <c r="AN1190" s="11"/>
      <c r="AX1190" s="11"/>
      <c r="BI1190" s="11"/>
      <c r="BT1190" s="11"/>
      <c r="CE1190" s="11"/>
      <c r="CT1190" s="9"/>
      <c r="CU1190" s="9"/>
    </row>
    <row r="1191" spans="1:99" ht="15" x14ac:dyDescent="0.25">
      <c r="A1191" s="66"/>
      <c r="B1191" s="66"/>
      <c r="C1191" s="67"/>
      <c r="D1191" s="67"/>
      <c r="E1191" s="67"/>
      <c r="F1191" s="67"/>
      <c r="G1191" s="67"/>
      <c r="H1191" s="67"/>
      <c r="I1191" s="67"/>
      <c r="J1191" s="67"/>
      <c r="K1191" s="67"/>
      <c r="L1191" s="67"/>
      <c r="M1191" s="67"/>
      <c r="N1191" s="67"/>
      <c r="O1191" s="16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C1191" s="11"/>
      <c r="AN1191" s="11"/>
      <c r="AX1191" s="11"/>
      <c r="BI1191" s="11"/>
      <c r="BT1191" s="11"/>
      <c r="CE1191" s="11"/>
      <c r="CT1191" s="9"/>
      <c r="CU1191" s="9"/>
    </row>
    <row r="1192" spans="1:99" ht="15" x14ac:dyDescent="0.25">
      <c r="A1192" s="66"/>
      <c r="B1192" s="66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16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C1192" s="11"/>
      <c r="AN1192" s="11"/>
      <c r="AX1192" s="11"/>
      <c r="BI1192" s="11"/>
      <c r="BT1192" s="11"/>
      <c r="CE1192" s="11"/>
      <c r="CT1192" s="9"/>
      <c r="CU1192" s="9"/>
    </row>
    <row r="1193" spans="1:99" ht="15" x14ac:dyDescent="0.25">
      <c r="A1193" s="66"/>
      <c r="B1193" s="66"/>
      <c r="C1193" s="67"/>
      <c r="D1193" s="67"/>
      <c r="E1193" s="67"/>
      <c r="F1193" s="67"/>
      <c r="G1193" s="67"/>
      <c r="H1193" s="67"/>
      <c r="I1193" s="67"/>
      <c r="J1193" s="67"/>
      <c r="K1193" s="67"/>
      <c r="L1193" s="67"/>
      <c r="M1193" s="67"/>
      <c r="N1193" s="67"/>
      <c r="O1193" s="16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C1193" s="11"/>
      <c r="AN1193" s="11"/>
      <c r="AX1193" s="11"/>
      <c r="BI1193" s="11"/>
      <c r="BT1193" s="11"/>
      <c r="CE1193" s="11"/>
      <c r="CT1193" s="9"/>
      <c r="CU1193" s="9"/>
    </row>
    <row r="1194" spans="1:99" ht="15" x14ac:dyDescent="0.25">
      <c r="A1194" s="66"/>
      <c r="B1194" s="66"/>
      <c r="C1194" s="67"/>
      <c r="D1194" s="67"/>
      <c r="E1194" s="67"/>
      <c r="F1194" s="67"/>
      <c r="G1194" s="67"/>
      <c r="H1194" s="67"/>
      <c r="I1194" s="67"/>
      <c r="J1194" s="67"/>
      <c r="K1194" s="67"/>
      <c r="L1194" s="67"/>
      <c r="M1194" s="67"/>
      <c r="N1194" s="67"/>
      <c r="O1194" s="16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C1194" s="11"/>
      <c r="AN1194" s="11"/>
      <c r="AX1194" s="11"/>
      <c r="BI1194" s="11"/>
      <c r="BT1194" s="11"/>
      <c r="CE1194" s="11"/>
      <c r="CT1194" s="9"/>
      <c r="CU1194" s="9"/>
    </row>
    <row r="1195" spans="1:99" ht="15" x14ac:dyDescent="0.25">
      <c r="A1195" s="66"/>
      <c r="B1195" s="66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16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C1195" s="11"/>
      <c r="AN1195" s="11"/>
      <c r="AX1195" s="11"/>
      <c r="BI1195" s="11"/>
      <c r="BT1195" s="11"/>
      <c r="CE1195" s="11"/>
      <c r="CT1195" s="9"/>
      <c r="CU1195" s="9"/>
    </row>
    <row r="1196" spans="1:99" ht="15" x14ac:dyDescent="0.25">
      <c r="A1196" s="66"/>
      <c r="B1196" s="66"/>
      <c r="C1196" s="67"/>
      <c r="D1196" s="67"/>
      <c r="E1196" s="67"/>
      <c r="F1196" s="67"/>
      <c r="G1196" s="67"/>
      <c r="H1196" s="67"/>
      <c r="I1196" s="67"/>
      <c r="J1196" s="67"/>
      <c r="K1196" s="67"/>
      <c r="L1196" s="67"/>
      <c r="M1196" s="67"/>
      <c r="N1196" s="67"/>
      <c r="O1196" s="16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C1196" s="11"/>
      <c r="AN1196" s="11"/>
      <c r="AX1196" s="11"/>
      <c r="BI1196" s="11"/>
      <c r="BT1196" s="11"/>
      <c r="CE1196" s="11"/>
      <c r="CT1196" s="9"/>
      <c r="CU1196" s="9"/>
    </row>
    <row r="1197" spans="1:99" ht="15" x14ac:dyDescent="0.25">
      <c r="A1197" s="66"/>
      <c r="B1197" s="66"/>
      <c r="C1197" s="67"/>
      <c r="D1197" s="67"/>
      <c r="E1197" s="67"/>
      <c r="F1197" s="67"/>
      <c r="G1197" s="67"/>
      <c r="H1197" s="67"/>
      <c r="I1197" s="67"/>
      <c r="J1197" s="67"/>
      <c r="K1197" s="67"/>
      <c r="L1197" s="67"/>
      <c r="M1197" s="67"/>
      <c r="N1197" s="67"/>
      <c r="O1197" s="16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C1197" s="11"/>
      <c r="AN1197" s="11"/>
      <c r="AX1197" s="11"/>
      <c r="BI1197" s="11"/>
      <c r="BT1197" s="11"/>
      <c r="CE1197" s="11"/>
      <c r="CT1197" s="9"/>
      <c r="CU1197" s="9"/>
    </row>
    <row r="1198" spans="1:99" ht="15" x14ac:dyDescent="0.25">
      <c r="A1198" s="66"/>
      <c r="B1198" s="66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16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C1198" s="11"/>
      <c r="AN1198" s="11"/>
      <c r="AX1198" s="11"/>
      <c r="BI1198" s="11"/>
      <c r="BT1198" s="11"/>
      <c r="CE1198" s="11"/>
      <c r="CT1198" s="9"/>
      <c r="CU1198" s="9"/>
    </row>
    <row r="1199" spans="1:99" ht="15" x14ac:dyDescent="0.25">
      <c r="A1199" s="66"/>
      <c r="B1199" s="66"/>
      <c r="C1199" s="67"/>
      <c r="D1199" s="67"/>
      <c r="E1199" s="67"/>
      <c r="F1199" s="67"/>
      <c r="G1199" s="67"/>
      <c r="H1199" s="67"/>
      <c r="I1199" s="67"/>
      <c r="J1199" s="67"/>
      <c r="K1199" s="67"/>
      <c r="L1199" s="67"/>
      <c r="M1199" s="67"/>
      <c r="N1199" s="67"/>
      <c r="O1199" s="16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C1199" s="11"/>
      <c r="AN1199" s="11"/>
      <c r="AX1199" s="11"/>
      <c r="BI1199" s="11"/>
      <c r="BT1199" s="11"/>
      <c r="CE1199" s="11"/>
      <c r="CT1199" s="9"/>
      <c r="CU1199" s="9"/>
    </row>
    <row r="1200" spans="1:99" ht="15" x14ac:dyDescent="0.25">
      <c r="A1200" s="66"/>
      <c r="B1200" s="66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16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C1200" s="11"/>
      <c r="AN1200" s="11"/>
      <c r="AX1200" s="11"/>
      <c r="BI1200" s="11"/>
      <c r="BT1200" s="11"/>
      <c r="CE1200" s="11"/>
      <c r="CT1200" s="9"/>
      <c r="CU1200" s="9"/>
    </row>
    <row r="1201" spans="1:99" ht="15" x14ac:dyDescent="0.25">
      <c r="A1201" s="66"/>
      <c r="B1201" s="66"/>
      <c r="C1201" s="67"/>
      <c r="D1201" s="67"/>
      <c r="E1201" s="67"/>
      <c r="F1201" s="67"/>
      <c r="G1201" s="67"/>
      <c r="H1201" s="67"/>
      <c r="I1201" s="67"/>
      <c r="J1201" s="67"/>
      <c r="K1201" s="67"/>
      <c r="L1201" s="67"/>
      <c r="M1201" s="67"/>
      <c r="N1201" s="67"/>
      <c r="O1201" s="16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C1201" s="11"/>
      <c r="AN1201" s="11"/>
      <c r="AX1201" s="11"/>
      <c r="BI1201" s="11"/>
      <c r="BT1201" s="11"/>
      <c r="CE1201" s="11"/>
      <c r="CT1201" s="9"/>
      <c r="CU1201" s="9"/>
    </row>
    <row r="1202" spans="1:99" ht="15" x14ac:dyDescent="0.25">
      <c r="A1202" s="66"/>
      <c r="B1202" s="66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16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C1202" s="11"/>
      <c r="AN1202" s="11"/>
      <c r="AX1202" s="11"/>
      <c r="BI1202" s="11"/>
      <c r="BT1202" s="11"/>
      <c r="CE1202" s="11"/>
      <c r="CT1202" s="9"/>
      <c r="CU1202" s="9"/>
    </row>
    <row r="1203" spans="1:99" ht="15" x14ac:dyDescent="0.25">
      <c r="A1203" s="66"/>
      <c r="B1203" s="66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16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C1203" s="11"/>
      <c r="AN1203" s="11"/>
      <c r="AX1203" s="11"/>
      <c r="BI1203" s="11"/>
      <c r="BT1203" s="11"/>
      <c r="CE1203" s="11"/>
      <c r="CT1203" s="9"/>
      <c r="CU1203" s="9"/>
    </row>
    <row r="1204" spans="1:99" ht="15" x14ac:dyDescent="0.25">
      <c r="A1204" s="66"/>
      <c r="B1204" s="66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16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C1204" s="11"/>
      <c r="AN1204" s="11"/>
      <c r="AX1204" s="11"/>
      <c r="BI1204" s="11"/>
      <c r="BT1204" s="11"/>
      <c r="CE1204" s="11"/>
      <c r="CT1204" s="9"/>
      <c r="CU1204" s="9"/>
    </row>
    <row r="1205" spans="1:99" ht="15" x14ac:dyDescent="0.25">
      <c r="A1205" s="66"/>
      <c r="B1205" s="66"/>
      <c r="C1205" s="67"/>
      <c r="D1205" s="67"/>
      <c r="E1205" s="67"/>
      <c r="F1205" s="67"/>
      <c r="G1205" s="67"/>
      <c r="H1205" s="67"/>
      <c r="I1205" s="67"/>
      <c r="J1205" s="67"/>
      <c r="K1205" s="67"/>
      <c r="L1205" s="67"/>
      <c r="M1205" s="67"/>
      <c r="N1205" s="67"/>
      <c r="O1205" s="16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C1205" s="11"/>
      <c r="AN1205" s="11"/>
      <c r="AX1205" s="11"/>
      <c r="BI1205" s="11"/>
      <c r="BT1205" s="11"/>
      <c r="CE1205" s="11"/>
      <c r="CT1205" s="9"/>
      <c r="CU1205" s="9"/>
    </row>
    <row r="1206" spans="1:99" ht="15" x14ac:dyDescent="0.25">
      <c r="A1206" s="66"/>
      <c r="B1206" s="66"/>
      <c r="C1206" s="67"/>
      <c r="D1206" s="67"/>
      <c r="E1206" s="67"/>
      <c r="F1206" s="67"/>
      <c r="G1206" s="67"/>
      <c r="H1206" s="67"/>
      <c r="I1206" s="67"/>
      <c r="J1206" s="67"/>
      <c r="K1206" s="67"/>
      <c r="L1206" s="67"/>
      <c r="M1206" s="67"/>
      <c r="N1206" s="67"/>
      <c r="O1206" s="16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C1206" s="11"/>
      <c r="AN1206" s="11"/>
      <c r="AX1206" s="11"/>
      <c r="BI1206" s="11"/>
      <c r="BT1206" s="11"/>
      <c r="CE1206" s="11"/>
      <c r="CT1206" s="9"/>
      <c r="CU1206" s="9"/>
    </row>
    <row r="1207" spans="1:99" ht="15" x14ac:dyDescent="0.25">
      <c r="A1207" s="66"/>
      <c r="B1207" s="66"/>
      <c r="C1207" s="67"/>
      <c r="D1207" s="67"/>
      <c r="E1207" s="67"/>
      <c r="F1207" s="67"/>
      <c r="G1207" s="67"/>
      <c r="H1207" s="67"/>
      <c r="I1207" s="67"/>
      <c r="J1207" s="67"/>
      <c r="K1207" s="67"/>
      <c r="L1207" s="67"/>
      <c r="M1207" s="67"/>
      <c r="N1207" s="67"/>
      <c r="O1207" s="16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C1207" s="11"/>
      <c r="AN1207" s="11"/>
      <c r="AX1207" s="11"/>
      <c r="BI1207" s="11"/>
      <c r="BT1207" s="11"/>
      <c r="CE1207" s="11"/>
      <c r="CT1207" s="9"/>
      <c r="CU1207" s="9"/>
    </row>
    <row r="1208" spans="1:99" ht="15" x14ac:dyDescent="0.25">
      <c r="A1208" s="66"/>
      <c r="B1208" s="66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16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C1208" s="11"/>
      <c r="AN1208" s="11"/>
      <c r="AX1208" s="11"/>
      <c r="BI1208" s="11"/>
      <c r="BT1208" s="11"/>
      <c r="CE1208" s="11"/>
      <c r="CT1208" s="9"/>
      <c r="CU1208" s="9"/>
    </row>
    <row r="1209" spans="1:99" ht="15" x14ac:dyDescent="0.25">
      <c r="A1209" s="66"/>
      <c r="B1209" s="66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16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C1209" s="11"/>
      <c r="AN1209" s="11"/>
      <c r="AX1209" s="11"/>
      <c r="BI1209" s="11"/>
      <c r="BT1209" s="11"/>
      <c r="CE1209" s="11"/>
      <c r="CT1209" s="9"/>
      <c r="CU1209" s="9"/>
    </row>
    <row r="1210" spans="1:99" ht="15" x14ac:dyDescent="0.25">
      <c r="A1210" s="66"/>
      <c r="B1210" s="66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16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C1210" s="11"/>
      <c r="AN1210" s="11"/>
      <c r="AX1210" s="11"/>
      <c r="BI1210" s="11"/>
      <c r="BT1210" s="11"/>
      <c r="CE1210" s="11"/>
      <c r="CT1210" s="9"/>
      <c r="CU1210" s="9"/>
    </row>
    <row r="1211" spans="1:99" ht="15" x14ac:dyDescent="0.25">
      <c r="A1211" s="66"/>
      <c r="B1211" s="66"/>
      <c r="C1211" s="67"/>
      <c r="D1211" s="67"/>
      <c r="E1211" s="67"/>
      <c r="F1211" s="67"/>
      <c r="G1211" s="67"/>
      <c r="H1211" s="67"/>
      <c r="I1211" s="67"/>
      <c r="J1211" s="67"/>
      <c r="K1211" s="67"/>
      <c r="L1211" s="67"/>
      <c r="M1211" s="67"/>
      <c r="N1211" s="67"/>
      <c r="O1211" s="16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C1211" s="11"/>
      <c r="AN1211" s="11"/>
      <c r="AX1211" s="11"/>
      <c r="BI1211" s="11"/>
      <c r="BT1211" s="11"/>
      <c r="CE1211" s="11"/>
      <c r="CT1211" s="9"/>
      <c r="CU1211" s="9"/>
    </row>
    <row r="1212" spans="1:99" ht="15" x14ac:dyDescent="0.25">
      <c r="A1212" s="66"/>
      <c r="B1212" s="66"/>
      <c r="C1212" s="67"/>
      <c r="D1212" s="67"/>
      <c r="E1212" s="67"/>
      <c r="F1212" s="67"/>
      <c r="G1212" s="67"/>
      <c r="H1212" s="67"/>
      <c r="I1212" s="67"/>
      <c r="J1212" s="67"/>
      <c r="K1212" s="67"/>
      <c r="L1212" s="67"/>
      <c r="M1212" s="67"/>
      <c r="N1212" s="67"/>
      <c r="O1212" s="16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C1212" s="11"/>
      <c r="AN1212" s="11"/>
      <c r="AX1212" s="11"/>
      <c r="BI1212" s="11"/>
      <c r="BT1212" s="11"/>
      <c r="CE1212" s="11"/>
      <c r="CT1212" s="9"/>
      <c r="CU1212" s="9"/>
    </row>
    <row r="1213" spans="1:99" ht="15" x14ac:dyDescent="0.25">
      <c r="A1213" s="66"/>
      <c r="B1213" s="66"/>
      <c r="C1213" s="67"/>
      <c r="D1213" s="67"/>
      <c r="E1213" s="67"/>
      <c r="F1213" s="67"/>
      <c r="G1213" s="67"/>
      <c r="H1213" s="67"/>
      <c r="I1213" s="67"/>
      <c r="J1213" s="67"/>
      <c r="K1213" s="67"/>
      <c r="L1213" s="67"/>
      <c r="M1213" s="67"/>
      <c r="N1213" s="67"/>
      <c r="O1213" s="16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C1213" s="11"/>
      <c r="AN1213" s="11"/>
      <c r="AX1213" s="11"/>
      <c r="BI1213" s="11"/>
      <c r="BT1213" s="11"/>
      <c r="CE1213" s="11"/>
      <c r="CT1213" s="9"/>
      <c r="CU1213" s="9"/>
    </row>
    <row r="1214" spans="1:99" ht="15" x14ac:dyDescent="0.25">
      <c r="A1214" s="66"/>
      <c r="B1214" s="66"/>
      <c r="C1214" s="67"/>
      <c r="D1214" s="67"/>
      <c r="E1214" s="67"/>
      <c r="F1214" s="67"/>
      <c r="G1214" s="67"/>
      <c r="H1214" s="67"/>
      <c r="I1214" s="67"/>
      <c r="J1214" s="67"/>
      <c r="K1214" s="67"/>
      <c r="L1214" s="67"/>
      <c r="M1214" s="67"/>
      <c r="N1214" s="67"/>
      <c r="O1214" s="16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C1214" s="11"/>
      <c r="AN1214" s="11"/>
      <c r="AX1214" s="11"/>
      <c r="BI1214" s="11"/>
      <c r="BT1214" s="11"/>
      <c r="CE1214" s="11"/>
      <c r="CT1214" s="9"/>
      <c r="CU1214" s="9"/>
    </row>
    <row r="1215" spans="1:99" ht="15" x14ac:dyDescent="0.25">
      <c r="A1215" s="66"/>
      <c r="B1215" s="66"/>
      <c r="C1215" s="67"/>
      <c r="D1215" s="67"/>
      <c r="E1215" s="67"/>
      <c r="F1215" s="67"/>
      <c r="G1215" s="67"/>
      <c r="H1215" s="67"/>
      <c r="I1215" s="67"/>
      <c r="J1215" s="67"/>
      <c r="K1215" s="67"/>
      <c r="L1215" s="67"/>
      <c r="M1215" s="67"/>
      <c r="N1215" s="67"/>
      <c r="O1215" s="16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C1215" s="11"/>
      <c r="AN1215" s="11"/>
      <c r="AX1215" s="11"/>
      <c r="BI1215" s="11"/>
      <c r="BT1215" s="11"/>
      <c r="CE1215" s="11"/>
      <c r="CT1215" s="9"/>
      <c r="CU1215" s="9"/>
    </row>
    <row r="1216" spans="1:99" ht="15" x14ac:dyDescent="0.25">
      <c r="A1216" s="66"/>
      <c r="B1216" s="66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16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C1216" s="11"/>
      <c r="AN1216" s="11"/>
      <c r="AX1216" s="11"/>
      <c r="BI1216" s="11"/>
      <c r="BT1216" s="11"/>
      <c r="CE1216" s="11"/>
      <c r="CT1216" s="9"/>
      <c r="CU1216" s="9"/>
    </row>
    <row r="1217" spans="1:99" ht="15" x14ac:dyDescent="0.25">
      <c r="A1217" s="66"/>
      <c r="B1217" s="66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16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C1217" s="11"/>
      <c r="AN1217" s="11"/>
      <c r="AX1217" s="11"/>
      <c r="BI1217" s="11"/>
      <c r="BT1217" s="11"/>
      <c r="CE1217" s="11"/>
      <c r="CT1217" s="9"/>
      <c r="CU1217" s="9"/>
    </row>
    <row r="1218" spans="1:99" ht="15" x14ac:dyDescent="0.25">
      <c r="A1218" s="66"/>
      <c r="B1218" s="66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16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C1218" s="11"/>
      <c r="AN1218" s="11"/>
      <c r="AX1218" s="11"/>
      <c r="BI1218" s="11"/>
      <c r="BT1218" s="11"/>
      <c r="CE1218" s="11"/>
      <c r="CT1218" s="9"/>
      <c r="CU1218" s="9"/>
    </row>
    <row r="1219" spans="1:99" ht="15" x14ac:dyDescent="0.25">
      <c r="A1219" s="66"/>
      <c r="B1219" s="66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16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C1219" s="11"/>
      <c r="AN1219" s="11"/>
      <c r="AX1219" s="11"/>
      <c r="BI1219" s="11"/>
      <c r="BT1219" s="11"/>
      <c r="CE1219" s="11"/>
      <c r="CT1219" s="9"/>
      <c r="CU1219" s="9"/>
    </row>
    <row r="1220" spans="1:99" ht="15" x14ac:dyDescent="0.25">
      <c r="A1220" s="66"/>
      <c r="B1220" s="66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16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C1220" s="11"/>
      <c r="AN1220" s="11"/>
      <c r="AX1220" s="11"/>
      <c r="BI1220" s="11"/>
      <c r="BT1220" s="11"/>
      <c r="CE1220" s="11"/>
      <c r="CT1220" s="9"/>
      <c r="CU1220" s="9"/>
    </row>
    <row r="1221" spans="1:99" ht="15" x14ac:dyDescent="0.25">
      <c r="A1221" s="66"/>
      <c r="B1221" s="66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16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C1221" s="11"/>
      <c r="AN1221" s="11"/>
      <c r="AX1221" s="11"/>
      <c r="BI1221" s="11"/>
      <c r="BT1221" s="11"/>
      <c r="CE1221" s="11"/>
      <c r="CT1221" s="9"/>
      <c r="CU1221" s="9"/>
    </row>
    <row r="1222" spans="1:99" ht="15" x14ac:dyDescent="0.25">
      <c r="A1222" s="66"/>
      <c r="B1222" s="66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16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C1222" s="11"/>
      <c r="AN1222" s="11"/>
      <c r="AX1222" s="11"/>
      <c r="BI1222" s="11"/>
      <c r="BT1222" s="11"/>
      <c r="CE1222" s="11"/>
      <c r="CT1222" s="9"/>
      <c r="CU1222" s="9"/>
    </row>
    <row r="1223" spans="1:99" ht="15" x14ac:dyDescent="0.25">
      <c r="A1223" s="66"/>
      <c r="B1223" s="66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16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C1223" s="11"/>
      <c r="AN1223" s="11"/>
      <c r="AX1223" s="11"/>
      <c r="BI1223" s="11"/>
      <c r="BT1223" s="11"/>
      <c r="CE1223" s="11"/>
      <c r="CT1223" s="9"/>
      <c r="CU1223" s="9"/>
    </row>
    <row r="1224" spans="1:99" ht="15" x14ac:dyDescent="0.25">
      <c r="A1224" s="66"/>
      <c r="B1224" s="66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16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C1224" s="11"/>
      <c r="AN1224" s="11"/>
      <c r="AX1224" s="11"/>
      <c r="BI1224" s="11"/>
      <c r="BT1224" s="11"/>
      <c r="CE1224" s="11"/>
      <c r="CT1224" s="9"/>
      <c r="CU1224" s="9"/>
    </row>
    <row r="1225" spans="1:99" ht="15" x14ac:dyDescent="0.25">
      <c r="A1225" s="66"/>
      <c r="B1225" s="66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16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C1225" s="11"/>
      <c r="AN1225" s="11"/>
      <c r="AX1225" s="11"/>
      <c r="BI1225" s="11"/>
      <c r="BT1225" s="11"/>
      <c r="CE1225" s="11"/>
      <c r="CT1225" s="9"/>
      <c r="CU1225" s="9"/>
    </row>
    <row r="1226" spans="1:99" ht="15" x14ac:dyDescent="0.25">
      <c r="A1226" s="66"/>
      <c r="B1226" s="66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16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C1226" s="11"/>
      <c r="AN1226" s="11"/>
      <c r="AX1226" s="11"/>
      <c r="BI1226" s="11"/>
      <c r="BT1226" s="11"/>
      <c r="CE1226" s="11"/>
      <c r="CT1226" s="9"/>
      <c r="CU1226" s="9"/>
    </row>
    <row r="1227" spans="1:99" ht="15" x14ac:dyDescent="0.25">
      <c r="A1227" s="66"/>
      <c r="B1227" s="66"/>
      <c r="C1227" s="67"/>
      <c r="D1227" s="67"/>
      <c r="E1227" s="67"/>
      <c r="F1227" s="67"/>
      <c r="G1227" s="67"/>
      <c r="H1227" s="67"/>
      <c r="I1227" s="67"/>
      <c r="J1227" s="67"/>
      <c r="K1227" s="67"/>
      <c r="L1227" s="67"/>
      <c r="M1227" s="67"/>
      <c r="N1227" s="67"/>
      <c r="O1227" s="16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C1227" s="11"/>
      <c r="AN1227" s="11"/>
      <c r="AX1227" s="11"/>
      <c r="BI1227" s="11"/>
      <c r="BT1227" s="11"/>
      <c r="CE1227" s="11"/>
      <c r="CT1227" s="9"/>
      <c r="CU1227" s="9"/>
    </row>
    <row r="1228" spans="1:99" ht="15" x14ac:dyDescent="0.25">
      <c r="A1228" s="66"/>
      <c r="B1228" s="66"/>
      <c r="C1228" s="67"/>
      <c r="D1228" s="67"/>
      <c r="E1228" s="67"/>
      <c r="F1228" s="67"/>
      <c r="G1228" s="67"/>
      <c r="H1228" s="67"/>
      <c r="I1228" s="67"/>
      <c r="J1228" s="67"/>
      <c r="K1228" s="67"/>
      <c r="L1228" s="67"/>
      <c r="M1228" s="67"/>
      <c r="N1228" s="67"/>
      <c r="O1228" s="16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C1228" s="11"/>
      <c r="AN1228" s="11"/>
      <c r="AX1228" s="11"/>
      <c r="BI1228" s="11"/>
      <c r="BT1228" s="11"/>
      <c r="CE1228" s="11"/>
      <c r="CT1228" s="9"/>
      <c r="CU1228" s="9"/>
    </row>
    <row r="1229" spans="1:99" ht="15" x14ac:dyDescent="0.25">
      <c r="A1229" s="66"/>
      <c r="B1229" s="66"/>
      <c r="C1229" s="67"/>
      <c r="D1229" s="67"/>
      <c r="E1229" s="67"/>
      <c r="F1229" s="67"/>
      <c r="G1229" s="67"/>
      <c r="H1229" s="67"/>
      <c r="I1229" s="67"/>
      <c r="J1229" s="67"/>
      <c r="K1229" s="67"/>
      <c r="L1229" s="67"/>
      <c r="M1229" s="67"/>
      <c r="N1229" s="67"/>
      <c r="O1229" s="16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C1229" s="11"/>
      <c r="AN1229" s="11"/>
      <c r="AX1229" s="11"/>
      <c r="BI1229" s="11"/>
      <c r="BT1229" s="11"/>
      <c r="CE1229" s="11"/>
      <c r="CT1229" s="9"/>
      <c r="CU1229" s="9"/>
    </row>
    <row r="1230" spans="1:99" ht="15" x14ac:dyDescent="0.25">
      <c r="A1230" s="66"/>
      <c r="B1230" s="66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16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C1230" s="11"/>
      <c r="AN1230" s="11"/>
      <c r="AX1230" s="11"/>
      <c r="BI1230" s="11"/>
      <c r="BT1230" s="11"/>
      <c r="CE1230" s="11"/>
      <c r="CT1230" s="9"/>
      <c r="CU1230" s="9"/>
    </row>
    <row r="1231" spans="1:99" ht="15" x14ac:dyDescent="0.25">
      <c r="A1231" s="66"/>
      <c r="B1231" s="66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16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C1231" s="11"/>
      <c r="AN1231" s="11"/>
      <c r="AX1231" s="11"/>
      <c r="BI1231" s="11"/>
      <c r="BT1231" s="11"/>
      <c r="CE1231" s="11"/>
      <c r="CT1231" s="9"/>
      <c r="CU1231" s="9"/>
    </row>
    <row r="1232" spans="1:99" ht="15" x14ac:dyDescent="0.25">
      <c r="A1232" s="66"/>
      <c r="B1232" s="66"/>
      <c r="C1232" s="67"/>
      <c r="D1232" s="67"/>
      <c r="E1232" s="67"/>
      <c r="F1232" s="67"/>
      <c r="G1232" s="67"/>
      <c r="H1232" s="67"/>
      <c r="I1232" s="67"/>
      <c r="J1232" s="67"/>
      <c r="K1232" s="67"/>
      <c r="L1232" s="67"/>
      <c r="M1232" s="67"/>
      <c r="N1232" s="67"/>
      <c r="O1232" s="16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C1232" s="11"/>
      <c r="AN1232" s="11"/>
      <c r="AX1232" s="11"/>
      <c r="BI1232" s="11"/>
      <c r="BT1232" s="11"/>
      <c r="CE1232" s="11"/>
      <c r="CT1232" s="9"/>
      <c r="CU1232" s="9"/>
    </row>
    <row r="1233" spans="1:99" ht="15" x14ac:dyDescent="0.25">
      <c r="A1233" s="66"/>
      <c r="B1233" s="66"/>
      <c r="C1233" s="67"/>
      <c r="D1233" s="67"/>
      <c r="E1233" s="67"/>
      <c r="F1233" s="67"/>
      <c r="G1233" s="67"/>
      <c r="H1233" s="67"/>
      <c r="I1233" s="67"/>
      <c r="J1233" s="67"/>
      <c r="K1233" s="67"/>
      <c r="L1233" s="67"/>
      <c r="M1233" s="67"/>
      <c r="N1233" s="67"/>
      <c r="O1233" s="16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C1233" s="11"/>
      <c r="AN1233" s="11"/>
      <c r="AX1233" s="11"/>
      <c r="BI1233" s="11"/>
      <c r="BT1233" s="11"/>
      <c r="CE1233" s="11"/>
      <c r="CT1233" s="9"/>
      <c r="CU1233" s="9"/>
    </row>
    <row r="1234" spans="1:99" ht="15" x14ac:dyDescent="0.25">
      <c r="A1234" s="66"/>
      <c r="B1234" s="66"/>
      <c r="C1234" s="67"/>
      <c r="D1234" s="67"/>
      <c r="E1234" s="67"/>
      <c r="F1234" s="67"/>
      <c r="G1234" s="67"/>
      <c r="H1234" s="67"/>
      <c r="I1234" s="67"/>
      <c r="J1234" s="67"/>
      <c r="K1234" s="67"/>
      <c r="L1234" s="67"/>
      <c r="M1234" s="67"/>
      <c r="N1234" s="67"/>
      <c r="O1234" s="16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C1234" s="11"/>
      <c r="AN1234" s="11"/>
      <c r="AX1234" s="11"/>
      <c r="BI1234" s="11"/>
      <c r="BT1234" s="11"/>
      <c r="CE1234" s="11"/>
      <c r="CT1234" s="9"/>
      <c r="CU1234" s="9"/>
    </row>
    <row r="1235" spans="1:99" ht="15" x14ac:dyDescent="0.25">
      <c r="A1235" s="66"/>
      <c r="B1235" s="66"/>
      <c r="C1235" s="67"/>
      <c r="D1235" s="67"/>
      <c r="E1235" s="67"/>
      <c r="F1235" s="67"/>
      <c r="G1235" s="67"/>
      <c r="H1235" s="67"/>
      <c r="I1235" s="67"/>
      <c r="J1235" s="67"/>
      <c r="K1235" s="67"/>
      <c r="L1235" s="67"/>
      <c r="M1235" s="67"/>
      <c r="N1235" s="67"/>
      <c r="O1235" s="16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C1235" s="11"/>
      <c r="AN1235" s="11"/>
      <c r="AX1235" s="11"/>
      <c r="BI1235" s="11"/>
      <c r="BT1235" s="11"/>
      <c r="CE1235" s="11"/>
      <c r="CT1235" s="9"/>
      <c r="CU1235" s="9"/>
    </row>
    <row r="1236" spans="1:99" ht="15" x14ac:dyDescent="0.25">
      <c r="A1236" s="66"/>
      <c r="B1236" s="66"/>
      <c r="C1236" s="67"/>
      <c r="D1236" s="67"/>
      <c r="E1236" s="67"/>
      <c r="F1236" s="67"/>
      <c r="G1236" s="67"/>
      <c r="H1236" s="67"/>
      <c r="I1236" s="67"/>
      <c r="J1236" s="67"/>
      <c r="K1236" s="67"/>
      <c r="L1236" s="67"/>
      <c r="M1236" s="67"/>
      <c r="N1236" s="67"/>
      <c r="O1236" s="16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C1236" s="11"/>
      <c r="AN1236" s="11"/>
      <c r="AX1236" s="11"/>
      <c r="BI1236" s="11"/>
      <c r="BT1236" s="11"/>
      <c r="CE1236" s="11"/>
      <c r="CT1236" s="9"/>
      <c r="CU1236" s="9"/>
    </row>
    <row r="1237" spans="1:99" ht="15" x14ac:dyDescent="0.25">
      <c r="A1237" s="66"/>
      <c r="B1237" s="66"/>
      <c r="C1237" s="67"/>
      <c r="D1237" s="67"/>
      <c r="E1237" s="67"/>
      <c r="F1237" s="67"/>
      <c r="G1237" s="67"/>
      <c r="H1237" s="67"/>
      <c r="I1237" s="67"/>
      <c r="J1237" s="67"/>
      <c r="K1237" s="67"/>
      <c r="L1237" s="67"/>
      <c r="M1237" s="67"/>
      <c r="N1237" s="67"/>
      <c r="O1237" s="16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C1237" s="11"/>
      <c r="AN1237" s="11"/>
      <c r="AX1237" s="11"/>
      <c r="BI1237" s="11"/>
      <c r="BT1237" s="11"/>
      <c r="CE1237" s="11"/>
      <c r="CT1237" s="9"/>
      <c r="CU1237" s="9"/>
    </row>
    <row r="1238" spans="1:99" ht="15" x14ac:dyDescent="0.25">
      <c r="A1238" s="66"/>
      <c r="B1238" s="66"/>
      <c r="C1238" s="67"/>
      <c r="D1238" s="67"/>
      <c r="E1238" s="67"/>
      <c r="F1238" s="67"/>
      <c r="G1238" s="67"/>
      <c r="H1238" s="67"/>
      <c r="I1238" s="67"/>
      <c r="J1238" s="67"/>
      <c r="K1238" s="67"/>
      <c r="L1238" s="67"/>
      <c r="M1238" s="67"/>
      <c r="N1238" s="67"/>
      <c r="O1238" s="16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C1238" s="11"/>
      <c r="AN1238" s="11"/>
      <c r="AX1238" s="11"/>
      <c r="BI1238" s="11"/>
      <c r="BT1238" s="11"/>
      <c r="CE1238" s="11"/>
      <c r="CT1238" s="9"/>
      <c r="CU1238" s="9"/>
    </row>
    <row r="1239" spans="1:99" ht="15" x14ac:dyDescent="0.25">
      <c r="A1239" s="66"/>
      <c r="B1239" s="66"/>
      <c r="C1239" s="67"/>
      <c r="D1239" s="67"/>
      <c r="E1239" s="67"/>
      <c r="F1239" s="67"/>
      <c r="G1239" s="67"/>
      <c r="H1239" s="67"/>
      <c r="I1239" s="67"/>
      <c r="J1239" s="67"/>
      <c r="K1239" s="67"/>
      <c r="L1239" s="67"/>
      <c r="M1239" s="67"/>
      <c r="N1239" s="67"/>
      <c r="O1239" s="16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C1239" s="11"/>
      <c r="AN1239" s="11"/>
      <c r="AX1239" s="11"/>
      <c r="BI1239" s="11"/>
      <c r="BT1239" s="11"/>
      <c r="CE1239" s="11"/>
      <c r="CT1239" s="9"/>
      <c r="CU1239" s="9"/>
    </row>
    <row r="1240" spans="1:99" ht="15" x14ac:dyDescent="0.25">
      <c r="A1240" s="66"/>
      <c r="B1240" s="66"/>
      <c r="C1240" s="67"/>
      <c r="D1240" s="67"/>
      <c r="E1240" s="67"/>
      <c r="F1240" s="67"/>
      <c r="G1240" s="67"/>
      <c r="H1240" s="67"/>
      <c r="I1240" s="67"/>
      <c r="J1240" s="67"/>
      <c r="K1240" s="67"/>
      <c r="L1240" s="67"/>
      <c r="M1240" s="67"/>
      <c r="N1240" s="67"/>
      <c r="O1240" s="16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C1240" s="11"/>
      <c r="AN1240" s="11"/>
      <c r="AX1240" s="11"/>
      <c r="BI1240" s="11"/>
      <c r="BT1240" s="11"/>
      <c r="CE1240" s="11"/>
      <c r="CT1240" s="9"/>
      <c r="CU1240" s="9"/>
    </row>
    <row r="1241" spans="1:99" ht="15" x14ac:dyDescent="0.25">
      <c r="A1241" s="66"/>
      <c r="B1241" s="66"/>
      <c r="C1241" s="67"/>
      <c r="D1241" s="67"/>
      <c r="E1241" s="67"/>
      <c r="F1241" s="67"/>
      <c r="G1241" s="67"/>
      <c r="H1241" s="67"/>
      <c r="I1241" s="67"/>
      <c r="J1241" s="67"/>
      <c r="K1241" s="67"/>
      <c r="L1241" s="67"/>
      <c r="M1241" s="67"/>
      <c r="N1241" s="67"/>
      <c r="O1241" s="16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C1241" s="11"/>
      <c r="AN1241" s="11"/>
      <c r="AX1241" s="11"/>
      <c r="BI1241" s="11"/>
      <c r="BT1241" s="11"/>
      <c r="CE1241" s="11"/>
      <c r="CT1241" s="9"/>
      <c r="CU1241" s="9"/>
    </row>
    <row r="1242" spans="1:99" ht="15" x14ac:dyDescent="0.25">
      <c r="A1242" s="66"/>
      <c r="B1242" s="66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16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C1242" s="11"/>
      <c r="AN1242" s="11"/>
      <c r="AX1242" s="11"/>
      <c r="BI1242" s="11"/>
      <c r="BT1242" s="11"/>
      <c r="CE1242" s="11"/>
      <c r="CT1242" s="9"/>
      <c r="CU1242" s="9"/>
    </row>
    <row r="1243" spans="1:99" ht="15" x14ac:dyDescent="0.25">
      <c r="A1243" s="66"/>
      <c r="B1243" s="66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16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C1243" s="11"/>
      <c r="AN1243" s="11"/>
      <c r="AX1243" s="11"/>
      <c r="BI1243" s="11"/>
      <c r="BT1243" s="11"/>
      <c r="CE1243" s="11"/>
      <c r="CT1243" s="9"/>
      <c r="CU1243" s="9"/>
    </row>
    <row r="1244" spans="1:99" ht="15" x14ac:dyDescent="0.25">
      <c r="A1244" s="66"/>
      <c r="B1244" s="66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16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C1244" s="11"/>
      <c r="AN1244" s="11"/>
      <c r="AX1244" s="11"/>
      <c r="BI1244" s="11"/>
      <c r="BT1244" s="11"/>
      <c r="CE1244" s="11"/>
      <c r="CT1244" s="9"/>
      <c r="CU1244" s="9"/>
    </row>
    <row r="1245" spans="1:99" ht="15" x14ac:dyDescent="0.25">
      <c r="A1245" s="66"/>
      <c r="B1245" s="66"/>
      <c r="C1245" s="67"/>
      <c r="D1245" s="67"/>
      <c r="E1245" s="67"/>
      <c r="F1245" s="67"/>
      <c r="G1245" s="67"/>
      <c r="H1245" s="67"/>
      <c r="I1245" s="67"/>
      <c r="J1245" s="67"/>
      <c r="K1245" s="67"/>
      <c r="L1245" s="67"/>
      <c r="M1245" s="67"/>
      <c r="N1245" s="67"/>
      <c r="O1245" s="16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C1245" s="11"/>
      <c r="AN1245" s="11"/>
      <c r="AX1245" s="11"/>
      <c r="BI1245" s="11"/>
      <c r="BT1245" s="11"/>
      <c r="CE1245" s="11"/>
      <c r="CT1245" s="9"/>
      <c r="CU1245" s="9"/>
    </row>
    <row r="1246" spans="1:99" ht="15" x14ac:dyDescent="0.25">
      <c r="A1246" s="66"/>
      <c r="B1246" s="66"/>
      <c r="C1246" s="67"/>
      <c r="D1246" s="67"/>
      <c r="E1246" s="67"/>
      <c r="F1246" s="67"/>
      <c r="G1246" s="67"/>
      <c r="H1246" s="67"/>
      <c r="I1246" s="67"/>
      <c r="J1246" s="67"/>
      <c r="K1246" s="67"/>
      <c r="L1246" s="67"/>
      <c r="M1246" s="67"/>
      <c r="N1246" s="67"/>
      <c r="O1246" s="16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C1246" s="11"/>
      <c r="AN1246" s="11"/>
      <c r="AX1246" s="11"/>
      <c r="BI1246" s="11"/>
      <c r="BT1246" s="11"/>
      <c r="CE1246" s="11"/>
      <c r="CT1246" s="9"/>
      <c r="CU1246" s="9"/>
    </row>
    <row r="1247" spans="1:99" ht="15" x14ac:dyDescent="0.25">
      <c r="A1247" s="66"/>
      <c r="B1247" s="66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16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C1247" s="11"/>
      <c r="AN1247" s="11"/>
      <c r="AX1247" s="11"/>
      <c r="BI1247" s="11"/>
      <c r="BT1247" s="11"/>
      <c r="CE1247" s="11"/>
      <c r="CT1247" s="9"/>
      <c r="CU1247" s="9"/>
    </row>
    <row r="1248" spans="1:99" ht="15" x14ac:dyDescent="0.25">
      <c r="A1248" s="66"/>
      <c r="B1248" s="66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16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C1248" s="11"/>
      <c r="AN1248" s="11"/>
      <c r="AX1248" s="11"/>
      <c r="BI1248" s="11"/>
      <c r="BT1248" s="11"/>
      <c r="CE1248" s="11"/>
      <c r="CT1248" s="9"/>
      <c r="CU1248" s="9"/>
    </row>
    <row r="1249" spans="1:99" ht="15" x14ac:dyDescent="0.25">
      <c r="A1249" s="66"/>
      <c r="B1249" s="66"/>
      <c r="C1249" s="67"/>
      <c r="D1249" s="67"/>
      <c r="E1249" s="67"/>
      <c r="F1249" s="67"/>
      <c r="G1249" s="67"/>
      <c r="H1249" s="67"/>
      <c r="I1249" s="67"/>
      <c r="J1249" s="67"/>
      <c r="K1249" s="67"/>
      <c r="L1249" s="67"/>
      <c r="M1249" s="67"/>
      <c r="N1249" s="67"/>
      <c r="O1249" s="16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C1249" s="11"/>
      <c r="AN1249" s="11"/>
      <c r="AX1249" s="11"/>
      <c r="BI1249" s="11"/>
      <c r="BT1249" s="11"/>
      <c r="CE1249" s="11"/>
      <c r="CT1249" s="9"/>
      <c r="CU1249" s="9"/>
    </row>
    <row r="1250" spans="1:99" ht="15" x14ac:dyDescent="0.25">
      <c r="A1250" s="66"/>
      <c r="B1250" s="66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16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C1250" s="11"/>
      <c r="AN1250" s="11"/>
      <c r="AX1250" s="11"/>
      <c r="BI1250" s="11"/>
      <c r="BT1250" s="11"/>
      <c r="CE1250" s="11"/>
      <c r="CT1250" s="9"/>
      <c r="CU1250" s="9"/>
    </row>
    <row r="1251" spans="1:99" ht="15" x14ac:dyDescent="0.25">
      <c r="A1251" s="66"/>
      <c r="B1251" s="66"/>
      <c r="C1251" s="67"/>
      <c r="D1251" s="67"/>
      <c r="E1251" s="67"/>
      <c r="F1251" s="67"/>
      <c r="G1251" s="67"/>
      <c r="H1251" s="67"/>
      <c r="I1251" s="67"/>
      <c r="J1251" s="67"/>
      <c r="K1251" s="67"/>
      <c r="L1251" s="67"/>
      <c r="M1251" s="67"/>
      <c r="N1251" s="67"/>
      <c r="O1251" s="16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C1251" s="11"/>
      <c r="AN1251" s="11"/>
      <c r="AX1251" s="11"/>
      <c r="BI1251" s="11"/>
      <c r="BT1251" s="11"/>
      <c r="CE1251" s="11"/>
      <c r="CT1251" s="9"/>
      <c r="CU1251" s="9"/>
    </row>
    <row r="1252" spans="1:99" ht="15" x14ac:dyDescent="0.25">
      <c r="A1252" s="66"/>
      <c r="B1252" s="66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16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C1252" s="11"/>
      <c r="AN1252" s="11"/>
      <c r="AX1252" s="11"/>
      <c r="BI1252" s="11"/>
      <c r="BT1252" s="11"/>
      <c r="CE1252" s="11"/>
      <c r="CT1252" s="9"/>
      <c r="CU1252" s="9"/>
    </row>
    <row r="1253" spans="1:99" ht="15" x14ac:dyDescent="0.25">
      <c r="A1253" s="66"/>
      <c r="B1253" s="66"/>
      <c r="C1253" s="67"/>
      <c r="D1253" s="67"/>
      <c r="E1253" s="67"/>
      <c r="F1253" s="67"/>
      <c r="G1253" s="67"/>
      <c r="H1253" s="67"/>
      <c r="I1253" s="67"/>
      <c r="J1253" s="67"/>
      <c r="K1253" s="67"/>
      <c r="L1253" s="67"/>
      <c r="M1253" s="67"/>
      <c r="N1253" s="67"/>
      <c r="O1253" s="16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C1253" s="11"/>
      <c r="AN1253" s="11"/>
      <c r="AX1253" s="11"/>
      <c r="BI1253" s="11"/>
      <c r="BT1253" s="11"/>
      <c r="CE1253" s="11"/>
      <c r="CT1253" s="9"/>
      <c r="CU1253" s="9"/>
    </row>
    <row r="1254" spans="1:99" ht="15" x14ac:dyDescent="0.25">
      <c r="A1254" s="66"/>
      <c r="B1254" s="66"/>
      <c r="C1254" s="67"/>
      <c r="D1254" s="67"/>
      <c r="E1254" s="67"/>
      <c r="F1254" s="67"/>
      <c r="G1254" s="67"/>
      <c r="H1254" s="67"/>
      <c r="I1254" s="67"/>
      <c r="J1254" s="67"/>
      <c r="K1254" s="67"/>
      <c r="L1254" s="67"/>
      <c r="M1254" s="67"/>
      <c r="N1254" s="67"/>
      <c r="O1254" s="16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C1254" s="11"/>
      <c r="AN1254" s="11"/>
      <c r="AX1254" s="11"/>
      <c r="BI1254" s="11"/>
      <c r="BT1254" s="11"/>
      <c r="CE1254" s="11"/>
      <c r="CT1254" s="9"/>
      <c r="CU1254" s="9"/>
    </row>
    <row r="1255" spans="1:99" ht="15" x14ac:dyDescent="0.25">
      <c r="A1255" s="66"/>
      <c r="B1255" s="66"/>
      <c r="C1255" s="67"/>
      <c r="D1255" s="67"/>
      <c r="E1255" s="67"/>
      <c r="F1255" s="67"/>
      <c r="G1255" s="67"/>
      <c r="H1255" s="67"/>
      <c r="I1255" s="67"/>
      <c r="J1255" s="67"/>
      <c r="K1255" s="67"/>
      <c r="L1255" s="67"/>
      <c r="M1255" s="67"/>
      <c r="N1255" s="67"/>
      <c r="O1255" s="16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C1255" s="11"/>
      <c r="AN1255" s="11"/>
      <c r="AX1255" s="11"/>
      <c r="BI1255" s="11"/>
      <c r="BT1255" s="11"/>
      <c r="CE1255" s="11"/>
      <c r="CT1255" s="9"/>
      <c r="CU1255" s="9"/>
    </row>
    <row r="1256" spans="1:99" ht="15" x14ac:dyDescent="0.25">
      <c r="A1256" s="66"/>
      <c r="B1256" s="66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16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C1256" s="11"/>
      <c r="AN1256" s="11"/>
      <c r="AX1256" s="11"/>
      <c r="BI1256" s="11"/>
      <c r="BT1256" s="11"/>
      <c r="CE1256" s="11"/>
      <c r="CT1256" s="9"/>
      <c r="CU1256" s="9"/>
    </row>
    <row r="1257" spans="1:99" ht="15" x14ac:dyDescent="0.25">
      <c r="A1257" s="66"/>
      <c r="B1257" s="66"/>
      <c r="C1257" s="67"/>
      <c r="D1257" s="67"/>
      <c r="E1257" s="67"/>
      <c r="F1257" s="67"/>
      <c r="G1257" s="67"/>
      <c r="H1257" s="67"/>
      <c r="I1257" s="67"/>
      <c r="J1257" s="67"/>
      <c r="K1257" s="67"/>
      <c r="L1257" s="67"/>
      <c r="M1257" s="67"/>
      <c r="N1257" s="67"/>
      <c r="O1257" s="16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C1257" s="11"/>
      <c r="AN1257" s="11"/>
      <c r="AX1257" s="11"/>
      <c r="BI1257" s="11"/>
      <c r="BT1257" s="11"/>
      <c r="CE1257" s="11"/>
      <c r="CT1257" s="9"/>
      <c r="CU1257" s="9"/>
    </row>
    <row r="1258" spans="1:99" ht="15" x14ac:dyDescent="0.25">
      <c r="A1258" s="66"/>
      <c r="B1258" s="66"/>
      <c r="C1258" s="67"/>
      <c r="D1258" s="67"/>
      <c r="E1258" s="67"/>
      <c r="F1258" s="67"/>
      <c r="G1258" s="67"/>
      <c r="H1258" s="67"/>
      <c r="I1258" s="67"/>
      <c r="J1258" s="67"/>
      <c r="K1258" s="67"/>
      <c r="L1258" s="67"/>
      <c r="M1258" s="67"/>
      <c r="N1258" s="67"/>
      <c r="O1258" s="16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C1258" s="11"/>
      <c r="AN1258" s="11"/>
      <c r="AX1258" s="11"/>
      <c r="BI1258" s="11"/>
      <c r="BT1258" s="11"/>
      <c r="CE1258" s="11"/>
      <c r="CT1258" s="9"/>
      <c r="CU1258" s="9"/>
    </row>
    <row r="1259" spans="1:99" ht="15" x14ac:dyDescent="0.25">
      <c r="A1259" s="66"/>
      <c r="B1259" s="66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16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C1259" s="11"/>
      <c r="AN1259" s="11"/>
      <c r="AX1259" s="11"/>
      <c r="BI1259" s="11"/>
      <c r="BT1259" s="11"/>
      <c r="CE1259" s="11"/>
      <c r="CT1259" s="9"/>
      <c r="CU1259" s="9"/>
    </row>
    <row r="1260" spans="1:99" ht="15" x14ac:dyDescent="0.25">
      <c r="A1260" s="66"/>
      <c r="B1260" s="66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16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C1260" s="11"/>
      <c r="AN1260" s="11"/>
      <c r="AX1260" s="11"/>
      <c r="BI1260" s="11"/>
      <c r="BT1260" s="11"/>
      <c r="CE1260" s="11"/>
      <c r="CT1260" s="9"/>
      <c r="CU1260" s="9"/>
    </row>
    <row r="1261" spans="1:99" ht="15" x14ac:dyDescent="0.25">
      <c r="A1261" s="66"/>
      <c r="B1261" s="66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16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C1261" s="11"/>
      <c r="AN1261" s="11"/>
      <c r="AX1261" s="11"/>
      <c r="BI1261" s="11"/>
      <c r="BT1261" s="11"/>
      <c r="CE1261" s="11"/>
      <c r="CT1261" s="9"/>
      <c r="CU1261" s="9"/>
    </row>
    <row r="1262" spans="1:99" ht="15" x14ac:dyDescent="0.25">
      <c r="A1262" s="66"/>
      <c r="B1262" s="66"/>
      <c r="C1262" s="67"/>
      <c r="D1262" s="67"/>
      <c r="E1262" s="67"/>
      <c r="F1262" s="67"/>
      <c r="G1262" s="67"/>
      <c r="H1262" s="67"/>
      <c r="I1262" s="67"/>
      <c r="J1262" s="67"/>
      <c r="K1262" s="67"/>
      <c r="L1262" s="67"/>
      <c r="M1262" s="67"/>
      <c r="N1262" s="67"/>
      <c r="O1262" s="16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C1262" s="11"/>
      <c r="AN1262" s="11"/>
      <c r="AX1262" s="11"/>
      <c r="BI1262" s="11"/>
      <c r="BT1262" s="11"/>
      <c r="CE1262" s="11"/>
      <c r="CT1262" s="9"/>
      <c r="CU1262" s="9"/>
    </row>
    <row r="1263" spans="1:99" ht="15" x14ac:dyDescent="0.25">
      <c r="A1263" s="66"/>
      <c r="B1263" s="66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16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C1263" s="11"/>
      <c r="AN1263" s="11"/>
      <c r="AX1263" s="11"/>
      <c r="BI1263" s="11"/>
      <c r="BT1263" s="11"/>
      <c r="CE1263" s="11"/>
      <c r="CT1263" s="9"/>
      <c r="CU1263" s="9"/>
    </row>
    <row r="1264" spans="1:99" ht="15" x14ac:dyDescent="0.25">
      <c r="A1264" s="66"/>
      <c r="B1264" s="66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16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C1264" s="11"/>
      <c r="AN1264" s="11"/>
      <c r="AX1264" s="11"/>
      <c r="BI1264" s="11"/>
      <c r="BT1264" s="11"/>
      <c r="CE1264" s="11"/>
      <c r="CT1264" s="9"/>
      <c r="CU1264" s="9"/>
    </row>
    <row r="1265" spans="1:99" ht="15" x14ac:dyDescent="0.25">
      <c r="A1265" s="66"/>
      <c r="B1265" s="66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16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C1265" s="11"/>
      <c r="AN1265" s="11"/>
      <c r="AX1265" s="11"/>
      <c r="BI1265" s="11"/>
      <c r="BT1265" s="11"/>
      <c r="CE1265" s="11"/>
      <c r="CT1265" s="9"/>
      <c r="CU1265" s="9"/>
    </row>
    <row r="1266" spans="1:99" ht="15" x14ac:dyDescent="0.25">
      <c r="A1266" s="66"/>
      <c r="B1266" s="66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16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C1266" s="11"/>
      <c r="AN1266" s="11"/>
      <c r="AX1266" s="11"/>
      <c r="BI1266" s="11"/>
      <c r="BT1266" s="11"/>
      <c r="CE1266" s="11"/>
      <c r="CT1266" s="9"/>
      <c r="CU1266" s="9"/>
    </row>
    <row r="1267" spans="1:99" ht="15" x14ac:dyDescent="0.25">
      <c r="A1267" s="66"/>
      <c r="B1267" s="66"/>
      <c r="C1267" s="67"/>
      <c r="D1267" s="67"/>
      <c r="E1267" s="67"/>
      <c r="F1267" s="67"/>
      <c r="G1267" s="67"/>
      <c r="H1267" s="67"/>
      <c r="I1267" s="67"/>
      <c r="J1267" s="67"/>
      <c r="K1267" s="67"/>
      <c r="L1267" s="67"/>
      <c r="M1267" s="67"/>
      <c r="N1267" s="67"/>
      <c r="O1267" s="16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C1267" s="11"/>
      <c r="AN1267" s="11"/>
      <c r="AX1267" s="11"/>
      <c r="BI1267" s="11"/>
      <c r="BT1267" s="11"/>
      <c r="CE1267" s="11"/>
      <c r="CT1267" s="9"/>
      <c r="CU1267" s="9"/>
    </row>
    <row r="1268" spans="1:99" ht="15" x14ac:dyDescent="0.25">
      <c r="A1268" s="66"/>
      <c r="B1268" s="66"/>
      <c r="C1268" s="67"/>
      <c r="D1268" s="67"/>
      <c r="E1268" s="67"/>
      <c r="F1268" s="67"/>
      <c r="G1268" s="67"/>
      <c r="H1268" s="67"/>
      <c r="I1268" s="67"/>
      <c r="J1268" s="67"/>
      <c r="K1268" s="67"/>
      <c r="L1268" s="67"/>
      <c r="M1268" s="67"/>
      <c r="N1268" s="67"/>
      <c r="O1268" s="16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C1268" s="11"/>
      <c r="AN1268" s="11"/>
      <c r="AX1268" s="11"/>
      <c r="BI1268" s="11"/>
      <c r="BT1268" s="11"/>
      <c r="CE1268" s="11"/>
      <c r="CT1268" s="9"/>
      <c r="CU1268" s="9"/>
    </row>
    <row r="1269" spans="1:99" ht="15" x14ac:dyDescent="0.25">
      <c r="A1269" s="66"/>
      <c r="B1269" s="66"/>
      <c r="C1269" s="67"/>
      <c r="D1269" s="67"/>
      <c r="E1269" s="67"/>
      <c r="F1269" s="67"/>
      <c r="G1269" s="67"/>
      <c r="H1269" s="67"/>
      <c r="I1269" s="67"/>
      <c r="J1269" s="67"/>
      <c r="K1269" s="67"/>
      <c r="L1269" s="67"/>
      <c r="M1269" s="67"/>
      <c r="N1269" s="67"/>
      <c r="O1269" s="16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C1269" s="11"/>
      <c r="AN1269" s="11"/>
      <c r="AX1269" s="11"/>
      <c r="BI1269" s="11"/>
      <c r="BT1269" s="11"/>
      <c r="CE1269" s="11"/>
      <c r="CT1269" s="9"/>
      <c r="CU1269" s="9"/>
    </row>
    <row r="1270" spans="1:99" ht="15" x14ac:dyDescent="0.25">
      <c r="A1270" s="66"/>
      <c r="B1270" s="66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16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C1270" s="11"/>
      <c r="AN1270" s="11"/>
      <c r="AX1270" s="11"/>
      <c r="BI1270" s="11"/>
      <c r="BT1270" s="11"/>
      <c r="CE1270" s="11"/>
      <c r="CT1270" s="9"/>
      <c r="CU1270" s="9"/>
    </row>
    <row r="1271" spans="1:99" ht="15" x14ac:dyDescent="0.25">
      <c r="A1271" s="66"/>
      <c r="B1271" s="66"/>
      <c r="C1271" s="67"/>
      <c r="D1271" s="67"/>
      <c r="E1271" s="67"/>
      <c r="F1271" s="67"/>
      <c r="G1271" s="67"/>
      <c r="H1271" s="67"/>
      <c r="I1271" s="67"/>
      <c r="J1271" s="67"/>
      <c r="K1271" s="67"/>
      <c r="L1271" s="67"/>
      <c r="M1271" s="67"/>
      <c r="N1271" s="67"/>
      <c r="O1271" s="16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C1271" s="11"/>
      <c r="AN1271" s="11"/>
      <c r="AX1271" s="11"/>
      <c r="BI1271" s="11"/>
      <c r="BT1271" s="11"/>
      <c r="CE1271" s="11"/>
      <c r="CT1271" s="9"/>
      <c r="CU1271" s="9"/>
    </row>
    <row r="1272" spans="1:99" ht="15" x14ac:dyDescent="0.25">
      <c r="A1272" s="66"/>
      <c r="B1272" s="66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16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C1272" s="11"/>
      <c r="AN1272" s="11"/>
      <c r="AX1272" s="11"/>
      <c r="BI1272" s="11"/>
      <c r="BT1272" s="11"/>
      <c r="CE1272" s="11"/>
      <c r="CT1272" s="9"/>
      <c r="CU1272" s="9"/>
    </row>
    <row r="1273" spans="1:99" ht="15" x14ac:dyDescent="0.25">
      <c r="A1273" s="66"/>
      <c r="B1273" s="66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16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C1273" s="11"/>
      <c r="AN1273" s="11"/>
      <c r="AX1273" s="11"/>
      <c r="BI1273" s="11"/>
      <c r="BT1273" s="11"/>
      <c r="CE1273" s="11"/>
      <c r="CT1273" s="9"/>
      <c r="CU1273" s="9"/>
    </row>
    <row r="1274" spans="1:99" ht="15" x14ac:dyDescent="0.25">
      <c r="A1274" s="66"/>
      <c r="B1274" s="66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16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C1274" s="11"/>
      <c r="AN1274" s="11"/>
      <c r="AX1274" s="11"/>
      <c r="BI1274" s="11"/>
      <c r="BT1274" s="11"/>
      <c r="CE1274" s="11"/>
      <c r="CT1274" s="9"/>
      <c r="CU1274" s="9"/>
    </row>
    <row r="1275" spans="1:99" ht="15" x14ac:dyDescent="0.25">
      <c r="A1275" s="66"/>
      <c r="B1275" s="66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16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C1275" s="11"/>
      <c r="AN1275" s="11"/>
      <c r="AX1275" s="11"/>
      <c r="BI1275" s="11"/>
      <c r="BT1275" s="11"/>
      <c r="CE1275" s="11"/>
      <c r="CT1275" s="9"/>
      <c r="CU1275" s="9"/>
    </row>
    <row r="1276" spans="1:99" ht="15" x14ac:dyDescent="0.25">
      <c r="A1276" s="66"/>
      <c r="B1276" s="66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16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C1276" s="11"/>
      <c r="AN1276" s="11"/>
      <c r="AX1276" s="11"/>
      <c r="BI1276" s="11"/>
      <c r="BT1276" s="11"/>
      <c r="CE1276" s="11"/>
      <c r="CT1276" s="9"/>
      <c r="CU1276" s="9"/>
    </row>
    <row r="1277" spans="1:99" ht="15" x14ac:dyDescent="0.25">
      <c r="A1277" s="66"/>
      <c r="B1277" s="66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16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C1277" s="11"/>
      <c r="AN1277" s="11"/>
      <c r="AX1277" s="11"/>
      <c r="BI1277" s="11"/>
      <c r="BT1277" s="11"/>
      <c r="CE1277" s="11"/>
      <c r="CT1277" s="9"/>
      <c r="CU1277" s="9"/>
    </row>
    <row r="1278" spans="1:99" ht="15" x14ac:dyDescent="0.25">
      <c r="A1278" s="66"/>
      <c r="B1278" s="66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16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C1278" s="11"/>
      <c r="AN1278" s="11"/>
      <c r="AX1278" s="11"/>
      <c r="BI1278" s="11"/>
      <c r="BT1278" s="11"/>
      <c r="CE1278" s="11"/>
      <c r="CT1278" s="9"/>
      <c r="CU1278" s="9"/>
    </row>
    <row r="1279" spans="1:99" ht="15" x14ac:dyDescent="0.25">
      <c r="A1279" s="66"/>
      <c r="B1279" s="66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16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C1279" s="11"/>
      <c r="AN1279" s="11"/>
      <c r="AX1279" s="11"/>
      <c r="BI1279" s="11"/>
      <c r="BT1279" s="11"/>
      <c r="CE1279" s="11"/>
      <c r="CT1279" s="9"/>
      <c r="CU1279" s="9"/>
    </row>
    <row r="1280" spans="1:99" ht="15" x14ac:dyDescent="0.25">
      <c r="A1280" s="66"/>
      <c r="B1280" s="66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16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C1280" s="11"/>
      <c r="AN1280" s="11"/>
      <c r="AX1280" s="11"/>
      <c r="BI1280" s="11"/>
      <c r="BT1280" s="11"/>
      <c r="CE1280" s="11"/>
      <c r="CT1280" s="9"/>
      <c r="CU1280" s="9"/>
    </row>
    <row r="1281" spans="1:99" ht="15" x14ac:dyDescent="0.25">
      <c r="A1281" s="66"/>
      <c r="B1281" s="66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16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C1281" s="11"/>
      <c r="AN1281" s="11"/>
      <c r="AX1281" s="11"/>
      <c r="BI1281" s="11"/>
      <c r="BT1281" s="11"/>
      <c r="CE1281" s="11"/>
      <c r="CT1281" s="9"/>
      <c r="CU1281" s="9"/>
    </row>
    <row r="1282" spans="1:99" ht="15" x14ac:dyDescent="0.25">
      <c r="A1282" s="66"/>
      <c r="B1282" s="66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16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C1282" s="11"/>
      <c r="AN1282" s="11"/>
      <c r="AX1282" s="11"/>
      <c r="BI1282" s="11"/>
      <c r="BT1282" s="11"/>
      <c r="CE1282" s="11"/>
      <c r="CT1282" s="9"/>
      <c r="CU1282" s="9"/>
    </row>
    <row r="1283" spans="1:99" ht="15" x14ac:dyDescent="0.25">
      <c r="A1283" s="66"/>
      <c r="B1283" s="66"/>
      <c r="C1283" s="67"/>
      <c r="D1283" s="67"/>
      <c r="E1283" s="67"/>
      <c r="F1283" s="67"/>
      <c r="G1283" s="67"/>
      <c r="H1283" s="67"/>
      <c r="I1283" s="67"/>
      <c r="J1283" s="67"/>
      <c r="K1283" s="67"/>
      <c r="L1283" s="67"/>
      <c r="M1283" s="67"/>
      <c r="N1283" s="67"/>
      <c r="O1283" s="16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C1283" s="11"/>
      <c r="AN1283" s="11"/>
      <c r="AX1283" s="11"/>
      <c r="BI1283" s="11"/>
      <c r="BT1283" s="11"/>
      <c r="CE1283" s="11"/>
      <c r="CT1283" s="9"/>
      <c r="CU1283" s="9"/>
    </row>
    <row r="1284" spans="1:99" ht="15" x14ac:dyDescent="0.25">
      <c r="A1284" s="66"/>
      <c r="B1284" s="66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16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C1284" s="11"/>
      <c r="AN1284" s="11"/>
      <c r="AX1284" s="11"/>
      <c r="BI1284" s="11"/>
      <c r="BT1284" s="11"/>
      <c r="CE1284" s="11"/>
      <c r="CT1284" s="9"/>
      <c r="CU1284" s="9"/>
    </row>
    <row r="1285" spans="1:99" ht="15" x14ac:dyDescent="0.25">
      <c r="A1285" s="66"/>
      <c r="B1285" s="66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16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C1285" s="11"/>
      <c r="AN1285" s="11"/>
      <c r="AX1285" s="11"/>
      <c r="BI1285" s="11"/>
      <c r="BT1285" s="11"/>
      <c r="CE1285" s="11"/>
      <c r="CT1285" s="9"/>
      <c r="CU1285" s="9"/>
    </row>
    <row r="1286" spans="1:99" ht="15" x14ac:dyDescent="0.25">
      <c r="A1286" s="66"/>
      <c r="B1286" s="66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16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C1286" s="11"/>
      <c r="AN1286" s="11"/>
      <c r="AX1286" s="11"/>
      <c r="BI1286" s="11"/>
      <c r="BT1286" s="11"/>
      <c r="CE1286" s="11"/>
      <c r="CT1286" s="9"/>
      <c r="CU1286" s="9"/>
    </row>
    <row r="1287" spans="1:99" ht="15" x14ac:dyDescent="0.25">
      <c r="A1287" s="66"/>
      <c r="B1287" s="66"/>
      <c r="C1287" s="67"/>
      <c r="D1287" s="67"/>
      <c r="E1287" s="67"/>
      <c r="F1287" s="67"/>
      <c r="G1287" s="67"/>
      <c r="H1287" s="67"/>
      <c r="I1287" s="67"/>
      <c r="J1287" s="67"/>
      <c r="K1287" s="67"/>
      <c r="L1287" s="67"/>
      <c r="M1287" s="67"/>
      <c r="N1287" s="67"/>
      <c r="O1287" s="16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C1287" s="11"/>
      <c r="AN1287" s="11"/>
      <c r="AX1287" s="11"/>
      <c r="BI1287" s="11"/>
      <c r="BT1287" s="11"/>
      <c r="CE1287" s="11"/>
      <c r="CT1287" s="9"/>
      <c r="CU1287" s="9"/>
    </row>
    <row r="1288" spans="1:99" ht="15" x14ac:dyDescent="0.25">
      <c r="A1288" s="66"/>
      <c r="B1288" s="66"/>
      <c r="C1288" s="67"/>
      <c r="D1288" s="67"/>
      <c r="E1288" s="67"/>
      <c r="F1288" s="67"/>
      <c r="G1288" s="67"/>
      <c r="H1288" s="67"/>
      <c r="I1288" s="67"/>
      <c r="J1288" s="67"/>
      <c r="K1288" s="67"/>
      <c r="L1288" s="67"/>
      <c r="M1288" s="67"/>
      <c r="N1288" s="67"/>
      <c r="O1288" s="16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C1288" s="11"/>
      <c r="AN1288" s="11"/>
      <c r="AX1288" s="11"/>
      <c r="BI1288" s="11"/>
      <c r="BT1288" s="11"/>
      <c r="CE1288" s="11"/>
      <c r="CT1288" s="9"/>
      <c r="CU1288" s="9"/>
    </row>
    <row r="1289" spans="1:99" ht="15" x14ac:dyDescent="0.25">
      <c r="A1289" s="66"/>
      <c r="B1289" s="66"/>
      <c r="C1289" s="67"/>
      <c r="D1289" s="67"/>
      <c r="E1289" s="67"/>
      <c r="F1289" s="67"/>
      <c r="G1289" s="67"/>
      <c r="H1289" s="67"/>
      <c r="I1289" s="67"/>
      <c r="J1289" s="67"/>
      <c r="K1289" s="67"/>
      <c r="L1289" s="67"/>
      <c r="M1289" s="67"/>
      <c r="N1289" s="67"/>
      <c r="O1289" s="16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C1289" s="11"/>
      <c r="AN1289" s="11"/>
      <c r="AX1289" s="11"/>
      <c r="BI1289" s="11"/>
      <c r="BT1289" s="11"/>
      <c r="CE1289" s="11"/>
      <c r="CT1289" s="9"/>
      <c r="CU1289" s="9"/>
    </row>
    <row r="1290" spans="1:99" ht="15" x14ac:dyDescent="0.25">
      <c r="A1290" s="66"/>
      <c r="B1290" s="66"/>
      <c r="C1290" s="67"/>
      <c r="D1290" s="67"/>
      <c r="E1290" s="67"/>
      <c r="F1290" s="67"/>
      <c r="G1290" s="67"/>
      <c r="H1290" s="67"/>
      <c r="I1290" s="67"/>
      <c r="J1290" s="67"/>
      <c r="K1290" s="67"/>
      <c r="L1290" s="67"/>
      <c r="M1290" s="67"/>
      <c r="N1290" s="67"/>
      <c r="O1290" s="16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C1290" s="11"/>
      <c r="AN1290" s="11"/>
      <c r="AX1290" s="11"/>
      <c r="BI1290" s="11"/>
      <c r="BT1290" s="11"/>
      <c r="CE1290" s="11"/>
      <c r="CT1290" s="9"/>
      <c r="CU1290" s="9"/>
    </row>
    <row r="1291" spans="1:99" ht="15" x14ac:dyDescent="0.25">
      <c r="A1291" s="66"/>
      <c r="B1291" s="66"/>
      <c r="C1291" s="67"/>
      <c r="D1291" s="67"/>
      <c r="E1291" s="67"/>
      <c r="F1291" s="67"/>
      <c r="G1291" s="67"/>
      <c r="H1291" s="67"/>
      <c r="I1291" s="67"/>
      <c r="J1291" s="67"/>
      <c r="K1291" s="67"/>
      <c r="L1291" s="67"/>
      <c r="M1291" s="67"/>
      <c r="N1291" s="67"/>
      <c r="O1291" s="16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C1291" s="11"/>
      <c r="AN1291" s="11"/>
      <c r="AX1291" s="11"/>
      <c r="BI1291" s="11"/>
      <c r="BT1291" s="11"/>
      <c r="CE1291" s="11"/>
      <c r="CT1291" s="9"/>
      <c r="CU1291" s="9"/>
    </row>
    <row r="1292" spans="1:99" ht="15" x14ac:dyDescent="0.25">
      <c r="A1292" s="66"/>
      <c r="B1292" s="66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16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C1292" s="11"/>
      <c r="AN1292" s="11"/>
      <c r="AX1292" s="11"/>
      <c r="BI1292" s="11"/>
      <c r="BT1292" s="11"/>
      <c r="CE1292" s="11"/>
      <c r="CT1292" s="9"/>
      <c r="CU1292" s="9"/>
    </row>
    <row r="1293" spans="1:99" ht="15" x14ac:dyDescent="0.25">
      <c r="A1293" s="66"/>
      <c r="B1293" s="66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16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C1293" s="11"/>
      <c r="AN1293" s="11"/>
      <c r="AX1293" s="11"/>
      <c r="BI1293" s="11"/>
      <c r="BT1293" s="11"/>
      <c r="CE1293" s="11"/>
      <c r="CT1293" s="9"/>
      <c r="CU1293" s="9"/>
    </row>
    <row r="1294" spans="1:99" ht="15" x14ac:dyDescent="0.25">
      <c r="A1294" s="66"/>
      <c r="B1294" s="66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16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C1294" s="11"/>
      <c r="AN1294" s="11"/>
      <c r="AX1294" s="11"/>
      <c r="BI1294" s="11"/>
      <c r="BT1294" s="11"/>
      <c r="CE1294" s="11"/>
      <c r="CT1294" s="9"/>
      <c r="CU1294" s="9"/>
    </row>
    <row r="1295" spans="1:99" ht="15" x14ac:dyDescent="0.25">
      <c r="A1295" s="66"/>
      <c r="B1295" s="66"/>
      <c r="C1295" s="67"/>
      <c r="D1295" s="67"/>
      <c r="E1295" s="67"/>
      <c r="F1295" s="67"/>
      <c r="G1295" s="67"/>
      <c r="H1295" s="67"/>
      <c r="I1295" s="67"/>
      <c r="J1295" s="67"/>
      <c r="K1295" s="67"/>
      <c r="L1295" s="67"/>
      <c r="M1295" s="67"/>
      <c r="N1295" s="67"/>
      <c r="O1295" s="16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C1295" s="11"/>
      <c r="AN1295" s="11"/>
      <c r="AX1295" s="11"/>
      <c r="BI1295" s="11"/>
      <c r="BT1295" s="11"/>
      <c r="CE1295" s="11"/>
      <c r="CT1295" s="9"/>
      <c r="CU1295" s="9"/>
    </row>
    <row r="1296" spans="1:99" ht="15" x14ac:dyDescent="0.25">
      <c r="A1296" s="66"/>
      <c r="B1296" s="66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16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C1296" s="11"/>
      <c r="AN1296" s="11"/>
      <c r="AX1296" s="11"/>
      <c r="BI1296" s="11"/>
      <c r="BT1296" s="11"/>
      <c r="CE1296" s="11"/>
      <c r="CT1296" s="9"/>
      <c r="CU1296" s="9"/>
    </row>
    <row r="1297" spans="1:99" ht="15" x14ac:dyDescent="0.25">
      <c r="A1297" s="66"/>
      <c r="B1297" s="66"/>
      <c r="C1297" s="67"/>
      <c r="D1297" s="67"/>
      <c r="E1297" s="67"/>
      <c r="F1297" s="67"/>
      <c r="G1297" s="67"/>
      <c r="H1297" s="67"/>
      <c r="I1297" s="67"/>
      <c r="J1297" s="67"/>
      <c r="K1297" s="67"/>
      <c r="L1297" s="67"/>
      <c r="M1297" s="67"/>
      <c r="N1297" s="67"/>
      <c r="O1297" s="16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C1297" s="11"/>
      <c r="AN1297" s="11"/>
      <c r="AX1297" s="11"/>
      <c r="BI1297" s="11"/>
      <c r="BT1297" s="11"/>
      <c r="CE1297" s="11"/>
      <c r="CT1297" s="9"/>
      <c r="CU1297" s="9"/>
    </row>
    <row r="1298" spans="1:99" ht="15" x14ac:dyDescent="0.25">
      <c r="A1298" s="66"/>
      <c r="B1298" s="66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16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C1298" s="11"/>
      <c r="AN1298" s="11"/>
      <c r="AX1298" s="11"/>
      <c r="BI1298" s="11"/>
      <c r="BT1298" s="11"/>
      <c r="CE1298" s="11"/>
      <c r="CT1298" s="9"/>
      <c r="CU1298" s="9"/>
    </row>
    <row r="1299" spans="1:99" ht="15" x14ac:dyDescent="0.25">
      <c r="A1299" s="66"/>
      <c r="B1299" s="66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16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C1299" s="11"/>
      <c r="AN1299" s="11"/>
      <c r="AX1299" s="11"/>
      <c r="BI1299" s="11"/>
      <c r="BT1299" s="11"/>
      <c r="CE1299" s="11"/>
      <c r="CT1299" s="9"/>
      <c r="CU1299" s="9"/>
    </row>
    <row r="1300" spans="1:99" ht="15" x14ac:dyDescent="0.25">
      <c r="A1300" s="66"/>
      <c r="B1300" s="66"/>
      <c r="C1300" s="67"/>
      <c r="D1300" s="67"/>
      <c r="E1300" s="67"/>
      <c r="F1300" s="67"/>
      <c r="G1300" s="67"/>
      <c r="H1300" s="67"/>
      <c r="I1300" s="67"/>
      <c r="J1300" s="67"/>
      <c r="K1300" s="67"/>
      <c r="L1300" s="67"/>
      <c r="M1300" s="67"/>
      <c r="N1300" s="67"/>
      <c r="O1300" s="16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C1300" s="11"/>
      <c r="AN1300" s="11"/>
      <c r="AX1300" s="11"/>
      <c r="BI1300" s="11"/>
      <c r="BT1300" s="11"/>
      <c r="CE1300" s="11"/>
      <c r="CT1300" s="9"/>
      <c r="CU1300" s="9"/>
    </row>
    <row r="1301" spans="1:99" ht="15" x14ac:dyDescent="0.25">
      <c r="A1301" s="66"/>
      <c r="B1301" s="66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16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C1301" s="11"/>
      <c r="AN1301" s="11"/>
      <c r="AX1301" s="11"/>
      <c r="BI1301" s="11"/>
      <c r="BT1301" s="11"/>
      <c r="CE1301" s="11"/>
      <c r="CT1301" s="9"/>
      <c r="CU1301" s="9"/>
    </row>
    <row r="1302" spans="1:99" ht="15" x14ac:dyDescent="0.25">
      <c r="A1302" s="66"/>
      <c r="B1302" s="66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16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C1302" s="11"/>
      <c r="AN1302" s="11"/>
      <c r="AX1302" s="11"/>
      <c r="BI1302" s="11"/>
      <c r="BT1302" s="11"/>
      <c r="CE1302" s="11"/>
      <c r="CT1302" s="9"/>
      <c r="CU1302" s="9"/>
    </row>
    <row r="1303" spans="1:99" ht="15" x14ac:dyDescent="0.25">
      <c r="A1303" s="66"/>
      <c r="B1303" s="66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16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C1303" s="11"/>
      <c r="AN1303" s="11"/>
      <c r="AX1303" s="11"/>
      <c r="BI1303" s="11"/>
      <c r="BT1303" s="11"/>
      <c r="CE1303" s="11"/>
      <c r="CT1303" s="9"/>
      <c r="CU1303" s="9"/>
    </row>
    <row r="1304" spans="1:99" ht="15" x14ac:dyDescent="0.25">
      <c r="A1304" s="66"/>
      <c r="B1304" s="66"/>
      <c r="C1304" s="67"/>
      <c r="D1304" s="67"/>
      <c r="E1304" s="67"/>
      <c r="F1304" s="67"/>
      <c r="G1304" s="67"/>
      <c r="H1304" s="67"/>
      <c r="I1304" s="67"/>
      <c r="J1304" s="67"/>
      <c r="K1304" s="67"/>
      <c r="L1304" s="67"/>
      <c r="M1304" s="67"/>
      <c r="N1304" s="67"/>
      <c r="O1304" s="16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C1304" s="11"/>
      <c r="AN1304" s="11"/>
      <c r="AX1304" s="11"/>
      <c r="BI1304" s="11"/>
      <c r="BT1304" s="11"/>
      <c r="CE1304" s="11"/>
      <c r="CT1304" s="9"/>
      <c r="CU1304" s="9"/>
    </row>
    <row r="1305" spans="1:99" ht="15" x14ac:dyDescent="0.25">
      <c r="A1305" s="66"/>
      <c r="B1305" s="66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16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C1305" s="11"/>
      <c r="AN1305" s="11"/>
      <c r="AX1305" s="11"/>
      <c r="BI1305" s="11"/>
      <c r="BT1305" s="11"/>
      <c r="CE1305" s="11"/>
      <c r="CT1305" s="9"/>
      <c r="CU1305" s="9"/>
    </row>
    <row r="1306" spans="1:99" ht="15" x14ac:dyDescent="0.25">
      <c r="A1306" s="66"/>
      <c r="B1306" s="66"/>
      <c r="C1306" s="67"/>
      <c r="D1306" s="67"/>
      <c r="E1306" s="67"/>
      <c r="F1306" s="67"/>
      <c r="G1306" s="67"/>
      <c r="H1306" s="67"/>
      <c r="I1306" s="67"/>
      <c r="J1306" s="67"/>
      <c r="K1306" s="67"/>
      <c r="L1306" s="67"/>
      <c r="M1306" s="67"/>
      <c r="N1306" s="67"/>
      <c r="O1306" s="16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C1306" s="11"/>
      <c r="AN1306" s="11"/>
      <c r="AX1306" s="11"/>
      <c r="BI1306" s="11"/>
      <c r="BT1306" s="11"/>
      <c r="CE1306" s="11"/>
      <c r="CT1306" s="9"/>
      <c r="CU1306" s="9"/>
    </row>
    <row r="1307" spans="1:99" ht="15" x14ac:dyDescent="0.25">
      <c r="A1307" s="66"/>
      <c r="B1307" s="66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16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C1307" s="11"/>
      <c r="AN1307" s="11"/>
      <c r="AX1307" s="11"/>
      <c r="BI1307" s="11"/>
      <c r="BT1307" s="11"/>
      <c r="CE1307" s="11"/>
      <c r="CT1307" s="9"/>
      <c r="CU1307" s="9"/>
    </row>
    <row r="1308" spans="1:99" ht="15" x14ac:dyDescent="0.25">
      <c r="A1308" s="66"/>
      <c r="B1308" s="66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16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C1308" s="11"/>
      <c r="AN1308" s="11"/>
      <c r="AX1308" s="11"/>
      <c r="BI1308" s="11"/>
      <c r="BT1308" s="11"/>
      <c r="CE1308" s="11"/>
      <c r="CT1308" s="9"/>
      <c r="CU1308" s="9"/>
    </row>
    <row r="1309" spans="1:99" ht="15" x14ac:dyDescent="0.25">
      <c r="A1309" s="66"/>
      <c r="B1309" s="66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16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C1309" s="11"/>
      <c r="AN1309" s="11"/>
      <c r="AX1309" s="11"/>
      <c r="BI1309" s="11"/>
      <c r="BT1309" s="11"/>
      <c r="CE1309" s="11"/>
      <c r="CT1309" s="9"/>
      <c r="CU1309" s="9"/>
    </row>
    <row r="1310" spans="1:99" ht="15" x14ac:dyDescent="0.25">
      <c r="A1310" s="66"/>
      <c r="B1310" s="66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16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C1310" s="11"/>
      <c r="AN1310" s="11"/>
      <c r="AX1310" s="11"/>
      <c r="BI1310" s="11"/>
      <c r="BT1310" s="11"/>
      <c r="CE1310" s="11"/>
      <c r="CT1310" s="9"/>
      <c r="CU1310" s="9"/>
    </row>
    <row r="1311" spans="1:99" ht="15" x14ac:dyDescent="0.25">
      <c r="A1311" s="66"/>
      <c r="B1311" s="66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16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C1311" s="11"/>
      <c r="AN1311" s="11"/>
      <c r="AX1311" s="11"/>
      <c r="BI1311" s="11"/>
      <c r="BT1311" s="11"/>
      <c r="CE1311" s="11"/>
      <c r="CT1311" s="9"/>
      <c r="CU1311" s="9"/>
    </row>
    <row r="1312" spans="1:99" ht="15" x14ac:dyDescent="0.25">
      <c r="A1312" s="66"/>
      <c r="B1312" s="66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16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C1312" s="11"/>
      <c r="AN1312" s="11"/>
      <c r="AX1312" s="11"/>
      <c r="BI1312" s="11"/>
      <c r="BT1312" s="11"/>
      <c r="CE1312" s="11"/>
      <c r="CT1312" s="9"/>
      <c r="CU1312" s="9"/>
    </row>
    <row r="1313" spans="1:99" ht="15" x14ac:dyDescent="0.25">
      <c r="A1313" s="66"/>
      <c r="B1313" s="66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16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C1313" s="11"/>
      <c r="AN1313" s="11"/>
      <c r="AX1313" s="11"/>
      <c r="BI1313" s="11"/>
      <c r="BT1313" s="11"/>
      <c r="CE1313" s="11"/>
      <c r="CT1313" s="9"/>
      <c r="CU1313" s="9"/>
    </row>
    <row r="1314" spans="1:99" ht="15" x14ac:dyDescent="0.25">
      <c r="A1314" s="66"/>
      <c r="B1314" s="66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16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C1314" s="11"/>
      <c r="AN1314" s="11"/>
      <c r="AX1314" s="11"/>
      <c r="BI1314" s="11"/>
      <c r="BT1314" s="11"/>
      <c r="CE1314" s="11"/>
      <c r="CT1314" s="9"/>
      <c r="CU1314" s="9"/>
    </row>
    <row r="1315" spans="1:99" ht="15" x14ac:dyDescent="0.25">
      <c r="A1315" s="66"/>
      <c r="B1315" s="66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16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C1315" s="11"/>
      <c r="AN1315" s="11"/>
      <c r="AX1315" s="11"/>
      <c r="BI1315" s="11"/>
      <c r="BT1315" s="11"/>
      <c r="CE1315" s="11"/>
      <c r="CT1315" s="9"/>
      <c r="CU1315" s="9"/>
    </row>
    <row r="1316" spans="1:99" ht="15" x14ac:dyDescent="0.25">
      <c r="A1316" s="66"/>
      <c r="B1316" s="66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16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C1316" s="11"/>
      <c r="AN1316" s="11"/>
      <c r="AX1316" s="11"/>
      <c r="BI1316" s="11"/>
      <c r="BT1316" s="11"/>
      <c r="CE1316" s="11"/>
      <c r="CT1316" s="9"/>
      <c r="CU1316" s="9"/>
    </row>
    <row r="1317" spans="1:99" ht="15" x14ac:dyDescent="0.25">
      <c r="A1317" s="66"/>
      <c r="B1317" s="66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16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C1317" s="11"/>
      <c r="AN1317" s="11"/>
      <c r="AX1317" s="11"/>
      <c r="BI1317" s="11"/>
      <c r="BT1317" s="11"/>
      <c r="CE1317" s="11"/>
      <c r="CT1317" s="9"/>
      <c r="CU1317" s="9"/>
    </row>
    <row r="1318" spans="1:99" ht="15" x14ac:dyDescent="0.25">
      <c r="A1318" s="66"/>
      <c r="B1318" s="66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16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C1318" s="11"/>
      <c r="AN1318" s="11"/>
      <c r="AX1318" s="11"/>
      <c r="BI1318" s="11"/>
      <c r="BT1318" s="11"/>
      <c r="CE1318" s="11"/>
      <c r="CT1318" s="9"/>
      <c r="CU1318" s="9"/>
    </row>
    <row r="1319" spans="1:99" ht="15" x14ac:dyDescent="0.25">
      <c r="A1319" s="66"/>
      <c r="B1319" s="66"/>
      <c r="C1319" s="67"/>
      <c r="D1319" s="67"/>
      <c r="E1319" s="67"/>
      <c r="F1319" s="67"/>
      <c r="G1319" s="67"/>
      <c r="H1319" s="67"/>
      <c r="I1319" s="67"/>
      <c r="J1319" s="67"/>
      <c r="K1319" s="67"/>
      <c r="L1319" s="67"/>
      <c r="M1319" s="67"/>
      <c r="N1319" s="67"/>
      <c r="O1319" s="16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C1319" s="11"/>
      <c r="AN1319" s="11"/>
      <c r="AX1319" s="11"/>
      <c r="BI1319" s="11"/>
      <c r="BT1319" s="11"/>
      <c r="CE1319" s="11"/>
      <c r="CT1319" s="9"/>
      <c r="CU1319" s="9"/>
    </row>
    <row r="1320" spans="1:99" ht="15" x14ac:dyDescent="0.25">
      <c r="A1320" s="66"/>
      <c r="B1320" s="66"/>
      <c r="C1320" s="67"/>
      <c r="D1320" s="67"/>
      <c r="E1320" s="67"/>
      <c r="F1320" s="67"/>
      <c r="G1320" s="67"/>
      <c r="H1320" s="67"/>
      <c r="I1320" s="67"/>
      <c r="J1320" s="67"/>
      <c r="K1320" s="67"/>
      <c r="L1320" s="67"/>
      <c r="M1320" s="67"/>
      <c r="N1320" s="67"/>
      <c r="O1320" s="16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C1320" s="11"/>
      <c r="AN1320" s="11"/>
      <c r="AX1320" s="11"/>
      <c r="BI1320" s="11"/>
      <c r="BT1320" s="11"/>
      <c r="CE1320" s="11"/>
      <c r="CT1320" s="9"/>
      <c r="CU1320" s="9"/>
    </row>
    <row r="1321" spans="1:99" ht="15" x14ac:dyDescent="0.25">
      <c r="A1321" s="66"/>
      <c r="B1321" s="66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16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C1321" s="11"/>
      <c r="AN1321" s="11"/>
      <c r="AX1321" s="11"/>
      <c r="BI1321" s="11"/>
      <c r="BT1321" s="11"/>
      <c r="CE1321" s="11"/>
      <c r="CT1321" s="9"/>
      <c r="CU1321" s="9"/>
    </row>
    <row r="1322" spans="1:99" ht="15" x14ac:dyDescent="0.25">
      <c r="A1322" s="66"/>
      <c r="B1322" s="66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16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C1322" s="11"/>
      <c r="AN1322" s="11"/>
      <c r="AX1322" s="11"/>
      <c r="BI1322" s="11"/>
      <c r="BT1322" s="11"/>
      <c r="CE1322" s="11"/>
      <c r="CT1322" s="9"/>
      <c r="CU1322" s="9"/>
    </row>
    <row r="1323" spans="1:99" ht="15" x14ac:dyDescent="0.25">
      <c r="A1323" s="66"/>
      <c r="B1323" s="66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16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C1323" s="11"/>
      <c r="AN1323" s="11"/>
      <c r="AX1323" s="11"/>
      <c r="BI1323" s="11"/>
      <c r="BT1323" s="11"/>
      <c r="CE1323" s="11"/>
      <c r="CT1323" s="9"/>
      <c r="CU1323" s="9"/>
    </row>
    <row r="1324" spans="1:99" ht="15" x14ac:dyDescent="0.25">
      <c r="A1324" s="66"/>
      <c r="B1324" s="66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16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C1324" s="11"/>
      <c r="AN1324" s="11"/>
      <c r="AX1324" s="11"/>
      <c r="BI1324" s="11"/>
      <c r="BT1324" s="11"/>
      <c r="CE1324" s="11"/>
      <c r="CT1324" s="9"/>
      <c r="CU1324" s="9"/>
    </row>
    <row r="1325" spans="1:99" ht="15" x14ac:dyDescent="0.25">
      <c r="A1325" s="66"/>
      <c r="B1325" s="66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16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C1325" s="11"/>
      <c r="AN1325" s="11"/>
      <c r="AX1325" s="11"/>
      <c r="BI1325" s="11"/>
      <c r="BT1325" s="11"/>
      <c r="CE1325" s="11"/>
      <c r="CT1325" s="9"/>
      <c r="CU1325" s="9"/>
    </row>
    <row r="1326" spans="1:99" ht="15" x14ac:dyDescent="0.25">
      <c r="A1326" s="66"/>
      <c r="B1326" s="66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16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C1326" s="11"/>
      <c r="AN1326" s="11"/>
      <c r="AX1326" s="11"/>
      <c r="BI1326" s="11"/>
      <c r="BT1326" s="11"/>
      <c r="CE1326" s="11"/>
      <c r="CT1326" s="9"/>
      <c r="CU1326" s="9"/>
    </row>
    <row r="1327" spans="1:99" ht="15" x14ac:dyDescent="0.25">
      <c r="A1327" s="66"/>
      <c r="B1327" s="66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16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C1327" s="11"/>
      <c r="AN1327" s="11"/>
      <c r="AX1327" s="11"/>
      <c r="BI1327" s="11"/>
      <c r="BT1327" s="11"/>
      <c r="CE1327" s="11"/>
      <c r="CT1327" s="9"/>
      <c r="CU1327" s="9"/>
    </row>
    <row r="1328" spans="1:99" ht="15" x14ac:dyDescent="0.25">
      <c r="A1328" s="66"/>
      <c r="B1328" s="66"/>
      <c r="C1328" s="67"/>
      <c r="D1328" s="67"/>
      <c r="E1328" s="67"/>
      <c r="F1328" s="67"/>
      <c r="G1328" s="67"/>
      <c r="H1328" s="67"/>
      <c r="I1328" s="67"/>
      <c r="J1328" s="67"/>
      <c r="K1328" s="67"/>
      <c r="L1328" s="67"/>
      <c r="M1328" s="67"/>
      <c r="N1328" s="67"/>
      <c r="O1328" s="16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C1328" s="11"/>
      <c r="AN1328" s="11"/>
      <c r="AX1328" s="11"/>
      <c r="BI1328" s="11"/>
      <c r="BT1328" s="11"/>
      <c r="CE1328" s="11"/>
      <c r="CT1328" s="9"/>
      <c r="CU1328" s="9"/>
    </row>
    <row r="1329" spans="1:99" ht="15" x14ac:dyDescent="0.25">
      <c r="A1329" s="66"/>
      <c r="B1329" s="66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16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C1329" s="11"/>
      <c r="AN1329" s="11"/>
      <c r="AX1329" s="11"/>
      <c r="BI1329" s="11"/>
      <c r="BT1329" s="11"/>
      <c r="CE1329" s="11"/>
      <c r="CT1329" s="9"/>
      <c r="CU1329" s="9"/>
    </row>
    <row r="1330" spans="1:99" ht="15" x14ac:dyDescent="0.25">
      <c r="A1330" s="66"/>
      <c r="B1330" s="66"/>
      <c r="C1330" s="67"/>
      <c r="D1330" s="67"/>
      <c r="E1330" s="67"/>
      <c r="F1330" s="67"/>
      <c r="G1330" s="67"/>
      <c r="H1330" s="67"/>
      <c r="I1330" s="67"/>
      <c r="J1330" s="67"/>
      <c r="K1330" s="67"/>
      <c r="L1330" s="67"/>
      <c r="M1330" s="67"/>
      <c r="N1330" s="67"/>
      <c r="O1330" s="16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C1330" s="11"/>
      <c r="AN1330" s="11"/>
      <c r="AX1330" s="11"/>
      <c r="BI1330" s="11"/>
      <c r="BT1330" s="11"/>
      <c r="CE1330" s="11"/>
      <c r="CT1330" s="9"/>
      <c r="CU1330" s="9"/>
    </row>
    <row r="1331" spans="1:99" ht="15" x14ac:dyDescent="0.25">
      <c r="A1331" s="66"/>
      <c r="B1331" s="66"/>
      <c r="C1331" s="67"/>
      <c r="D1331" s="67"/>
      <c r="E1331" s="67"/>
      <c r="F1331" s="67"/>
      <c r="G1331" s="67"/>
      <c r="H1331" s="67"/>
      <c r="I1331" s="67"/>
      <c r="J1331" s="67"/>
      <c r="K1331" s="67"/>
      <c r="L1331" s="67"/>
      <c r="M1331" s="67"/>
      <c r="N1331" s="67"/>
      <c r="O1331" s="16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C1331" s="11"/>
      <c r="AN1331" s="11"/>
      <c r="AX1331" s="11"/>
      <c r="BI1331" s="11"/>
      <c r="BT1331" s="11"/>
      <c r="CE1331" s="11"/>
      <c r="CT1331" s="9"/>
      <c r="CU1331" s="9"/>
    </row>
    <row r="1332" spans="1:99" ht="15" x14ac:dyDescent="0.25">
      <c r="A1332" s="66"/>
      <c r="B1332" s="66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16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C1332" s="11"/>
      <c r="AN1332" s="11"/>
      <c r="AX1332" s="11"/>
      <c r="BI1332" s="11"/>
      <c r="BT1332" s="11"/>
      <c r="CE1332" s="11"/>
      <c r="CT1332" s="9"/>
      <c r="CU1332" s="9"/>
    </row>
    <row r="1333" spans="1:99" ht="15" x14ac:dyDescent="0.25">
      <c r="A1333" s="66"/>
      <c r="B1333" s="66"/>
      <c r="C1333" s="67"/>
      <c r="D1333" s="67"/>
      <c r="E1333" s="67"/>
      <c r="F1333" s="67"/>
      <c r="G1333" s="67"/>
      <c r="H1333" s="67"/>
      <c r="I1333" s="67"/>
      <c r="J1333" s="67"/>
      <c r="K1333" s="67"/>
      <c r="L1333" s="67"/>
      <c r="M1333" s="67"/>
      <c r="N1333" s="67"/>
      <c r="O1333" s="16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C1333" s="11"/>
      <c r="AN1333" s="11"/>
      <c r="AX1333" s="11"/>
      <c r="BI1333" s="11"/>
      <c r="BT1333" s="11"/>
      <c r="CE1333" s="11"/>
      <c r="CT1333" s="9"/>
      <c r="CU1333" s="9"/>
    </row>
    <row r="1334" spans="1:99" ht="15" x14ac:dyDescent="0.25">
      <c r="A1334" s="66"/>
      <c r="B1334" s="66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16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C1334" s="11"/>
      <c r="AN1334" s="11"/>
      <c r="AX1334" s="11"/>
      <c r="BI1334" s="11"/>
      <c r="BT1334" s="11"/>
      <c r="CE1334" s="11"/>
      <c r="CT1334" s="9"/>
      <c r="CU1334" s="9"/>
    </row>
    <row r="1335" spans="1:99" ht="15" x14ac:dyDescent="0.25">
      <c r="A1335" s="66"/>
      <c r="B1335" s="66"/>
      <c r="C1335" s="67"/>
      <c r="D1335" s="67"/>
      <c r="E1335" s="67"/>
      <c r="F1335" s="67"/>
      <c r="G1335" s="67"/>
      <c r="H1335" s="67"/>
      <c r="I1335" s="67"/>
      <c r="J1335" s="67"/>
      <c r="K1335" s="67"/>
      <c r="L1335" s="67"/>
      <c r="M1335" s="67"/>
      <c r="N1335" s="67"/>
      <c r="O1335" s="16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C1335" s="11"/>
      <c r="AN1335" s="11"/>
      <c r="AX1335" s="11"/>
      <c r="BI1335" s="11"/>
      <c r="BT1335" s="11"/>
      <c r="CE1335" s="11"/>
      <c r="CT1335" s="9"/>
      <c r="CU1335" s="9"/>
    </row>
    <row r="1336" spans="1:99" ht="15" x14ac:dyDescent="0.25">
      <c r="A1336" s="66"/>
      <c r="B1336" s="66"/>
      <c r="C1336" s="67"/>
      <c r="D1336" s="67"/>
      <c r="E1336" s="67"/>
      <c r="F1336" s="67"/>
      <c r="G1336" s="67"/>
      <c r="H1336" s="67"/>
      <c r="I1336" s="67"/>
      <c r="J1336" s="67"/>
      <c r="K1336" s="67"/>
      <c r="L1336" s="67"/>
      <c r="M1336" s="67"/>
      <c r="N1336" s="67"/>
      <c r="O1336" s="16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C1336" s="11"/>
      <c r="AN1336" s="11"/>
      <c r="AX1336" s="11"/>
      <c r="BI1336" s="11"/>
      <c r="BT1336" s="11"/>
      <c r="CE1336" s="11"/>
      <c r="CT1336" s="9"/>
      <c r="CU1336" s="9"/>
    </row>
    <row r="1337" spans="1:99" ht="15" x14ac:dyDescent="0.25">
      <c r="A1337" s="66"/>
      <c r="B1337" s="66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16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C1337" s="11"/>
      <c r="AN1337" s="11"/>
      <c r="AX1337" s="11"/>
      <c r="BI1337" s="11"/>
      <c r="BT1337" s="11"/>
      <c r="CE1337" s="11"/>
      <c r="CT1337" s="9"/>
      <c r="CU1337" s="9"/>
    </row>
    <row r="1338" spans="1:99" ht="15" x14ac:dyDescent="0.25">
      <c r="A1338" s="66"/>
      <c r="B1338" s="66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16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C1338" s="11"/>
      <c r="AN1338" s="11"/>
      <c r="AX1338" s="11"/>
      <c r="BI1338" s="11"/>
      <c r="BT1338" s="11"/>
      <c r="CE1338" s="11"/>
      <c r="CT1338" s="9"/>
      <c r="CU1338" s="9"/>
    </row>
    <row r="1339" spans="1:99" ht="15" x14ac:dyDescent="0.25">
      <c r="A1339" s="66"/>
      <c r="B1339" s="66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16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C1339" s="11"/>
      <c r="AN1339" s="11"/>
      <c r="AX1339" s="11"/>
      <c r="BI1339" s="11"/>
      <c r="BT1339" s="11"/>
      <c r="CE1339" s="11"/>
      <c r="CT1339" s="9"/>
      <c r="CU1339" s="9"/>
    </row>
    <row r="1340" spans="1:99" ht="15" x14ac:dyDescent="0.25">
      <c r="A1340" s="66"/>
      <c r="B1340" s="66"/>
      <c r="C1340" s="67"/>
      <c r="D1340" s="67"/>
      <c r="E1340" s="67"/>
      <c r="F1340" s="67"/>
      <c r="G1340" s="67"/>
      <c r="H1340" s="67"/>
      <c r="I1340" s="67"/>
      <c r="J1340" s="67"/>
      <c r="K1340" s="67"/>
      <c r="L1340" s="67"/>
      <c r="M1340" s="67"/>
      <c r="N1340" s="67"/>
      <c r="O1340" s="16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C1340" s="11"/>
      <c r="AN1340" s="11"/>
      <c r="AX1340" s="11"/>
      <c r="BI1340" s="11"/>
      <c r="BT1340" s="11"/>
      <c r="CE1340" s="11"/>
      <c r="CT1340" s="9"/>
      <c r="CU1340" s="9"/>
    </row>
    <row r="1341" spans="1:99" ht="15" x14ac:dyDescent="0.25">
      <c r="A1341" s="66"/>
      <c r="B1341" s="66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16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C1341" s="11"/>
      <c r="AN1341" s="11"/>
      <c r="AX1341" s="11"/>
      <c r="BI1341" s="11"/>
      <c r="BT1341" s="11"/>
      <c r="CE1341" s="11"/>
      <c r="CT1341" s="9"/>
      <c r="CU1341" s="9"/>
    </row>
    <row r="1342" spans="1:99" ht="15" x14ac:dyDescent="0.25">
      <c r="A1342" s="66"/>
      <c r="B1342" s="66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16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C1342" s="11"/>
      <c r="AN1342" s="11"/>
      <c r="AX1342" s="11"/>
      <c r="BI1342" s="11"/>
      <c r="BT1342" s="11"/>
      <c r="CE1342" s="11"/>
      <c r="CT1342" s="9"/>
      <c r="CU1342" s="9"/>
    </row>
    <row r="1343" spans="1:99" ht="15" x14ac:dyDescent="0.25">
      <c r="A1343" s="66"/>
      <c r="B1343" s="66"/>
      <c r="C1343" s="67"/>
      <c r="D1343" s="67"/>
      <c r="E1343" s="67"/>
      <c r="F1343" s="67"/>
      <c r="G1343" s="67"/>
      <c r="H1343" s="67"/>
      <c r="I1343" s="67"/>
      <c r="J1343" s="67"/>
      <c r="K1343" s="67"/>
      <c r="L1343" s="67"/>
      <c r="M1343" s="67"/>
      <c r="N1343" s="67"/>
      <c r="O1343" s="16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C1343" s="11"/>
      <c r="AN1343" s="11"/>
      <c r="AX1343" s="11"/>
      <c r="BI1343" s="11"/>
      <c r="BT1343" s="11"/>
      <c r="CE1343" s="11"/>
      <c r="CT1343" s="9"/>
      <c r="CU1343" s="9"/>
    </row>
    <row r="1344" spans="1:99" ht="15" x14ac:dyDescent="0.25">
      <c r="A1344" s="66"/>
      <c r="B1344" s="66"/>
      <c r="C1344" s="67"/>
      <c r="D1344" s="67"/>
      <c r="E1344" s="67"/>
      <c r="F1344" s="67"/>
      <c r="G1344" s="67"/>
      <c r="H1344" s="67"/>
      <c r="I1344" s="67"/>
      <c r="J1344" s="67"/>
      <c r="K1344" s="67"/>
      <c r="L1344" s="67"/>
      <c r="M1344" s="67"/>
      <c r="N1344" s="67"/>
      <c r="O1344" s="16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C1344" s="11"/>
      <c r="AN1344" s="11"/>
      <c r="AX1344" s="11"/>
      <c r="BI1344" s="11"/>
      <c r="BT1344" s="11"/>
      <c r="CE1344" s="11"/>
      <c r="CT1344" s="9"/>
      <c r="CU1344" s="9"/>
    </row>
    <row r="1345" spans="1:99" ht="15" x14ac:dyDescent="0.25">
      <c r="A1345" s="66"/>
      <c r="B1345" s="66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16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C1345" s="11"/>
      <c r="AN1345" s="11"/>
      <c r="AX1345" s="11"/>
      <c r="BI1345" s="11"/>
      <c r="BT1345" s="11"/>
      <c r="CE1345" s="11"/>
      <c r="CT1345" s="9"/>
      <c r="CU1345" s="9"/>
    </row>
    <row r="1346" spans="1:99" ht="15" x14ac:dyDescent="0.25">
      <c r="A1346" s="66"/>
      <c r="B1346" s="66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16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C1346" s="11"/>
      <c r="AN1346" s="11"/>
      <c r="AX1346" s="11"/>
      <c r="BI1346" s="11"/>
      <c r="BT1346" s="11"/>
      <c r="CE1346" s="11"/>
      <c r="CT1346" s="9"/>
      <c r="CU1346" s="9"/>
    </row>
    <row r="1347" spans="1:99" ht="15" x14ac:dyDescent="0.25">
      <c r="A1347" s="66"/>
      <c r="B1347" s="66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16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C1347" s="11"/>
      <c r="AN1347" s="11"/>
      <c r="AX1347" s="11"/>
      <c r="BI1347" s="11"/>
      <c r="BT1347" s="11"/>
      <c r="CE1347" s="11"/>
      <c r="CT1347" s="9"/>
      <c r="CU1347" s="9"/>
    </row>
    <row r="1348" spans="1:99" ht="15" x14ac:dyDescent="0.25">
      <c r="A1348" s="66"/>
      <c r="B1348" s="66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16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C1348" s="11"/>
      <c r="AN1348" s="11"/>
      <c r="AX1348" s="11"/>
      <c r="BI1348" s="11"/>
      <c r="BT1348" s="11"/>
      <c r="CE1348" s="11"/>
      <c r="CT1348" s="9"/>
      <c r="CU1348" s="9"/>
    </row>
    <row r="1349" spans="1:99" ht="15" x14ac:dyDescent="0.25">
      <c r="A1349" s="66"/>
      <c r="B1349" s="66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16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C1349" s="11"/>
      <c r="AN1349" s="11"/>
      <c r="AX1349" s="11"/>
      <c r="BI1349" s="11"/>
      <c r="BT1349" s="11"/>
      <c r="CE1349" s="11"/>
      <c r="CT1349" s="9"/>
      <c r="CU1349" s="9"/>
    </row>
    <row r="1350" spans="1:99" ht="15" x14ac:dyDescent="0.25">
      <c r="A1350" s="66"/>
      <c r="B1350" s="66"/>
      <c r="C1350" s="67"/>
      <c r="D1350" s="67"/>
      <c r="E1350" s="67"/>
      <c r="F1350" s="67"/>
      <c r="G1350" s="67"/>
      <c r="H1350" s="67"/>
      <c r="I1350" s="67"/>
      <c r="J1350" s="67"/>
      <c r="K1350" s="67"/>
      <c r="L1350" s="67"/>
      <c r="M1350" s="67"/>
      <c r="N1350" s="67"/>
      <c r="O1350" s="16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C1350" s="11"/>
      <c r="AN1350" s="11"/>
      <c r="AX1350" s="11"/>
      <c r="BI1350" s="11"/>
      <c r="BT1350" s="11"/>
      <c r="CE1350" s="11"/>
      <c r="CT1350" s="9"/>
      <c r="CU1350" s="9"/>
    </row>
    <row r="1351" spans="1:99" ht="15" x14ac:dyDescent="0.25">
      <c r="A1351" s="66"/>
      <c r="B1351" s="66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16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C1351" s="11"/>
      <c r="AN1351" s="11"/>
      <c r="AX1351" s="11"/>
      <c r="BI1351" s="11"/>
      <c r="BT1351" s="11"/>
      <c r="CE1351" s="11"/>
      <c r="CT1351" s="9"/>
      <c r="CU1351" s="9"/>
    </row>
    <row r="1352" spans="1:99" ht="15" x14ac:dyDescent="0.25">
      <c r="A1352" s="66"/>
      <c r="B1352" s="66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16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C1352" s="11"/>
      <c r="AN1352" s="11"/>
      <c r="AX1352" s="11"/>
      <c r="BI1352" s="11"/>
      <c r="BT1352" s="11"/>
      <c r="CE1352" s="11"/>
      <c r="CT1352" s="9"/>
      <c r="CU1352" s="9"/>
    </row>
    <row r="1353" spans="1:99" ht="15" x14ac:dyDescent="0.25">
      <c r="A1353" s="66"/>
      <c r="B1353" s="66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16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C1353" s="11"/>
      <c r="AN1353" s="11"/>
      <c r="AX1353" s="11"/>
      <c r="BI1353" s="11"/>
      <c r="BT1353" s="11"/>
      <c r="CE1353" s="11"/>
      <c r="CT1353" s="9"/>
      <c r="CU1353" s="9"/>
    </row>
    <row r="1354" spans="1:99" ht="15" x14ac:dyDescent="0.25">
      <c r="A1354" s="66"/>
      <c r="B1354" s="66"/>
      <c r="C1354" s="67"/>
      <c r="D1354" s="67"/>
      <c r="E1354" s="67"/>
      <c r="F1354" s="67"/>
      <c r="G1354" s="67"/>
      <c r="H1354" s="67"/>
      <c r="I1354" s="67"/>
      <c r="J1354" s="67"/>
      <c r="K1354" s="67"/>
      <c r="L1354" s="67"/>
      <c r="M1354" s="67"/>
      <c r="N1354" s="67"/>
      <c r="O1354" s="16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C1354" s="11"/>
      <c r="AN1354" s="11"/>
      <c r="AX1354" s="11"/>
      <c r="BI1354" s="11"/>
      <c r="BT1354" s="11"/>
      <c r="CE1354" s="11"/>
      <c r="CT1354" s="9"/>
      <c r="CU1354" s="9"/>
    </row>
    <row r="1355" spans="1:99" ht="15" x14ac:dyDescent="0.25">
      <c r="A1355" s="66"/>
      <c r="B1355" s="66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16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C1355" s="11"/>
      <c r="AN1355" s="11"/>
      <c r="AX1355" s="11"/>
      <c r="BI1355" s="11"/>
      <c r="BT1355" s="11"/>
      <c r="CE1355" s="11"/>
      <c r="CT1355" s="9"/>
      <c r="CU1355" s="9"/>
    </row>
    <row r="1356" spans="1:99" ht="15" x14ac:dyDescent="0.25">
      <c r="A1356" s="66"/>
      <c r="B1356" s="66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16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C1356" s="11"/>
      <c r="AN1356" s="11"/>
      <c r="AX1356" s="11"/>
      <c r="BI1356" s="11"/>
      <c r="BT1356" s="11"/>
      <c r="CE1356" s="11"/>
      <c r="CT1356" s="9"/>
      <c r="CU1356" s="9"/>
    </row>
    <row r="1357" spans="1:99" ht="15" x14ac:dyDescent="0.25">
      <c r="A1357" s="66"/>
      <c r="B1357" s="66"/>
      <c r="C1357" s="67"/>
      <c r="D1357" s="67"/>
      <c r="E1357" s="67"/>
      <c r="F1357" s="67"/>
      <c r="G1357" s="67"/>
      <c r="H1357" s="67"/>
      <c r="I1357" s="67"/>
      <c r="J1357" s="67"/>
      <c r="K1357" s="67"/>
      <c r="L1357" s="67"/>
      <c r="M1357" s="67"/>
      <c r="N1357" s="67"/>
      <c r="O1357" s="16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C1357" s="11"/>
      <c r="AN1357" s="11"/>
      <c r="AX1357" s="11"/>
      <c r="BI1357" s="11"/>
      <c r="BT1357" s="11"/>
      <c r="CE1357" s="11"/>
      <c r="CT1357" s="9"/>
      <c r="CU1357" s="9"/>
    </row>
    <row r="1358" spans="1:99" ht="15" x14ac:dyDescent="0.25">
      <c r="A1358" s="66"/>
      <c r="B1358" s="66"/>
      <c r="C1358" s="67"/>
      <c r="D1358" s="67"/>
      <c r="E1358" s="67"/>
      <c r="F1358" s="67"/>
      <c r="G1358" s="67"/>
      <c r="H1358" s="67"/>
      <c r="I1358" s="67"/>
      <c r="J1358" s="67"/>
      <c r="K1358" s="67"/>
      <c r="L1358" s="67"/>
      <c r="M1358" s="67"/>
      <c r="N1358" s="67"/>
      <c r="O1358" s="16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C1358" s="11"/>
      <c r="AN1358" s="11"/>
      <c r="AX1358" s="11"/>
      <c r="BI1358" s="11"/>
      <c r="BT1358" s="11"/>
      <c r="CE1358" s="11"/>
      <c r="CT1358" s="9"/>
      <c r="CU1358" s="9"/>
    </row>
    <row r="1359" spans="1:99" ht="15" x14ac:dyDescent="0.25">
      <c r="A1359" s="66"/>
      <c r="B1359" s="66"/>
      <c r="C1359" s="67"/>
      <c r="D1359" s="67"/>
      <c r="E1359" s="67"/>
      <c r="F1359" s="67"/>
      <c r="G1359" s="67"/>
      <c r="H1359" s="67"/>
      <c r="I1359" s="67"/>
      <c r="J1359" s="67"/>
      <c r="K1359" s="67"/>
      <c r="L1359" s="67"/>
      <c r="M1359" s="67"/>
      <c r="N1359" s="67"/>
      <c r="O1359" s="16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C1359" s="11"/>
      <c r="AN1359" s="11"/>
      <c r="AX1359" s="11"/>
      <c r="BI1359" s="11"/>
      <c r="BT1359" s="11"/>
      <c r="CE1359" s="11"/>
      <c r="CT1359" s="9"/>
      <c r="CU1359" s="9"/>
    </row>
    <row r="1360" spans="1:99" ht="15" x14ac:dyDescent="0.25">
      <c r="A1360" s="66"/>
      <c r="B1360" s="66"/>
      <c r="C1360" s="67"/>
      <c r="D1360" s="67"/>
      <c r="E1360" s="67"/>
      <c r="F1360" s="67"/>
      <c r="G1360" s="67"/>
      <c r="H1360" s="67"/>
      <c r="I1360" s="67"/>
      <c r="J1360" s="67"/>
      <c r="K1360" s="67"/>
      <c r="L1360" s="67"/>
      <c r="M1360" s="67"/>
      <c r="N1360" s="67"/>
      <c r="O1360" s="16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C1360" s="11"/>
      <c r="AN1360" s="11"/>
      <c r="AX1360" s="11"/>
      <c r="BI1360" s="11"/>
      <c r="BT1360" s="11"/>
      <c r="CE1360" s="11"/>
      <c r="CT1360" s="9"/>
      <c r="CU1360" s="9"/>
    </row>
    <row r="1361" spans="1:99" ht="15" x14ac:dyDescent="0.25">
      <c r="A1361" s="66"/>
      <c r="B1361" s="66"/>
      <c r="C1361" s="67"/>
      <c r="D1361" s="67"/>
      <c r="E1361" s="67"/>
      <c r="F1361" s="67"/>
      <c r="G1361" s="67"/>
      <c r="H1361" s="67"/>
      <c r="I1361" s="67"/>
      <c r="J1361" s="67"/>
      <c r="K1361" s="67"/>
      <c r="L1361" s="67"/>
      <c r="M1361" s="67"/>
      <c r="N1361" s="67"/>
      <c r="O1361" s="16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C1361" s="11"/>
      <c r="AN1361" s="11"/>
      <c r="AX1361" s="11"/>
      <c r="BI1361" s="11"/>
      <c r="BT1361" s="11"/>
      <c r="CE1361" s="11"/>
      <c r="CT1361" s="9"/>
      <c r="CU1361" s="9"/>
    </row>
    <row r="1362" spans="1:99" ht="15" x14ac:dyDescent="0.25">
      <c r="A1362" s="66"/>
      <c r="B1362" s="66"/>
      <c r="C1362" s="67"/>
      <c r="D1362" s="67"/>
      <c r="E1362" s="67"/>
      <c r="F1362" s="67"/>
      <c r="G1362" s="67"/>
      <c r="H1362" s="67"/>
      <c r="I1362" s="67"/>
      <c r="J1362" s="67"/>
      <c r="K1362" s="67"/>
      <c r="L1362" s="67"/>
      <c r="M1362" s="67"/>
      <c r="N1362" s="67"/>
      <c r="O1362" s="16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C1362" s="11"/>
      <c r="AN1362" s="11"/>
      <c r="AX1362" s="11"/>
      <c r="BI1362" s="11"/>
      <c r="BT1362" s="11"/>
      <c r="CE1362" s="11"/>
      <c r="CT1362" s="9"/>
      <c r="CU1362" s="9"/>
    </row>
    <row r="1363" spans="1:99" ht="15" x14ac:dyDescent="0.25">
      <c r="A1363" s="66"/>
      <c r="B1363" s="66"/>
      <c r="C1363" s="67"/>
      <c r="D1363" s="67"/>
      <c r="E1363" s="67"/>
      <c r="F1363" s="67"/>
      <c r="G1363" s="67"/>
      <c r="H1363" s="67"/>
      <c r="I1363" s="67"/>
      <c r="J1363" s="67"/>
      <c r="K1363" s="67"/>
      <c r="L1363" s="67"/>
      <c r="M1363" s="67"/>
      <c r="N1363" s="67"/>
      <c r="O1363" s="16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C1363" s="11"/>
      <c r="AN1363" s="11"/>
      <c r="AX1363" s="11"/>
      <c r="BI1363" s="11"/>
      <c r="BT1363" s="11"/>
      <c r="CE1363" s="11"/>
      <c r="CT1363" s="9"/>
      <c r="CU1363" s="9"/>
    </row>
    <row r="1364" spans="1:99" ht="15" x14ac:dyDescent="0.25">
      <c r="A1364" s="66"/>
      <c r="B1364" s="66"/>
      <c r="C1364" s="67"/>
      <c r="D1364" s="67"/>
      <c r="E1364" s="67"/>
      <c r="F1364" s="67"/>
      <c r="G1364" s="67"/>
      <c r="H1364" s="67"/>
      <c r="I1364" s="67"/>
      <c r="J1364" s="67"/>
      <c r="K1364" s="67"/>
      <c r="L1364" s="67"/>
      <c r="M1364" s="67"/>
      <c r="N1364" s="67"/>
      <c r="O1364" s="16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C1364" s="11"/>
      <c r="AN1364" s="11"/>
      <c r="AX1364" s="11"/>
      <c r="BI1364" s="11"/>
      <c r="BT1364" s="11"/>
      <c r="CE1364" s="11"/>
      <c r="CT1364" s="9"/>
      <c r="CU1364" s="9"/>
    </row>
    <row r="1365" spans="1:99" ht="15" x14ac:dyDescent="0.25">
      <c r="A1365" s="66"/>
      <c r="B1365" s="66"/>
      <c r="C1365" s="67"/>
      <c r="D1365" s="67"/>
      <c r="E1365" s="67"/>
      <c r="F1365" s="67"/>
      <c r="G1365" s="67"/>
      <c r="H1365" s="67"/>
      <c r="I1365" s="67"/>
      <c r="J1365" s="67"/>
      <c r="K1365" s="67"/>
      <c r="L1365" s="67"/>
      <c r="M1365" s="67"/>
      <c r="N1365" s="67"/>
      <c r="O1365" s="16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C1365" s="11"/>
      <c r="AN1365" s="11"/>
      <c r="AX1365" s="11"/>
      <c r="BI1365" s="11"/>
      <c r="BT1365" s="11"/>
      <c r="CE1365" s="11"/>
      <c r="CT1365" s="9"/>
      <c r="CU1365" s="9"/>
    </row>
    <row r="1366" spans="1:99" ht="15" x14ac:dyDescent="0.25">
      <c r="A1366" s="66"/>
      <c r="B1366" s="66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10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C1366" s="11"/>
      <c r="AN1366" s="11"/>
      <c r="AX1366" s="11"/>
      <c r="BI1366" s="11"/>
      <c r="BT1366" s="11"/>
      <c r="CE1366" s="11"/>
      <c r="CT1366" s="9"/>
      <c r="CU1366" s="9"/>
    </row>
    <row r="1367" spans="1:99" ht="15" x14ac:dyDescent="0.25">
      <c r="A1367" s="10"/>
      <c r="B1367" s="10"/>
      <c r="C1367" s="16"/>
      <c r="D1367" s="16"/>
      <c r="E1367" s="16"/>
      <c r="F1367" s="16"/>
      <c r="G1367" s="16"/>
      <c r="H1367" s="16"/>
      <c r="I1367" s="10"/>
      <c r="J1367" s="10"/>
      <c r="K1367" s="10"/>
      <c r="L1367" s="10"/>
      <c r="M1367" s="10"/>
      <c r="N1367" s="10"/>
      <c r="O1367" s="10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C1367" s="11"/>
      <c r="AN1367" s="11"/>
      <c r="AX1367" s="11"/>
      <c r="BI1367" s="11"/>
      <c r="BT1367" s="11"/>
      <c r="CE1367" s="11"/>
      <c r="CT1367" s="9"/>
      <c r="CU1367" s="9"/>
    </row>
    <row r="1368" spans="1:99" ht="15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6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C1368" s="11"/>
      <c r="AN1368" s="11"/>
      <c r="AX1368" s="11"/>
      <c r="BI1368" s="11"/>
      <c r="BT1368" s="11"/>
      <c r="CE1368" s="11"/>
      <c r="CT1368" s="9"/>
      <c r="CU1368" s="9"/>
    </row>
    <row r="1369" spans="1:99" ht="15" x14ac:dyDescent="0.25">
      <c r="A1369" s="10"/>
      <c r="B1369" s="10"/>
      <c r="C1369" s="10"/>
      <c r="D1369" s="10"/>
      <c r="E1369" s="10"/>
      <c r="F1369" s="10"/>
      <c r="G1369" s="10"/>
      <c r="H1369" s="10"/>
      <c r="I1369" s="16"/>
      <c r="J1369" s="16"/>
      <c r="K1369" s="16"/>
      <c r="L1369" s="16"/>
      <c r="M1369" s="16"/>
      <c r="N1369" s="16"/>
      <c r="O1369" s="16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C1369" s="11"/>
      <c r="AN1369" s="11"/>
      <c r="AX1369" s="11"/>
      <c r="BI1369" s="11"/>
      <c r="BT1369" s="11"/>
      <c r="CE1369" s="11"/>
      <c r="CT1369" s="9"/>
      <c r="CU1369" s="9"/>
    </row>
    <row r="1370" spans="1:99" ht="15" x14ac:dyDescent="0.25">
      <c r="A1370" s="10"/>
      <c r="B1370" s="10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C1370" s="11"/>
      <c r="AN1370" s="11"/>
      <c r="AX1370" s="11"/>
      <c r="BI1370" s="11"/>
      <c r="BT1370" s="11"/>
      <c r="CE1370" s="11"/>
      <c r="CT1370" s="9"/>
      <c r="CU1370" s="9"/>
    </row>
    <row r="1371" spans="1:99" ht="15" x14ac:dyDescent="0.25">
      <c r="A1371" s="10"/>
      <c r="B1371" s="10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C1371" s="11"/>
      <c r="AN1371" s="11"/>
      <c r="AX1371" s="11"/>
      <c r="BI1371" s="11"/>
      <c r="BT1371" s="11"/>
      <c r="CE1371" s="11"/>
      <c r="CT1371" s="9"/>
      <c r="CU1371" s="9"/>
    </row>
    <row r="1372" spans="1:99" ht="15" x14ac:dyDescent="0.25">
      <c r="A1372" s="10"/>
      <c r="B1372" s="10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C1372" s="11"/>
      <c r="AN1372" s="11"/>
      <c r="AX1372" s="11"/>
      <c r="BI1372" s="11"/>
      <c r="BT1372" s="11"/>
      <c r="CE1372" s="11"/>
      <c r="CT1372" s="9"/>
      <c r="CU1372" s="9"/>
    </row>
    <row r="1373" spans="1:99" ht="15" x14ac:dyDescent="0.25">
      <c r="A1373" s="10"/>
      <c r="B1373" s="10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0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C1373" s="11"/>
      <c r="AN1373" s="11"/>
      <c r="AX1373" s="11"/>
      <c r="BI1373" s="11"/>
      <c r="BT1373" s="11"/>
      <c r="CE1373" s="11"/>
      <c r="CT1373" s="9"/>
      <c r="CU1373" s="9"/>
    </row>
    <row r="1374" spans="1:99" ht="15" x14ac:dyDescent="0.25">
      <c r="A1374" s="10"/>
      <c r="C1374" s="16"/>
      <c r="D1374" s="16"/>
      <c r="E1374" s="16"/>
      <c r="F1374" s="16"/>
      <c r="G1374" s="16"/>
      <c r="H1374" s="16"/>
      <c r="I1374" s="10"/>
      <c r="J1374" s="10"/>
      <c r="K1374" s="10"/>
      <c r="L1374" s="10"/>
      <c r="M1374" s="10"/>
      <c r="N1374" s="10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C1374" s="11"/>
      <c r="AN1374" s="11"/>
      <c r="AX1374" s="11"/>
      <c r="BI1374" s="11"/>
      <c r="BT1374" s="11"/>
      <c r="CE1374" s="11"/>
      <c r="CT1374" s="9"/>
      <c r="CU1374" s="9"/>
    </row>
    <row r="1375" spans="1:99" ht="15" x14ac:dyDescent="0.25">
      <c r="A1375" s="10"/>
      <c r="C1375" s="10"/>
      <c r="D1375" s="10"/>
      <c r="E1375" s="10"/>
      <c r="F1375" s="10"/>
      <c r="G1375" s="10"/>
      <c r="H1375" s="10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C1375" s="11"/>
      <c r="AN1375" s="11"/>
      <c r="AX1375" s="11"/>
      <c r="BI1375" s="11"/>
      <c r="BT1375" s="11"/>
      <c r="CE1375" s="11"/>
      <c r="CT1375" s="9"/>
      <c r="CU1375" s="9"/>
    </row>
    <row r="1376" spans="1:99" ht="15" x14ac:dyDescent="0.25">
      <c r="A1376" s="10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C1376" s="11"/>
      <c r="AN1376" s="11"/>
      <c r="AX1376" s="11"/>
      <c r="BI1376" s="11"/>
      <c r="BT1376" s="11"/>
      <c r="CE1376" s="11"/>
      <c r="CT1376" s="9"/>
      <c r="CU1376" s="9"/>
    </row>
    <row r="1377" spans="1:99" ht="15" x14ac:dyDescent="0.25">
      <c r="A1377" s="10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C1377" s="11"/>
      <c r="AN1377" s="11"/>
      <c r="AX1377" s="11"/>
      <c r="BI1377" s="11"/>
      <c r="BT1377" s="11"/>
      <c r="CE1377" s="11"/>
      <c r="CT1377" s="9"/>
      <c r="CU1377" s="9"/>
    </row>
    <row r="1378" spans="1:99" ht="15" x14ac:dyDescent="0.25">
      <c r="A1378" s="10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C1378" s="11"/>
      <c r="AN1378" s="11"/>
      <c r="AX1378" s="11"/>
      <c r="BI1378" s="11"/>
      <c r="BT1378" s="11"/>
      <c r="CE1378" s="11"/>
      <c r="CT1378" s="9"/>
      <c r="CU1378" s="9"/>
    </row>
    <row r="1379" spans="1:99" ht="15" x14ac:dyDescent="0.25">
      <c r="A1379" s="10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C1379" s="11"/>
      <c r="AN1379" s="11"/>
      <c r="AX1379" s="11"/>
      <c r="BI1379" s="11"/>
      <c r="BT1379" s="11"/>
      <c r="CE1379" s="11"/>
      <c r="CT1379" s="9"/>
      <c r="CU1379" s="9"/>
    </row>
    <row r="1380" spans="1:99" ht="15" x14ac:dyDescent="0.25">
      <c r="A1380" s="10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C1380" s="11"/>
      <c r="AN1380" s="11"/>
      <c r="AX1380" s="11"/>
      <c r="BI1380" s="11"/>
      <c r="BT1380" s="11"/>
      <c r="CE1380" s="11"/>
      <c r="CT1380" s="9"/>
      <c r="CU1380" s="9"/>
    </row>
    <row r="1381" spans="1:99" ht="15" x14ac:dyDescent="0.25">
      <c r="A1381" s="10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C1381" s="11"/>
      <c r="AN1381" s="11"/>
      <c r="AX1381" s="11"/>
      <c r="BI1381" s="11"/>
      <c r="BT1381" s="11"/>
      <c r="CE1381" s="11"/>
      <c r="CT1381" s="9"/>
      <c r="CU1381" s="9"/>
    </row>
    <row r="1382" spans="1:99" ht="15" x14ac:dyDescent="0.25">
      <c r="A1382" s="10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C1382" s="11"/>
      <c r="AN1382" s="11"/>
      <c r="AX1382" s="11"/>
      <c r="BI1382" s="11"/>
      <c r="BT1382" s="11"/>
      <c r="CE1382" s="11"/>
      <c r="CT1382" s="9"/>
      <c r="CU1382" s="9"/>
    </row>
    <row r="1383" spans="1:99" ht="15" x14ac:dyDescent="0.25">
      <c r="A1383" s="10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C1383" s="11"/>
      <c r="AN1383" s="11"/>
      <c r="AX1383" s="11"/>
      <c r="BI1383" s="11"/>
      <c r="BT1383" s="11"/>
      <c r="CE1383" s="11"/>
      <c r="CT1383" s="9"/>
      <c r="CU1383" s="9"/>
    </row>
    <row r="1384" spans="1:99" ht="15" x14ac:dyDescent="0.25">
      <c r="A1384" s="10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C1384" s="11"/>
      <c r="AN1384" s="11"/>
      <c r="AX1384" s="11"/>
      <c r="BI1384" s="11"/>
      <c r="BT1384" s="11"/>
      <c r="CE1384" s="11"/>
      <c r="CT1384" s="9"/>
      <c r="CU1384" s="9"/>
    </row>
    <row r="1385" spans="1:99" ht="15" x14ac:dyDescent="0.25">
      <c r="A1385" s="10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C1385" s="11"/>
      <c r="AN1385" s="11"/>
      <c r="AX1385" s="11"/>
      <c r="BI1385" s="11"/>
      <c r="BT1385" s="11"/>
      <c r="CE1385" s="11"/>
      <c r="CT1385" s="9"/>
      <c r="CU1385" s="9"/>
    </row>
    <row r="1386" spans="1:99" ht="15" x14ac:dyDescent="0.25">
      <c r="A1386" s="10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C1386" s="11"/>
      <c r="AN1386" s="11"/>
      <c r="AX1386" s="11"/>
      <c r="BI1386" s="11"/>
      <c r="BT1386" s="11"/>
      <c r="CE1386" s="11"/>
      <c r="CT1386" s="9"/>
      <c r="CU1386" s="9"/>
    </row>
    <row r="1387" spans="1:99" ht="15" x14ac:dyDescent="0.25">
      <c r="A1387" s="10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C1387" s="11"/>
      <c r="AN1387" s="11"/>
      <c r="AX1387" s="11"/>
      <c r="BI1387" s="11"/>
      <c r="BT1387" s="11"/>
      <c r="CE1387" s="11"/>
      <c r="CT1387" s="9"/>
      <c r="CU1387" s="9"/>
    </row>
    <row r="1388" spans="1:99" ht="15" x14ac:dyDescent="0.25">
      <c r="A1388" s="10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C1388" s="11"/>
      <c r="AN1388" s="11"/>
      <c r="AX1388" s="11"/>
      <c r="BI1388" s="11"/>
      <c r="BT1388" s="11"/>
      <c r="CE1388" s="11"/>
      <c r="CT1388" s="9"/>
      <c r="CU1388" s="9"/>
    </row>
    <row r="1389" spans="1:99" ht="15" x14ac:dyDescent="0.25">
      <c r="A1389" s="10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C1389" s="11"/>
      <c r="AN1389" s="11"/>
      <c r="AX1389" s="11"/>
      <c r="BI1389" s="11"/>
      <c r="BT1389" s="11"/>
      <c r="CE1389" s="11"/>
      <c r="CT1389" s="9"/>
      <c r="CU1389" s="9"/>
    </row>
    <row r="1390" spans="1:99" ht="15" x14ac:dyDescent="0.25">
      <c r="A1390" s="10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C1390" s="11"/>
      <c r="AN1390" s="11"/>
      <c r="AX1390" s="11"/>
      <c r="BI1390" s="11"/>
      <c r="BT1390" s="11"/>
      <c r="CE1390" s="11"/>
      <c r="CT1390" s="9"/>
      <c r="CU1390" s="9"/>
    </row>
    <row r="1391" spans="1:99" ht="15" x14ac:dyDescent="0.25">
      <c r="A1391" s="10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C1391" s="11"/>
      <c r="AN1391" s="11"/>
      <c r="AX1391" s="11"/>
      <c r="BI1391" s="11"/>
      <c r="BT1391" s="11"/>
      <c r="CE1391" s="11"/>
      <c r="CT1391" s="9"/>
      <c r="CU1391" s="9"/>
    </row>
    <row r="1392" spans="1:99" ht="15" x14ac:dyDescent="0.25">
      <c r="A1392" s="10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C1392" s="11"/>
      <c r="AN1392" s="11"/>
      <c r="AX1392" s="11"/>
      <c r="BI1392" s="11"/>
      <c r="BT1392" s="11"/>
      <c r="CE1392" s="11"/>
      <c r="CT1392" s="9"/>
      <c r="CU1392" s="9"/>
    </row>
    <row r="1393" spans="1:99" ht="15" x14ac:dyDescent="0.25">
      <c r="A1393" s="10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C1393" s="11"/>
      <c r="AN1393" s="11"/>
      <c r="AX1393" s="11"/>
      <c r="BI1393" s="11"/>
      <c r="BT1393" s="11"/>
      <c r="CE1393" s="11"/>
      <c r="CT1393" s="9"/>
      <c r="CU1393" s="9"/>
    </row>
    <row r="1394" spans="1:99" ht="15" x14ac:dyDescent="0.25">
      <c r="A1394" s="10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C1394" s="11"/>
      <c r="AN1394" s="11"/>
      <c r="AX1394" s="11"/>
      <c r="BI1394" s="11"/>
      <c r="BT1394" s="11"/>
      <c r="CE1394" s="11"/>
      <c r="CT1394" s="9"/>
      <c r="CU1394" s="9"/>
    </row>
    <row r="1395" spans="1:99" ht="15" x14ac:dyDescent="0.25">
      <c r="A1395" s="10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C1395" s="11"/>
      <c r="AN1395" s="11"/>
      <c r="AX1395" s="11"/>
      <c r="BI1395" s="11"/>
      <c r="BT1395" s="11"/>
      <c r="CE1395" s="11"/>
      <c r="CT1395" s="9"/>
      <c r="CU1395" s="9"/>
    </row>
    <row r="1396" spans="1:99" ht="15" x14ac:dyDescent="0.25">
      <c r="A1396" s="10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C1396" s="11"/>
      <c r="AN1396" s="11"/>
      <c r="AX1396" s="11"/>
      <c r="BI1396" s="11"/>
      <c r="BT1396" s="11"/>
      <c r="CE1396" s="11"/>
      <c r="CT1396" s="9"/>
      <c r="CU1396" s="9"/>
    </row>
    <row r="1397" spans="1:99" ht="15" x14ac:dyDescent="0.25">
      <c r="A1397" s="10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C1397" s="11"/>
      <c r="AN1397" s="11"/>
      <c r="AX1397" s="11"/>
      <c r="BI1397" s="11"/>
      <c r="BT1397" s="11"/>
      <c r="CE1397" s="11"/>
      <c r="CT1397" s="9"/>
      <c r="CU1397" s="9"/>
    </row>
    <row r="1398" spans="1:99" ht="15" x14ac:dyDescent="0.25">
      <c r="A1398" s="10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C1398" s="11"/>
      <c r="AN1398" s="11"/>
      <c r="AX1398" s="11"/>
      <c r="BI1398" s="11"/>
      <c r="BT1398" s="11"/>
      <c r="CE1398" s="11"/>
      <c r="CT1398" s="9"/>
      <c r="CU1398" s="9"/>
    </row>
    <row r="1399" spans="1:99" ht="15" x14ac:dyDescent="0.25">
      <c r="A1399" s="10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C1399" s="11"/>
      <c r="AN1399" s="11"/>
      <c r="AX1399" s="11"/>
      <c r="BI1399" s="11"/>
      <c r="BT1399" s="11"/>
      <c r="CE1399" s="11"/>
      <c r="CT1399" s="9"/>
      <c r="CU1399" s="9"/>
    </row>
    <row r="1400" spans="1:99" ht="15" x14ac:dyDescent="0.25">
      <c r="A1400" s="10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C1400" s="11"/>
      <c r="AN1400" s="11"/>
      <c r="AX1400" s="11"/>
      <c r="BI1400" s="11"/>
      <c r="BT1400" s="11"/>
      <c r="CE1400" s="11"/>
      <c r="CT1400" s="9"/>
      <c r="CU1400" s="9"/>
    </row>
    <row r="1401" spans="1:99" ht="15" x14ac:dyDescent="0.25">
      <c r="A1401" s="10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C1401" s="11"/>
      <c r="AN1401" s="11"/>
      <c r="AX1401" s="11"/>
      <c r="BI1401" s="11"/>
      <c r="BT1401" s="11"/>
      <c r="CE1401" s="11"/>
      <c r="CT1401" s="9"/>
      <c r="CU1401" s="9"/>
    </row>
    <row r="1402" spans="1:99" ht="15" x14ac:dyDescent="0.25">
      <c r="A1402" s="10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C1402" s="11"/>
      <c r="AN1402" s="11"/>
      <c r="AX1402" s="11"/>
      <c r="BI1402" s="11"/>
      <c r="BT1402" s="11"/>
      <c r="CE1402" s="11"/>
      <c r="CT1402" s="9"/>
      <c r="CU1402" s="9"/>
    </row>
    <row r="1403" spans="1:99" ht="15" x14ac:dyDescent="0.25">
      <c r="A1403" s="10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C1403" s="11"/>
      <c r="AN1403" s="11"/>
      <c r="AX1403" s="11"/>
      <c r="BI1403" s="11"/>
      <c r="BT1403" s="11"/>
      <c r="CE1403" s="11"/>
      <c r="CT1403" s="9"/>
      <c r="CU1403" s="9"/>
    </row>
    <row r="1404" spans="1:99" ht="15" x14ac:dyDescent="0.25">
      <c r="A1404" s="10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C1404" s="11"/>
      <c r="AN1404" s="11"/>
      <c r="AX1404" s="11"/>
      <c r="BI1404" s="11"/>
      <c r="BT1404" s="11"/>
      <c r="CE1404" s="11"/>
      <c r="CT1404" s="9"/>
      <c r="CU1404" s="9"/>
    </row>
    <row r="1405" spans="1:99" ht="15" x14ac:dyDescent="0.25">
      <c r="A1405" s="10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C1405" s="11"/>
      <c r="AN1405" s="11"/>
      <c r="AX1405" s="11"/>
      <c r="BI1405" s="11"/>
      <c r="BT1405" s="11"/>
      <c r="CE1405" s="11"/>
      <c r="CT1405" s="9"/>
      <c r="CU1405" s="9"/>
    </row>
    <row r="1406" spans="1:99" ht="15" x14ac:dyDescent="0.25">
      <c r="A1406" s="10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C1406" s="11"/>
      <c r="AN1406" s="11"/>
      <c r="AX1406" s="11"/>
      <c r="BI1406" s="11"/>
      <c r="BT1406" s="11"/>
      <c r="CE1406" s="11"/>
      <c r="CT1406" s="9"/>
      <c r="CU1406" s="9"/>
    </row>
    <row r="1407" spans="1:99" ht="15" x14ac:dyDescent="0.25">
      <c r="A1407" s="10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C1407" s="11"/>
      <c r="AN1407" s="11"/>
      <c r="AX1407" s="11"/>
      <c r="BI1407" s="11"/>
      <c r="BT1407" s="11"/>
      <c r="CE1407" s="11"/>
      <c r="CT1407" s="9"/>
      <c r="CU1407" s="9"/>
    </row>
    <row r="1408" spans="1:99" ht="15" x14ac:dyDescent="0.25">
      <c r="A1408" s="10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C1408" s="11"/>
      <c r="AN1408" s="11"/>
      <c r="AX1408" s="11"/>
      <c r="BI1408" s="11"/>
      <c r="BT1408" s="11"/>
      <c r="CE1408" s="11"/>
      <c r="CT1408" s="9"/>
      <c r="CU1408" s="9"/>
    </row>
    <row r="1409" spans="1:99" ht="15" x14ac:dyDescent="0.25">
      <c r="A1409" s="10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C1409" s="11"/>
      <c r="AN1409" s="11"/>
      <c r="AX1409" s="11"/>
      <c r="BI1409" s="11"/>
      <c r="BT1409" s="11"/>
      <c r="CE1409" s="11"/>
      <c r="CT1409" s="9"/>
      <c r="CU1409" s="9"/>
    </row>
    <row r="1410" spans="1:99" ht="15" x14ac:dyDescent="0.25">
      <c r="A1410" s="10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C1410" s="11"/>
      <c r="AN1410" s="11"/>
      <c r="AX1410" s="11"/>
      <c r="BI1410" s="11"/>
      <c r="BT1410" s="11"/>
      <c r="CE1410" s="11"/>
      <c r="CT1410" s="9"/>
      <c r="CU1410" s="9"/>
    </row>
    <row r="1411" spans="1:99" ht="15" x14ac:dyDescent="0.25">
      <c r="A1411" s="10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C1411" s="11"/>
      <c r="AN1411" s="11"/>
      <c r="AX1411" s="11"/>
      <c r="BI1411" s="11"/>
      <c r="BT1411" s="11"/>
      <c r="CE1411" s="11"/>
      <c r="CT1411" s="9"/>
      <c r="CU1411" s="9"/>
    </row>
    <row r="1412" spans="1:99" ht="15" x14ac:dyDescent="0.25">
      <c r="A1412" s="10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C1412" s="11"/>
      <c r="AN1412" s="11"/>
      <c r="AX1412" s="11"/>
      <c r="BI1412" s="11"/>
      <c r="BT1412" s="11"/>
      <c r="CE1412" s="11"/>
      <c r="CT1412" s="9"/>
      <c r="CU1412" s="9"/>
    </row>
    <row r="1413" spans="1:99" ht="15" x14ac:dyDescent="0.25">
      <c r="A1413" s="10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C1413" s="11"/>
      <c r="AN1413" s="11"/>
      <c r="AX1413" s="11"/>
      <c r="BI1413" s="11"/>
      <c r="BT1413" s="11"/>
      <c r="CE1413" s="11"/>
      <c r="CT1413" s="9"/>
      <c r="CU1413" s="9"/>
    </row>
    <row r="1414" spans="1:99" ht="15" x14ac:dyDescent="0.25">
      <c r="A1414" s="10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C1414" s="11"/>
      <c r="AN1414" s="11"/>
      <c r="AX1414" s="11"/>
      <c r="BI1414" s="11"/>
      <c r="BT1414" s="11"/>
      <c r="CE1414" s="11"/>
      <c r="CT1414" s="9"/>
      <c r="CU1414" s="9"/>
    </row>
    <row r="1415" spans="1:99" ht="15" x14ac:dyDescent="0.25">
      <c r="A1415" s="10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C1415" s="11"/>
      <c r="AN1415" s="11"/>
      <c r="AX1415" s="11"/>
      <c r="BI1415" s="11"/>
      <c r="BT1415" s="11"/>
      <c r="CE1415" s="11"/>
      <c r="CT1415" s="9"/>
      <c r="CU1415" s="9"/>
    </row>
    <row r="1416" spans="1:99" ht="15" x14ac:dyDescent="0.25">
      <c r="A1416" s="10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C1416" s="11"/>
      <c r="AN1416" s="11"/>
      <c r="AX1416" s="11"/>
      <c r="BI1416" s="11"/>
      <c r="BT1416" s="11"/>
      <c r="CE1416" s="11"/>
      <c r="CT1416" s="9"/>
      <c r="CU1416" s="9"/>
    </row>
    <row r="1417" spans="1:99" ht="15" x14ac:dyDescent="0.25">
      <c r="A1417" s="10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C1417" s="11"/>
      <c r="AN1417" s="11"/>
      <c r="AX1417" s="11"/>
      <c r="BI1417" s="11"/>
      <c r="BT1417" s="11"/>
      <c r="CE1417" s="11"/>
      <c r="CT1417" s="9"/>
      <c r="CU1417" s="9"/>
    </row>
    <row r="1418" spans="1:99" ht="15" x14ac:dyDescent="0.25">
      <c r="A1418" s="10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C1418" s="11"/>
      <c r="AN1418" s="11"/>
      <c r="AX1418" s="11"/>
      <c r="BI1418" s="11"/>
      <c r="BT1418" s="11"/>
      <c r="CE1418" s="11"/>
      <c r="CT1418" s="9"/>
      <c r="CU1418" s="9"/>
    </row>
    <row r="1419" spans="1:99" ht="15" x14ac:dyDescent="0.25">
      <c r="A1419" s="10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C1419" s="11"/>
      <c r="AN1419" s="11"/>
      <c r="AX1419" s="11"/>
      <c r="BI1419" s="11"/>
      <c r="BT1419" s="11"/>
      <c r="CE1419" s="11"/>
      <c r="CT1419" s="9"/>
      <c r="CU1419" s="9"/>
    </row>
    <row r="1420" spans="1:99" ht="15" x14ac:dyDescent="0.25">
      <c r="A1420" s="10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C1420" s="11"/>
      <c r="AN1420" s="11"/>
      <c r="AX1420" s="11"/>
      <c r="BI1420" s="11"/>
      <c r="BT1420" s="11"/>
      <c r="CE1420" s="11"/>
      <c r="CT1420" s="9"/>
      <c r="CU1420" s="9"/>
    </row>
    <row r="1421" spans="1:99" ht="15" x14ac:dyDescent="0.25">
      <c r="A1421" s="10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C1421" s="11"/>
      <c r="AN1421" s="11"/>
      <c r="AX1421" s="11"/>
      <c r="BI1421" s="11"/>
      <c r="BT1421" s="11"/>
      <c r="CE1421" s="11"/>
      <c r="CT1421" s="9"/>
      <c r="CU1421" s="9"/>
    </row>
    <row r="1422" spans="1:99" ht="15" x14ac:dyDescent="0.25">
      <c r="A1422" s="10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C1422" s="11"/>
      <c r="AN1422" s="11"/>
      <c r="AX1422" s="11"/>
      <c r="BI1422" s="11"/>
      <c r="BT1422" s="11"/>
      <c r="CE1422" s="11"/>
      <c r="CT1422" s="9"/>
      <c r="CU1422" s="9"/>
    </row>
    <row r="1423" spans="1:99" ht="15" x14ac:dyDescent="0.25">
      <c r="A1423" s="10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C1423" s="11"/>
      <c r="AN1423" s="11"/>
      <c r="AX1423" s="11"/>
      <c r="BI1423" s="11"/>
      <c r="BT1423" s="11"/>
      <c r="CE1423" s="11"/>
      <c r="CT1423" s="9"/>
      <c r="CU1423" s="9"/>
    </row>
    <row r="1424" spans="1:99" ht="15" x14ac:dyDescent="0.25">
      <c r="A1424" s="10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C1424" s="11"/>
      <c r="AN1424" s="11"/>
      <c r="AX1424" s="11"/>
      <c r="BI1424" s="11"/>
      <c r="BT1424" s="11"/>
      <c r="CE1424" s="11"/>
      <c r="CT1424" s="9"/>
      <c r="CU1424" s="9"/>
    </row>
    <row r="1425" spans="1:99" ht="15" x14ac:dyDescent="0.25">
      <c r="A1425" s="10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C1425" s="11"/>
      <c r="AN1425" s="11"/>
      <c r="AX1425" s="11"/>
      <c r="BI1425" s="11"/>
      <c r="BT1425" s="11"/>
      <c r="CE1425" s="11"/>
      <c r="CT1425" s="9"/>
      <c r="CU1425" s="9"/>
    </row>
    <row r="1426" spans="1:99" ht="15" x14ac:dyDescent="0.25">
      <c r="A1426" s="10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C1426" s="11"/>
      <c r="AN1426" s="11"/>
      <c r="AX1426" s="11"/>
      <c r="BI1426" s="11"/>
      <c r="BT1426" s="11"/>
      <c r="CE1426" s="11"/>
      <c r="CT1426" s="9"/>
      <c r="CU1426" s="9"/>
    </row>
    <row r="1427" spans="1:99" ht="15" x14ac:dyDescent="0.25">
      <c r="A1427" s="10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C1427" s="11"/>
      <c r="AN1427" s="11"/>
      <c r="AX1427" s="11"/>
      <c r="BI1427" s="11"/>
      <c r="BT1427" s="11"/>
      <c r="CE1427" s="11"/>
      <c r="CT1427" s="9"/>
      <c r="CU1427" s="9"/>
    </row>
    <row r="1428" spans="1:99" ht="15" x14ac:dyDescent="0.25">
      <c r="A1428" s="10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C1428" s="11"/>
      <c r="AN1428" s="11"/>
      <c r="AX1428" s="11"/>
      <c r="BI1428" s="11"/>
      <c r="BT1428" s="11"/>
      <c r="CE1428" s="11"/>
      <c r="CT1428" s="9"/>
      <c r="CU1428" s="9"/>
    </row>
    <row r="1429" spans="1:99" ht="15" x14ac:dyDescent="0.25">
      <c r="A1429" s="10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C1429" s="11"/>
      <c r="AN1429" s="11"/>
      <c r="AX1429" s="11"/>
      <c r="BI1429" s="11"/>
      <c r="BT1429" s="11"/>
      <c r="CE1429" s="11"/>
      <c r="CT1429" s="9"/>
      <c r="CU1429" s="9"/>
    </row>
    <row r="1430" spans="1:99" ht="15" x14ac:dyDescent="0.25">
      <c r="A1430" s="10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C1430" s="11"/>
      <c r="AN1430" s="11"/>
      <c r="AX1430" s="11"/>
      <c r="BI1430" s="11"/>
      <c r="BT1430" s="11"/>
      <c r="CE1430" s="11"/>
      <c r="CT1430" s="9"/>
      <c r="CU1430" s="9"/>
    </row>
    <row r="1431" spans="1:99" ht="15" x14ac:dyDescent="0.25">
      <c r="A1431" s="10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C1431" s="11"/>
      <c r="AN1431" s="11"/>
      <c r="AX1431" s="11"/>
      <c r="BI1431" s="11"/>
      <c r="BT1431" s="11"/>
      <c r="CE1431" s="11"/>
      <c r="CT1431" s="9"/>
      <c r="CU1431" s="9"/>
    </row>
    <row r="1432" spans="1:99" ht="15" x14ac:dyDescent="0.25">
      <c r="A1432" s="10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C1432" s="11"/>
      <c r="AN1432" s="11"/>
      <c r="AX1432" s="11"/>
      <c r="BI1432" s="11"/>
      <c r="BT1432" s="11"/>
      <c r="CE1432" s="11"/>
      <c r="CT1432" s="9"/>
      <c r="CU1432" s="9"/>
    </row>
    <row r="1433" spans="1:99" ht="15" x14ac:dyDescent="0.25">
      <c r="A1433" s="10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C1433" s="11"/>
      <c r="AN1433" s="11"/>
      <c r="AX1433" s="11"/>
      <c r="BI1433" s="11"/>
      <c r="BT1433" s="11"/>
      <c r="CE1433" s="11"/>
      <c r="CT1433" s="9"/>
      <c r="CU1433" s="9"/>
    </row>
    <row r="1434" spans="1:99" ht="15" x14ac:dyDescent="0.25">
      <c r="A1434" s="10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C1434" s="11"/>
      <c r="AN1434" s="11"/>
      <c r="AX1434" s="11"/>
      <c r="BI1434" s="11"/>
      <c r="BT1434" s="11"/>
      <c r="CE1434" s="11"/>
      <c r="CT1434" s="9"/>
      <c r="CU1434" s="9"/>
    </row>
    <row r="1435" spans="1:99" ht="15" x14ac:dyDescent="0.25">
      <c r="A1435" s="10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C1435" s="11"/>
      <c r="AN1435" s="11"/>
      <c r="AX1435" s="11"/>
      <c r="BI1435" s="11"/>
      <c r="BT1435" s="11"/>
      <c r="CE1435" s="11"/>
      <c r="CT1435" s="9"/>
      <c r="CU1435" s="9"/>
    </row>
    <row r="1436" spans="1:99" ht="15" x14ac:dyDescent="0.25">
      <c r="A1436" s="10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C1436" s="11"/>
      <c r="AN1436" s="11"/>
      <c r="AX1436" s="11"/>
      <c r="BI1436" s="11"/>
      <c r="BT1436" s="11"/>
      <c r="CE1436" s="11"/>
      <c r="CT1436" s="9"/>
      <c r="CU1436" s="9"/>
    </row>
    <row r="1437" spans="1:99" ht="15" x14ac:dyDescent="0.25">
      <c r="A1437" s="10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C1437" s="11"/>
      <c r="AN1437" s="11"/>
      <c r="AX1437" s="11"/>
      <c r="BI1437" s="11"/>
      <c r="BT1437" s="11"/>
      <c r="CE1437" s="11"/>
      <c r="CT1437" s="9"/>
      <c r="CU1437" s="9"/>
    </row>
    <row r="1438" spans="1:99" ht="15" x14ac:dyDescent="0.25">
      <c r="A1438" s="10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C1438" s="11"/>
      <c r="AN1438" s="11"/>
      <c r="AX1438" s="11"/>
      <c r="BI1438" s="11"/>
      <c r="BT1438" s="11"/>
      <c r="CE1438" s="11"/>
      <c r="CT1438" s="9"/>
      <c r="CU1438" s="9"/>
    </row>
    <row r="1439" spans="1:99" ht="15" x14ac:dyDescent="0.25">
      <c r="A1439" s="10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C1439" s="11"/>
      <c r="AN1439" s="11"/>
      <c r="AX1439" s="11"/>
      <c r="BI1439" s="11"/>
      <c r="BT1439" s="11"/>
      <c r="CE1439" s="11"/>
      <c r="CT1439" s="9"/>
      <c r="CU1439" s="9"/>
    </row>
    <row r="1440" spans="1:99" ht="15" x14ac:dyDescent="0.25">
      <c r="A1440" s="10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C1440" s="11"/>
      <c r="AN1440" s="11"/>
      <c r="AX1440" s="11"/>
      <c r="BI1440" s="11"/>
      <c r="BT1440" s="11"/>
      <c r="CE1440" s="11"/>
      <c r="CT1440" s="9"/>
      <c r="CU1440" s="9"/>
    </row>
    <row r="1441" spans="1:99" ht="15" x14ac:dyDescent="0.25">
      <c r="A1441" s="10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C1441" s="11"/>
      <c r="AN1441" s="11"/>
      <c r="AX1441" s="11"/>
      <c r="BI1441" s="11"/>
      <c r="BT1441" s="11"/>
      <c r="CE1441" s="11"/>
      <c r="CT1441" s="9"/>
      <c r="CU1441" s="9"/>
    </row>
    <row r="1442" spans="1:99" ht="15" x14ac:dyDescent="0.25">
      <c r="A1442" s="10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C1442" s="11"/>
      <c r="AN1442" s="11"/>
      <c r="AX1442" s="11"/>
      <c r="BI1442" s="11"/>
      <c r="BT1442" s="11"/>
      <c r="CE1442" s="11"/>
      <c r="CT1442" s="9"/>
      <c r="CU1442" s="9"/>
    </row>
    <row r="1443" spans="1:99" ht="15" x14ac:dyDescent="0.25">
      <c r="A1443" s="10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C1443" s="11"/>
      <c r="AN1443" s="11"/>
      <c r="AX1443" s="11"/>
      <c r="BI1443" s="11"/>
      <c r="BT1443" s="11"/>
      <c r="CE1443" s="11"/>
      <c r="CT1443" s="9"/>
      <c r="CU1443" s="9"/>
    </row>
    <row r="1444" spans="1:99" ht="15" x14ac:dyDescent="0.25">
      <c r="A1444" s="10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C1444" s="11"/>
      <c r="AN1444" s="11"/>
      <c r="AX1444" s="11"/>
      <c r="BI1444" s="11"/>
      <c r="BT1444" s="11"/>
      <c r="CE1444" s="11"/>
      <c r="CT1444" s="9"/>
      <c r="CU1444" s="9"/>
    </row>
    <row r="1445" spans="1:99" ht="15" x14ac:dyDescent="0.25">
      <c r="A1445" s="10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C1445" s="11"/>
      <c r="AN1445" s="11"/>
      <c r="AX1445" s="11"/>
      <c r="BI1445" s="11"/>
      <c r="BT1445" s="11"/>
      <c r="CE1445" s="11"/>
      <c r="CT1445" s="9"/>
      <c r="CU1445" s="9"/>
    </row>
    <row r="1446" spans="1:99" ht="15" x14ac:dyDescent="0.25">
      <c r="A1446" s="10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C1446" s="11"/>
      <c r="AN1446" s="11"/>
      <c r="AX1446" s="11"/>
      <c r="BI1446" s="11"/>
      <c r="BT1446" s="11"/>
      <c r="CE1446" s="11"/>
      <c r="CT1446" s="9"/>
      <c r="CU1446" s="9"/>
    </row>
    <row r="1447" spans="1:99" ht="15" x14ac:dyDescent="0.25">
      <c r="A1447" s="10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C1447" s="11"/>
      <c r="AN1447" s="11"/>
      <c r="AX1447" s="11"/>
      <c r="BI1447" s="11"/>
      <c r="BT1447" s="11"/>
      <c r="CE1447" s="11"/>
      <c r="CT1447" s="9"/>
      <c r="CU1447" s="9"/>
    </row>
    <row r="1448" spans="1:99" ht="15" x14ac:dyDescent="0.25">
      <c r="A1448" s="10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C1448" s="11"/>
      <c r="AN1448" s="11"/>
      <c r="AX1448" s="11"/>
      <c r="BI1448" s="11"/>
      <c r="BT1448" s="11"/>
      <c r="CE1448" s="11"/>
      <c r="CT1448" s="9"/>
      <c r="CU1448" s="9"/>
    </row>
    <row r="1449" spans="1:99" ht="15" x14ac:dyDescent="0.25">
      <c r="A1449" s="10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C1449" s="11"/>
      <c r="AN1449" s="11"/>
      <c r="AX1449" s="11"/>
      <c r="BI1449" s="11"/>
      <c r="BT1449" s="11"/>
      <c r="CE1449" s="11"/>
      <c r="CT1449" s="9"/>
      <c r="CU1449" s="9"/>
    </row>
    <row r="1450" spans="1:99" ht="15" x14ac:dyDescent="0.25">
      <c r="A1450" s="10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C1450" s="11"/>
      <c r="AN1450" s="11"/>
      <c r="AX1450" s="11"/>
      <c r="BI1450" s="11"/>
      <c r="BT1450" s="11"/>
      <c r="CE1450" s="11"/>
      <c r="CT1450" s="9"/>
      <c r="CU1450" s="9"/>
    </row>
    <row r="1451" spans="1:99" ht="15" x14ac:dyDescent="0.25">
      <c r="A1451" s="10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C1451" s="11"/>
      <c r="AN1451" s="11"/>
      <c r="AX1451" s="11"/>
      <c r="BI1451" s="11"/>
      <c r="BT1451" s="11"/>
      <c r="CE1451" s="11"/>
      <c r="CT1451" s="9"/>
      <c r="CU1451" s="9"/>
    </row>
    <row r="1452" spans="1:99" ht="15" x14ac:dyDescent="0.25">
      <c r="A1452" s="10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C1452" s="11"/>
      <c r="AN1452" s="11"/>
      <c r="AX1452" s="11"/>
      <c r="BI1452" s="11"/>
      <c r="BT1452" s="11"/>
      <c r="CE1452" s="11"/>
      <c r="CT1452" s="9"/>
      <c r="CU1452" s="9"/>
    </row>
    <row r="1453" spans="1:99" ht="15" x14ac:dyDescent="0.25">
      <c r="A1453" s="10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C1453" s="11"/>
      <c r="AN1453" s="11"/>
      <c r="AX1453" s="11"/>
      <c r="BI1453" s="11"/>
      <c r="BT1453" s="11"/>
      <c r="CE1453" s="11"/>
      <c r="CT1453" s="9"/>
      <c r="CU1453" s="9"/>
    </row>
    <row r="1454" spans="1:99" ht="15" x14ac:dyDescent="0.25">
      <c r="A1454" s="10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C1454" s="11"/>
      <c r="AN1454" s="11"/>
      <c r="AX1454" s="11"/>
      <c r="BI1454" s="11"/>
      <c r="BT1454" s="11"/>
      <c r="CE1454" s="11"/>
      <c r="CT1454" s="9"/>
      <c r="CU1454" s="9"/>
    </row>
    <row r="1455" spans="1:99" ht="15" x14ac:dyDescent="0.25">
      <c r="A1455" s="10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C1455" s="11"/>
      <c r="AN1455" s="11"/>
      <c r="AX1455" s="11"/>
      <c r="BI1455" s="11"/>
      <c r="BT1455" s="11"/>
      <c r="CE1455" s="11"/>
      <c r="CT1455" s="9"/>
      <c r="CU1455" s="9"/>
    </row>
    <row r="1456" spans="1:99" ht="15" x14ac:dyDescent="0.25">
      <c r="A1456" s="10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C1456" s="11"/>
      <c r="AN1456" s="11"/>
      <c r="AX1456" s="11"/>
      <c r="BI1456" s="11"/>
      <c r="BT1456" s="11"/>
      <c r="CE1456" s="11"/>
      <c r="CT1456" s="9"/>
      <c r="CU1456" s="9"/>
    </row>
    <row r="1457" spans="1:99" ht="15" x14ac:dyDescent="0.25">
      <c r="A1457" s="10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C1457" s="11"/>
      <c r="AN1457" s="11"/>
      <c r="AX1457" s="11"/>
      <c r="BI1457" s="11"/>
      <c r="BT1457" s="11"/>
      <c r="CE1457" s="11"/>
      <c r="CT1457" s="9"/>
      <c r="CU1457" s="9"/>
    </row>
    <row r="1458" spans="1:99" ht="15" x14ac:dyDescent="0.25">
      <c r="A1458" s="10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C1458" s="11"/>
      <c r="AN1458" s="11"/>
      <c r="AX1458" s="11"/>
      <c r="BI1458" s="11"/>
      <c r="BT1458" s="11"/>
      <c r="CE1458" s="11"/>
      <c r="CT1458" s="9"/>
      <c r="CU1458" s="9"/>
    </row>
    <row r="1459" spans="1:99" ht="15" x14ac:dyDescent="0.25">
      <c r="A1459" s="10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C1459" s="11"/>
      <c r="AN1459" s="11"/>
      <c r="AX1459" s="11"/>
      <c r="BI1459" s="11"/>
      <c r="BT1459" s="11"/>
      <c r="CE1459" s="11"/>
      <c r="CT1459" s="9"/>
      <c r="CU1459" s="9"/>
    </row>
    <row r="1460" spans="1:99" ht="15" x14ac:dyDescent="0.25">
      <c r="A1460" s="10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C1460" s="11"/>
      <c r="AN1460" s="11"/>
      <c r="AX1460" s="11"/>
      <c r="BI1460" s="11"/>
      <c r="BT1460" s="11"/>
      <c r="CE1460" s="11"/>
      <c r="CT1460" s="9"/>
      <c r="CU1460" s="9"/>
    </row>
    <row r="1461" spans="1:99" ht="15" x14ac:dyDescent="0.25">
      <c r="A1461" s="10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C1461" s="11"/>
      <c r="AN1461" s="11"/>
      <c r="AX1461" s="11"/>
      <c r="BI1461" s="11"/>
      <c r="BT1461" s="11"/>
      <c r="CE1461" s="11"/>
      <c r="CT1461" s="9"/>
      <c r="CU1461" s="9"/>
    </row>
    <row r="1462" spans="1:99" ht="15" x14ac:dyDescent="0.25">
      <c r="A1462" s="10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C1462" s="11"/>
      <c r="AN1462" s="11"/>
      <c r="AX1462" s="11"/>
      <c r="BI1462" s="11"/>
      <c r="BT1462" s="11"/>
      <c r="CE1462" s="11"/>
      <c r="CT1462" s="9"/>
      <c r="CU1462" s="9"/>
    </row>
    <row r="1463" spans="1:99" ht="15" x14ac:dyDescent="0.25">
      <c r="A1463" s="10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C1463" s="11"/>
      <c r="AN1463" s="11"/>
      <c r="AX1463" s="11"/>
      <c r="BI1463" s="11"/>
      <c r="BT1463" s="11"/>
      <c r="CE1463" s="11"/>
      <c r="CT1463" s="9"/>
      <c r="CU1463" s="9"/>
    </row>
    <row r="1464" spans="1:99" ht="15" x14ac:dyDescent="0.25">
      <c r="A1464" s="10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C1464" s="11"/>
      <c r="AN1464" s="11"/>
      <c r="AX1464" s="11"/>
      <c r="BI1464" s="11"/>
      <c r="BT1464" s="11"/>
      <c r="CE1464" s="11"/>
      <c r="CT1464" s="9"/>
      <c r="CU1464" s="9"/>
    </row>
    <row r="1465" spans="1:99" ht="15" x14ac:dyDescent="0.25">
      <c r="A1465" s="10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C1465" s="11"/>
      <c r="AN1465" s="11"/>
      <c r="AX1465" s="11"/>
      <c r="BI1465" s="11"/>
      <c r="BT1465" s="11"/>
      <c r="CE1465" s="11"/>
      <c r="CT1465" s="9"/>
      <c r="CU1465" s="9"/>
    </row>
    <row r="1466" spans="1:99" ht="15" x14ac:dyDescent="0.25">
      <c r="A1466" s="10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C1466" s="11"/>
      <c r="AN1466" s="11"/>
      <c r="AX1466" s="11"/>
      <c r="BI1466" s="11"/>
      <c r="BT1466" s="11"/>
      <c r="CE1466" s="11"/>
      <c r="CT1466" s="9"/>
      <c r="CU1466" s="9"/>
    </row>
    <row r="1467" spans="1:99" ht="15" x14ac:dyDescent="0.25">
      <c r="A1467" s="10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C1467" s="11"/>
      <c r="AN1467" s="11"/>
      <c r="AX1467" s="11"/>
      <c r="BI1467" s="11"/>
      <c r="BT1467" s="11"/>
      <c r="CE1467" s="11"/>
      <c r="CT1467" s="9"/>
      <c r="CU1467" s="9"/>
    </row>
    <row r="1468" spans="1:99" ht="15" x14ac:dyDescent="0.25">
      <c r="A1468" s="10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C1468" s="11"/>
      <c r="AN1468" s="11"/>
      <c r="AX1468" s="11"/>
      <c r="BI1468" s="11"/>
      <c r="BT1468" s="11"/>
      <c r="CE1468" s="11"/>
      <c r="CT1468" s="9"/>
      <c r="CU1468" s="9"/>
    </row>
    <row r="1469" spans="1:99" ht="15" x14ac:dyDescent="0.25">
      <c r="A1469" s="10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C1469" s="11"/>
      <c r="AN1469" s="11"/>
      <c r="AX1469" s="11"/>
      <c r="BI1469" s="11"/>
      <c r="BT1469" s="11"/>
      <c r="CE1469" s="11"/>
      <c r="CT1469" s="9"/>
      <c r="CU1469" s="9"/>
    </row>
    <row r="1470" spans="1:99" ht="15" x14ac:dyDescent="0.25">
      <c r="A1470" s="10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C1470" s="11"/>
      <c r="AN1470" s="11"/>
      <c r="AX1470" s="11"/>
      <c r="BI1470" s="11"/>
      <c r="BT1470" s="11"/>
      <c r="CE1470" s="11"/>
      <c r="CT1470" s="9"/>
      <c r="CU1470" s="9"/>
    </row>
    <row r="1471" spans="1:99" ht="15" x14ac:dyDescent="0.25">
      <c r="A1471" s="10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C1471" s="11"/>
      <c r="AN1471" s="11"/>
      <c r="AX1471" s="11"/>
      <c r="BI1471" s="11"/>
      <c r="BT1471" s="11"/>
      <c r="CE1471" s="11"/>
      <c r="CT1471" s="9"/>
      <c r="CU1471" s="9"/>
    </row>
    <row r="1472" spans="1:99" ht="15" x14ac:dyDescent="0.25">
      <c r="A1472" s="10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C1472" s="11"/>
      <c r="AN1472" s="11"/>
      <c r="AX1472" s="11"/>
      <c r="BI1472" s="11"/>
      <c r="BT1472" s="11"/>
      <c r="CE1472" s="11"/>
      <c r="CT1472" s="9"/>
      <c r="CU1472" s="9"/>
    </row>
    <row r="1473" spans="1:99" ht="15" x14ac:dyDescent="0.25">
      <c r="A1473" s="10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C1473" s="11"/>
      <c r="AN1473" s="11"/>
      <c r="AX1473" s="11"/>
      <c r="BI1473" s="11"/>
      <c r="BT1473" s="11"/>
      <c r="CE1473" s="11"/>
      <c r="CT1473" s="9"/>
      <c r="CU1473" s="9"/>
    </row>
    <row r="1474" spans="1:99" ht="15" x14ac:dyDescent="0.25">
      <c r="A1474" s="10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C1474" s="11"/>
      <c r="AN1474" s="11"/>
      <c r="AX1474" s="11"/>
      <c r="BI1474" s="11"/>
      <c r="BT1474" s="11"/>
      <c r="CE1474" s="11"/>
      <c r="CT1474" s="9"/>
      <c r="CU1474" s="9"/>
    </row>
    <row r="1475" spans="1:99" ht="15" x14ac:dyDescent="0.25">
      <c r="A1475" s="10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C1475" s="11"/>
      <c r="AN1475" s="11"/>
      <c r="AX1475" s="11"/>
      <c r="BI1475" s="11"/>
      <c r="BT1475" s="11"/>
      <c r="CE1475" s="11"/>
      <c r="CT1475" s="9"/>
      <c r="CU1475" s="9"/>
    </row>
    <row r="1476" spans="1:99" ht="15" x14ac:dyDescent="0.25">
      <c r="A1476" s="10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C1476" s="11"/>
      <c r="AN1476" s="11"/>
      <c r="AX1476" s="11"/>
      <c r="BI1476" s="11"/>
      <c r="BT1476" s="11"/>
      <c r="CE1476" s="11"/>
      <c r="CT1476" s="9"/>
      <c r="CU1476" s="9"/>
    </row>
    <row r="1477" spans="1:99" ht="15" x14ac:dyDescent="0.25">
      <c r="A1477" s="10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C1477" s="11"/>
      <c r="AN1477" s="11"/>
      <c r="AX1477" s="11"/>
      <c r="BI1477" s="11"/>
      <c r="BT1477" s="11"/>
      <c r="CE1477" s="11"/>
      <c r="CT1477" s="9"/>
      <c r="CU1477" s="9"/>
    </row>
    <row r="1478" spans="1:99" ht="15" x14ac:dyDescent="0.25">
      <c r="A1478" s="10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C1478" s="11"/>
      <c r="AN1478" s="11"/>
      <c r="AX1478" s="11"/>
      <c r="BI1478" s="11"/>
      <c r="BT1478" s="11"/>
      <c r="CE1478" s="11"/>
      <c r="CT1478" s="9"/>
      <c r="CU1478" s="9"/>
    </row>
    <row r="1479" spans="1:99" ht="15" x14ac:dyDescent="0.25">
      <c r="A1479" s="10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C1479" s="11"/>
      <c r="AN1479" s="11"/>
      <c r="AX1479" s="11"/>
      <c r="BI1479" s="11"/>
      <c r="BT1479" s="11"/>
      <c r="CE1479" s="11"/>
      <c r="CT1479" s="9"/>
      <c r="CU1479" s="9"/>
    </row>
    <row r="1480" spans="1:99" ht="15" x14ac:dyDescent="0.25">
      <c r="A1480" s="10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C1480" s="11"/>
      <c r="AN1480" s="11"/>
      <c r="AX1480" s="11"/>
      <c r="BI1480" s="11"/>
      <c r="BT1480" s="11"/>
      <c r="CE1480" s="11"/>
      <c r="CT1480" s="9"/>
      <c r="CU1480" s="9"/>
    </row>
    <row r="1481" spans="1:99" ht="15" x14ac:dyDescent="0.25">
      <c r="A1481" s="10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C1481" s="11"/>
      <c r="AN1481" s="11"/>
      <c r="AX1481" s="11"/>
      <c r="BI1481" s="11"/>
      <c r="BT1481" s="11"/>
      <c r="CE1481" s="11"/>
      <c r="CT1481" s="9"/>
      <c r="CU1481" s="9"/>
    </row>
    <row r="1482" spans="1:99" ht="15" x14ac:dyDescent="0.25">
      <c r="A1482" s="10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C1482" s="11"/>
      <c r="AN1482" s="11"/>
      <c r="AX1482" s="11"/>
      <c r="BI1482" s="11"/>
      <c r="BT1482" s="11"/>
      <c r="CE1482" s="11"/>
      <c r="CT1482" s="9"/>
      <c r="CU1482" s="9"/>
    </row>
    <row r="1483" spans="1:99" ht="15" x14ac:dyDescent="0.25">
      <c r="A1483" s="10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C1483" s="11"/>
      <c r="AN1483" s="11"/>
      <c r="AX1483" s="11"/>
      <c r="BI1483" s="11"/>
      <c r="BT1483" s="11"/>
      <c r="CE1483" s="11"/>
      <c r="CT1483" s="9"/>
      <c r="CU1483" s="9"/>
    </row>
    <row r="1484" spans="1:99" ht="15" x14ac:dyDescent="0.25">
      <c r="A1484" s="10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C1484" s="11"/>
      <c r="AN1484" s="11"/>
      <c r="AX1484" s="11"/>
      <c r="BI1484" s="11"/>
      <c r="BT1484" s="11"/>
      <c r="CE1484" s="11"/>
      <c r="CT1484" s="9"/>
      <c r="CU1484" s="9"/>
    </row>
    <row r="1485" spans="1:99" ht="15" x14ac:dyDescent="0.25">
      <c r="A1485" s="10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C1485" s="11"/>
      <c r="AN1485" s="11"/>
      <c r="AX1485" s="11"/>
      <c r="BI1485" s="11"/>
      <c r="BT1485" s="11"/>
      <c r="CE1485" s="11"/>
      <c r="CT1485" s="9"/>
      <c r="CU1485" s="9"/>
    </row>
    <row r="1486" spans="1:99" ht="15" x14ac:dyDescent="0.25">
      <c r="A1486" s="10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C1486" s="11"/>
      <c r="AN1486" s="11"/>
      <c r="AX1486" s="11"/>
      <c r="BI1486" s="11"/>
      <c r="BT1486" s="11"/>
      <c r="CE1486" s="11"/>
      <c r="CT1486" s="9"/>
      <c r="CU1486" s="9"/>
    </row>
    <row r="1487" spans="1:99" ht="15" x14ac:dyDescent="0.25">
      <c r="A1487" s="10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C1487" s="11"/>
      <c r="AN1487" s="11"/>
      <c r="AX1487" s="11"/>
      <c r="BI1487" s="11"/>
      <c r="BT1487" s="11"/>
      <c r="CE1487" s="11"/>
      <c r="CT1487" s="9"/>
      <c r="CU1487" s="9"/>
    </row>
    <row r="1488" spans="1:99" ht="15" x14ac:dyDescent="0.25">
      <c r="A1488" s="10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C1488" s="11"/>
      <c r="AN1488" s="11"/>
      <c r="AX1488" s="11"/>
      <c r="BI1488" s="11"/>
      <c r="BT1488" s="11"/>
      <c r="CE1488" s="11"/>
      <c r="CT1488" s="9"/>
      <c r="CU1488" s="9"/>
    </row>
    <row r="1489" spans="1:99" ht="15" x14ac:dyDescent="0.25">
      <c r="A1489" s="10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C1489" s="11"/>
      <c r="AN1489" s="11"/>
      <c r="AX1489" s="11"/>
      <c r="BI1489" s="11"/>
      <c r="BT1489" s="11"/>
      <c r="CE1489" s="11"/>
      <c r="CT1489" s="9"/>
      <c r="CU1489" s="9"/>
    </row>
    <row r="1490" spans="1:99" ht="15" x14ac:dyDescent="0.25">
      <c r="A1490" s="10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C1490" s="11"/>
      <c r="AN1490" s="11"/>
      <c r="AX1490" s="11"/>
      <c r="BI1490" s="11"/>
      <c r="BT1490" s="11"/>
      <c r="CE1490" s="11"/>
      <c r="CT1490" s="9"/>
      <c r="CU1490" s="9"/>
    </row>
    <row r="1491" spans="1:99" ht="15" x14ac:dyDescent="0.25">
      <c r="A1491" s="10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C1491" s="11"/>
      <c r="AN1491" s="11"/>
      <c r="AX1491" s="11"/>
      <c r="BI1491" s="11"/>
      <c r="BT1491" s="11"/>
      <c r="CE1491" s="11"/>
      <c r="CT1491" s="9"/>
      <c r="CU1491" s="9"/>
    </row>
    <row r="1492" spans="1:99" ht="15" x14ac:dyDescent="0.25">
      <c r="A1492" s="10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C1492" s="11"/>
      <c r="AN1492" s="11"/>
      <c r="AX1492" s="11"/>
      <c r="BI1492" s="11"/>
      <c r="BT1492" s="11"/>
      <c r="CE1492" s="11"/>
      <c r="CT1492" s="9"/>
      <c r="CU1492" s="9"/>
    </row>
    <row r="1493" spans="1:99" ht="15" x14ac:dyDescent="0.25">
      <c r="A1493" s="10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C1493" s="11"/>
      <c r="AN1493" s="11"/>
      <c r="AX1493" s="11"/>
      <c r="BI1493" s="11"/>
      <c r="BT1493" s="11"/>
      <c r="CE1493" s="11"/>
      <c r="CT1493" s="9"/>
      <c r="CU1493" s="9"/>
    </row>
    <row r="1494" spans="1:99" ht="15" x14ac:dyDescent="0.25">
      <c r="A1494" s="10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C1494" s="11"/>
      <c r="AN1494" s="11"/>
      <c r="AX1494" s="11"/>
      <c r="BI1494" s="11"/>
      <c r="BT1494" s="11"/>
      <c r="CE1494" s="11"/>
      <c r="CT1494" s="9"/>
      <c r="CU1494" s="9"/>
    </row>
    <row r="1495" spans="1:99" ht="15" x14ac:dyDescent="0.25">
      <c r="A1495" s="10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C1495" s="11"/>
      <c r="AN1495" s="11"/>
      <c r="AX1495" s="11"/>
      <c r="BI1495" s="11"/>
      <c r="BT1495" s="11"/>
      <c r="CE1495" s="11"/>
      <c r="CT1495" s="9"/>
      <c r="CU1495" s="9"/>
    </row>
    <row r="1496" spans="1:99" ht="15" x14ac:dyDescent="0.25">
      <c r="A1496" s="10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C1496" s="11"/>
      <c r="AN1496" s="11"/>
      <c r="AX1496" s="11"/>
      <c r="BI1496" s="11"/>
      <c r="BT1496" s="11"/>
      <c r="CE1496" s="11"/>
      <c r="CT1496" s="9"/>
      <c r="CU1496" s="9"/>
    </row>
    <row r="1497" spans="1:99" ht="15" x14ac:dyDescent="0.25">
      <c r="A1497" s="10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C1497" s="11"/>
      <c r="AN1497" s="11"/>
      <c r="AX1497" s="11"/>
      <c r="BI1497" s="11"/>
      <c r="BT1497" s="11"/>
      <c r="CE1497" s="11"/>
      <c r="CT1497" s="9"/>
      <c r="CU1497" s="9"/>
    </row>
    <row r="1498" spans="1:99" ht="15" x14ac:dyDescent="0.25">
      <c r="A1498" s="10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C1498" s="11"/>
      <c r="AN1498" s="11"/>
      <c r="AX1498" s="11"/>
      <c r="BI1498" s="11"/>
      <c r="BT1498" s="11"/>
      <c r="CE1498" s="11"/>
      <c r="CT1498" s="9"/>
      <c r="CU1498" s="9"/>
    </row>
    <row r="1499" spans="1:99" ht="15" x14ac:dyDescent="0.25">
      <c r="A1499" s="10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C1499" s="11"/>
      <c r="AN1499" s="11"/>
      <c r="AX1499" s="11"/>
      <c r="BI1499" s="11"/>
      <c r="BT1499" s="11"/>
      <c r="CE1499" s="11"/>
      <c r="CT1499" s="9"/>
      <c r="CU1499" s="9"/>
    </row>
    <row r="1500" spans="1:99" ht="15" x14ac:dyDescent="0.25">
      <c r="A1500" s="10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C1500" s="11"/>
      <c r="AN1500" s="11"/>
      <c r="AX1500" s="11"/>
      <c r="BI1500" s="11"/>
      <c r="BT1500" s="11"/>
      <c r="CE1500" s="11"/>
      <c r="CT1500" s="9"/>
      <c r="CU1500" s="9"/>
    </row>
    <row r="1501" spans="1:99" ht="15" x14ac:dyDescent="0.25">
      <c r="A1501" s="10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C1501" s="11"/>
      <c r="AN1501" s="11"/>
      <c r="AX1501" s="11"/>
      <c r="BI1501" s="11"/>
      <c r="BT1501" s="11"/>
      <c r="CE1501" s="11"/>
      <c r="CT1501" s="9"/>
      <c r="CU1501" s="9"/>
    </row>
    <row r="1502" spans="1:99" ht="15" x14ac:dyDescent="0.25">
      <c r="A1502" s="10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C1502" s="11"/>
      <c r="AN1502" s="11"/>
      <c r="AX1502" s="11"/>
      <c r="BI1502" s="11"/>
      <c r="BT1502" s="11"/>
      <c r="CE1502" s="11"/>
      <c r="CT1502" s="9"/>
      <c r="CU1502" s="9"/>
    </row>
    <row r="1503" spans="1:99" ht="15" x14ac:dyDescent="0.25">
      <c r="A1503" s="10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C1503" s="11"/>
      <c r="AN1503" s="11"/>
      <c r="AX1503" s="11"/>
      <c r="BI1503" s="11"/>
      <c r="BT1503" s="11"/>
      <c r="CE1503" s="11"/>
      <c r="CT1503" s="9"/>
      <c r="CU1503" s="9"/>
    </row>
    <row r="1504" spans="1:99" ht="15" x14ac:dyDescent="0.25">
      <c r="A1504" s="10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C1504" s="11"/>
      <c r="AN1504" s="11"/>
      <c r="AX1504" s="11"/>
      <c r="BI1504" s="11"/>
      <c r="BT1504" s="11"/>
      <c r="CE1504" s="11"/>
      <c r="CT1504" s="9"/>
      <c r="CU1504" s="9"/>
    </row>
    <row r="1505" spans="1:99" ht="15" x14ac:dyDescent="0.25">
      <c r="A1505" s="10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C1505" s="11"/>
      <c r="AN1505" s="11"/>
      <c r="AX1505" s="11"/>
      <c r="BI1505" s="11"/>
      <c r="BT1505" s="11"/>
      <c r="CE1505" s="11"/>
      <c r="CT1505" s="9"/>
      <c r="CU1505" s="9"/>
    </row>
    <row r="1506" spans="1:99" ht="15" x14ac:dyDescent="0.25">
      <c r="A1506" s="10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C1506" s="11"/>
      <c r="AN1506" s="11"/>
      <c r="AX1506" s="11"/>
      <c r="BI1506" s="11"/>
      <c r="BT1506" s="11"/>
      <c r="CE1506" s="11"/>
      <c r="CT1506" s="9"/>
      <c r="CU1506" s="9"/>
    </row>
    <row r="1507" spans="1:99" ht="15" x14ac:dyDescent="0.25">
      <c r="A1507" s="10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C1507" s="11"/>
      <c r="AN1507" s="11"/>
      <c r="AX1507" s="11"/>
      <c r="BI1507" s="11"/>
      <c r="BT1507" s="11"/>
      <c r="CE1507" s="11"/>
      <c r="CT1507" s="9"/>
      <c r="CU1507" s="9"/>
    </row>
    <row r="1508" spans="1:99" ht="15" x14ac:dyDescent="0.25">
      <c r="A1508" s="10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C1508" s="11"/>
      <c r="AN1508" s="11"/>
      <c r="AX1508" s="11"/>
      <c r="BI1508" s="11"/>
      <c r="BT1508" s="11"/>
      <c r="CE1508" s="11"/>
      <c r="CT1508" s="9"/>
      <c r="CU1508" s="9"/>
    </row>
    <row r="1509" spans="1:99" ht="15" x14ac:dyDescent="0.25">
      <c r="A1509" s="10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C1509" s="11"/>
      <c r="AN1509" s="11"/>
      <c r="AX1509" s="11"/>
      <c r="BI1509" s="11"/>
      <c r="BT1509" s="11"/>
      <c r="CE1509" s="11"/>
      <c r="CT1509" s="9"/>
      <c r="CU1509" s="9"/>
    </row>
    <row r="1510" spans="1:99" ht="15" x14ac:dyDescent="0.25">
      <c r="A1510" s="10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C1510" s="11"/>
      <c r="AN1510" s="11"/>
      <c r="AX1510" s="11"/>
      <c r="BI1510" s="11"/>
      <c r="BT1510" s="11"/>
      <c r="CE1510" s="11"/>
      <c r="CT1510" s="9"/>
      <c r="CU1510" s="9"/>
    </row>
    <row r="1511" spans="1:99" ht="15" x14ac:dyDescent="0.25">
      <c r="A1511" s="10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C1511" s="11"/>
      <c r="AN1511" s="11"/>
      <c r="AX1511" s="11"/>
      <c r="BI1511" s="11"/>
      <c r="BT1511" s="11"/>
      <c r="CE1511" s="11"/>
      <c r="CT1511" s="9"/>
      <c r="CU1511" s="9"/>
    </row>
    <row r="1512" spans="1:99" ht="15" x14ac:dyDescent="0.25">
      <c r="A1512" s="10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C1512" s="11"/>
      <c r="AN1512" s="11"/>
      <c r="AX1512" s="11"/>
      <c r="BI1512" s="11"/>
      <c r="BT1512" s="11"/>
      <c r="CE1512" s="11"/>
      <c r="CT1512" s="9"/>
      <c r="CU1512" s="9"/>
    </row>
    <row r="1513" spans="1:99" ht="15" x14ac:dyDescent="0.25">
      <c r="A1513" s="10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C1513" s="11"/>
      <c r="AN1513" s="11"/>
      <c r="AX1513" s="11"/>
      <c r="BI1513" s="11"/>
      <c r="BT1513" s="11"/>
      <c r="CE1513" s="11"/>
      <c r="CT1513" s="9"/>
      <c r="CU1513" s="9"/>
    </row>
    <row r="1514" spans="1:99" ht="15" x14ac:dyDescent="0.25">
      <c r="A1514" s="10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C1514" s="11"/>
      <c r="AN1514" s="11"/>
      <c r="AX1514" s="11"/>
      <c r="BI1514" s="11"/>
      <c r="BT1514" s="11"/>
      <c r="CE1514" s="11"/>
      <c r="CT1514" s="9"/>
      <c r="CU1514" s="9"/>
    </row>
    <row r="1515" spans="1:99" ht="15" x14ac:dyDescent="0.25">
      <c r="A1515" s="10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C1515" s="11"/>
      <c r="AN1515" s="11"/>
      <c r="AX1515" s="11"/>
      <c r="BI1515" s="11"/>
      <c r="BT1515" s="11"/>
      <c r="CE1515" s="11"/>
      <c r="CT1515" s="9"/>
      <c r="CU1515" s="9"/>
    </row>
    <row r="1516" spans="1:99" ht="15" x14ac:dyDescent="0.25">
      <c r="A1516" s="10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C1516" s="11"/>
      <c r="AN1516" s="11"/>
      <c r="AX1516" s="11"/>
      <c r="BI1516" s="11"/>
      <c r="BT1516" s="11"/>
      <c r="CE1516" s="11"/>
      <c r="CT1516" s="9"/>
      <c r="CU1516" s="9"/>
    </row>
    <row r="1517" spans="1:99" ht="15" x14ac:dyDescent="0.25">
      <c r="A1517" s="10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C1517" s="11"/>
      <c r="AN1517" s="11"/>
      <c r="AX1517" s="11"/>
      <c r="BI1517" s="11"/>
      <c r="BT1517" s="11"/>
      <c r="CE1517" s="11"/>
      <c r="CT1517" s="9"/>
      <c r="CU1517" s="9"/>
    </row>
    <row r="1518" spans="1:99" ht="15" x14ac:dyDescent="0.25">
      <c r="A1518" s="10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C1518" s="11"/>
      <c r="AN1518" s="11"/>
      <c r="AX1518" s="11"/>
      <c r="BI1518" s="11"/>
      <c r="BT1518" s="11"/>
      <c r="CE1518" s="11"/>
      <c r="CT1518" s="9"/>
      <c r="CU1518" s="9"/>
    </row>
    <row r="1519" spans="1:99" ht="15" x14ac:dyDescent="0.25">
      <c r="A1519" s="10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C1519" s="11"/>
      <c r="AN1519" s="11"/>
      <c r="AX1519" s="11"/>
      <c r="BI1519" s="11"/>
      <c r="BT1519" s="11"/>
      <c r="CE1519" s="11"/>
      <c r="CT1519" s="9"/>
      <c r="CU1519" s="9"/>
    </row>
    <row r="1520" spans="1:99" ht="15" x14ac:dyDescent="0.25">
      <c r="A1520" s="10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C1520" s="11"/>
      <c r="AN1520" s="11"/>
      <c r="AX1520" s="11"/>
      <c r="BI1520" s="11"/>
      <c r="BT1520" s="11"/>
      <c r="CE1520" s="11"/>
      <c r="CT1520" s="9"/>
      <c r="CU1520" s="9"/>
    </row>
    <row r="1521" spans="1:99" ht="15" x14ac:dyDescent="0.25">
      <c r="A1521" s="10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C1521" s="11"/>
      <c r="AN1521" s="11"/>
      <c r="AX1521" s="11"/>
      <c r="BI1521" s="11"/>
      <c r="BT1521" s="11"/>
      <c r="CE1521" s="11"/>
      <c r="CT1521" s="9"/>
      <c r="CU1521" s="9"/>
    </row>
    <row r="1522" spans="1:99" ht="15" x14ac:dyDescent="0.25">
      <c r="A1522" s="10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C1522" s="11"/>
      <c r="AN1522" s="11"/>
      <c r="AX1522" s="11"/>
      <c r="BI1522" s="11"/>
      <c r="BT1522" s="11"/>
      <c r="CE1522" s="11"/>
      <c r="CT1522" s="9"/>
      <c r="CU1522" s="9"/>
    </row>
    <row r="1523" spans="1:99" ht="15" x14ac:dyDescent="0.25">
      <c r="A1523" s="10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C1523" s="11"/>
      <c r="AN1523" s="11"/>
      <c r="AX1523" s="11"/>
      <c r="BI1523" s="11"/>
      <c r="BT1523" s="11"/>
      <c r="CE1523" s="11"/>
      <c r="CT1523" s="9"/>
      <c r="CU1523" s="9"/>
    </row>
    <row r="1524" spans="1:99" ht="15" x14ac:dyDescent="0.25">
      <c r="A1524" s="10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C1524" s="11"/>
      <c r="AN1524" s="11"/>
      <c r="AX1524" s="11"/>
      <c r="BI1524" s="11"/>
      <c r="BT1524" s="11"/>
      <c r="CE1524" s="11"/>
      <c r="CT1524" s="9"/>
      <c r="CU1524" s="9"/>
    </row>
    <row r="1525" spans="1:99" ht="15" x14ac:dyDescent="0.25">
      <c r="A1525" s="10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C1525" s="11"/>
      <c r="AN1525" s="11"/>
      <c r="AX1525" s="11"/>
      <c r="BI1525" s="11"/>
      <c r="BT1525" s="11"/>
      <c r="CE1525" s="11"/>
      <c r="CT1525" s="9"/>
      <c r="CU1525" s="9"/>
    </row>
    <row r="1526" spans="1:99" ht="15" x14ac:dyDescent="0.25">
      <c r="A1526" s="10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C1526" s="11"/>
      <c r="AN1526" s="11"/>
      <c r="AX1526" s="11"/>
      <c r="BI1526" s="11"/>
      <c r="BT1526" s="11"/>
      <c r="CE1526" s="11"/>
      <c r="CT1526" s="9"/>
      <c r="CU1526" s="9"/>
    </row>
    <row r="1527" spans="1:99" ht="15" x14ac:dyDescent="0.25">
      <c r="A1527" s="10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C1527" s="11"/>
      <c r="AN1527" s="11"/>
      <c r="AX1527" s="11"/>
      <c r="BI1527" s="11"/>
      <c r="BT1527" s="11"/>
      <c r="CE1527" s="11"/>
      <c r="CT1527" s="9"/>
      <c r="CU1527" s="9"/>
    </row>
    <row r="1528" spans="1:99" ht="15" x14ac:dyDescent="0.25">
      <c r="A1528" s="10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C1528" s="11"/>
      <c r="AN1528" s="11"/>
      <c r="AX1528" s="11"/>
      <c r="BI1528" s="11"/>
      <c r="BT1528" s="11"/>
      <c r="CE1528" s="11"/>
      <c r="CT1528" s="9"/>
      <c r="CU1528" s="9"/>
    </row>
    <row r="1529" spans="1:99" ht="15" x14ac:dyDescent="0.25">
      <c r="A1529" s="10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C1529" s="11"/>
      <c r="AN1529" s="11"/>
      <c r="AX1529" s="11"/>
      <c r="BI1529" s="11"/>
      <c r="BT1529" s="11"/>
      <c r="CE1529" s="11"/>
      <c r="CT1529" s="9"/>
      <c r="CU1529" s="9"/>
    </row>
    <row r="1530" spans="1:99" ht="15" x14ac:dyDescent="0.25">
      <c r="A1530" s="10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C1530" s="11"/>
      <c r="AN1530" s="11"/>
      <c r="AX1530" s="11"/>
      <c r="BI1530" s="11"/>
      <c r="BT1530" s="11"/>
      <c r="CE1530" s="11"/>
      <c r="CT1530" s="9"/>
      <c r="CU1530" s="9"/>
    </row>
    <row r="1531" spans="1:99" ht="15" x14ac:dyDescent="0.25">
      <c r="A1531" s="10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C1531" s="11"/>
      <c r="AN1531" s="11"/>
      <c r="AX1531" s="11"/>
      <c r="BI1531" s="11"/>
      <c r="BT1531" s="11"/>
      <c r="CE1531" s="11"/>
      <c r="CT1531" s="9"/>
      <c r="CU1531" s="9"/>
    </row>
    <row r="1532" spans="1:99" ht="15" x14ac:dyDescent="0.25">
      <c r="A1532" s="10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C1532" s="11"/>
      <c r="AN1532" s="11"/>
      <c r="AX1532" s="11"/>
      <c r="BI1532" s="11"/>
      <c r="BT1532" s="11"/>
      <c r="CE1532" s="11"/>
      <c r="CT1532" s="9"/>
      <c r="CU1532" s="9"/>
    </row>
    <row r="1533" spans="1:99" ht="15" x14ac:dyDescent="0.25">
      <c r="A1533" s="10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C1533" s="11"/>
      <c r="AN1533" s="11"/>
      <c r="AX1533" s="11"/>
      <c r="BI1533" s="11"/>
      <c r="BT1533" s="11"/>
      <c r="CE1533" s="11"/>
      <c r="CT1533" s="9"/>
      <c r="CU1533" s="9"/>
    </row>
    <row r="1534" spans="1:99" ht="15" x14ac:dyDescent="0.25">
      <c r="A1534" s="10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C1534" s="11"/>
      <c r="AN1534" s="11"/>
      <c r="AX1534" s="11"/>
      <c r="BI1534" s="11"/>
      <c r="BT1534" s="11"/>
      <c r="CE1534" s="11"/>
      <c r="CT1534" s="9"/>
      <c r="CU1534" s="9"/>
    </row>
    <row r="1535" spans="1:99" ht="15" x14ac:dyDescent="0.25">
      <c r="A1535" s="10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C1535" s="11"/>
      <c r="AN1535" s="11"/>
      <c r="AX1535" s="11"/>
      <c r="BI1535" s="11"/>
      <c r="BT1535" s="11"/>
      <c r="CE1535" s="11"/>
      <c r="CT1535" s="9"/>
      <c r="CU1535" s="9"/>
    </row>
    <row r="1536" spans="1:99" ht="15" x14ac:dyDescent="0.25">
      <c r="A1536" s="10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C1536" s="11"/>
      <c r="AN1536" s="11"/>
      <c r="AX1536" s="11"/>
      <c r="BI1536" s="11"/>
      <c r="BT1536" s="11"/>
      <c r="CE1536" s="11"/>
      <c r="CT1536" s="9"/>
      <c r="CU1536" s="9"/>
    </row>
    <row r="1537" spans="1:99" ht="15" x14ac:dyDescent="0.25">
      <c r="A1537" s="10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C1537" s="11"/>
      <c r="AN1537" s="11"/>
      <c r="AX1537" s="11"/>
      <c r="BI1537" s="11"/>
      <c r="BT1537" s="11"/>
      <c r="CE1537" s="11"/>
      <c r="CT1537" s="9"/>
      <c r="CU1537" s="9"/>
    </row>
    <row r="1538" spans="1:99" ht="15" x14ac:dyDescent="0.25">
      <c r="A1538" s="10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C1538" s="11"/>
      <c r="AN1538" s="11"/>
      <c r="AX1538" s="11"/>
      <c r="BI1538" s="11"/>
      <c r="BT1538" s="11"/>
      <c r="CE1538" s="11"/>
      <c r="CT1538" s="9"/>
      <c r="CU1538" s="9"/>
    </row>
    <row r="1539" spans="1:99" ht="15" x14ac:dyDescent="0.25">
      <c r="A1539" s="10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C1539" s="11"/>
      <c r="AN1539" s="11"/>
      <c r="AX1539" s="11"/>
      <c r="BI1539" s="11"/>
      <c r="BT1539" s="11"/>
      <c r="CE1539" s="11"/>
      <c r="CT1539" s="9"/>
      <c r="CU1539" s="9"/>
    </row>
    <row r="1540" spans="1:99" ht="15" x14ac:dyDescent="0.25">
      <c r="A1540" s="10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C1540" s="11"/>
      <c r="AN1540" s="11"/>
      <c r="AX1540" s="11"/>
      <c r="BI1540" s="11"/>
      <c r="BT1540" s="11"/>
      <c r="CE1540" s="11"/>
      <c r="CT1540" s="9"/>
      <c r="CU1540" s="9"/>
    </row>
    <row r="1541" spans="1:99" ht="15" x14ac:dyDescent="0.25">
      <c r="A1541" s="10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C1541" s="11"/>
      <c r="AN1541" s="11"/>
      <c r="AX1541" s="11"/>
      <c r="BI1541" s="11"/>
      <c r="BT1541" s="11"/>
      <c r="CE1541" s="11"/>
      <c r="CT1541" s="9"/>
      <c r="CU1541" s="9"/>
    </row>
    <row r="1542" spans="1:99" ht="15" x14ac:dyDescent="0.25">
      <c r="A1542" s="10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C1542" s="11"/>
      <c r="AN1542" s="11"/>
      <c r="AX1542" s="11"/>
      <c r="BI1542" s="11"/>
      <c r="BT1542" s="11"/>
      <c r="CE1542" s="11"/>
      <c r="CT1542" s="9"/>
      <c r="CU1542" s="9"/>
    </row>
    <row r="1543" spans="1:99" ht="15" x14ac:dyDescent="0.25">
      <c r="A1543" s="10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C1543" s="11"/>
      <c r="AN1543" s="11"/>
      <c r="AX1543" s="11"/>
      <c r="BI1543" s="11"/>
      <c r="BT1543" s="11"/>
      <c r="CE1543" s="11"/>
      <c r="CT1543" s="9"/>
      <c r="CU1543" s="9"/>
    </row>
    <row r="1544" spans="1:99" ht="15" x14ac:dyDescent="0.25">
      <c r="A1544" s="10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C1544" s="11"/>
      <c r="AN1544" s="11"/>
      <c r="AX1544" s="11"/>
      <c r="BI1544" s="11"/>
      <c r="BT1544" s="11"/>
      <c r="CE1544" s="11"/>
      <c r="CT1544" s="9"/>
      <c r="CU1544" s="9"/>
    </row>
    <row r="1545" spans="1:99" ht="15" x14ac:dyDescent="0.25">
      <c r="A1545" s="10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C1545" s="11"/>
      <c r="AN1545" s="11"/>
      <c r="AX1545" s="11"/>
      <c r="BI1545" s="11"/>
      <c r="BT1545" s="11"/>
      <c r="CE1545" s="11"/>
      <c r="CT1545" s="9"/>
      <c r="CU1545" s="9"/>
    </row>
    <row r="1546" spans="1:99" ht="15" x14ac:dyDescent="0.25">
      <c r="A1546" s="10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C1546" s="11"/>
      <c r="AN1546" s="11"/>
      <c r="AX1546" s="11"/>
      <c r="BI1546" s="11"/>
      <c r="BT1546" s="11"/>
      <c r="CE1546" s="11"/>
      <c r="CT1546" s="9"/>
      <c r="CU1546" s="9"/>
    </row>
    <row r="1547" spans="1:99" ht="15" x14ac:dyDescent="0.25">
      <c r="A1547" s="10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C1547" s="11"/>
      <c r="AN1547" s="11"/>
      <c r="AX1547" s="11"/>
      <c r="BI1547" s="11"/>
      <c r="BT1547" s="11"/>
      <c r="CE1547" s="11"/>
      <c r="CT1547" s="9"/>
      <c r="CU1547" s="9"/>
    </row>
    <row r="1548" spans="1:99" ht="15" x14ac:dyDescent="0.25">
      <c r="A1548" s="10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C1548" s="11"/>
      <c r="AN1548" s="11"/>
      <c r="AX1548" s="11"/>
      <c r="BI1548" s="11"/>
      <c r="BT1548" s="11"/>
      <c r="CE1548" s="11"/>
      <c r="CT1548" s="9"/>
      <c r="CU1548" s="9"/>
    </row>
    <row r="1549" spans="1:99" ht="15" x14ac:dyDescent="0.25">
      <c r="A1549" s="10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C1549" s="11"/>
      <c r="AN1549" s="11"/>
      <c r="AX1549" s="11"/>
      <c r="BI1549" s="11"/>
      <c r="BT1549" s="11"/>
      <c r="CE1549" s="11"/>
      <c r="CT1549" s="9"/>
      <c r="CU1549" s="9"/>
    </row>
    <row r="1550" spans="1:99" ht="15" x14ac:dyDescent="0.25">
      <c r="A1550" s="10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C1550" s="11"/>
      <c r="AN1550" s="11"/>
      <c r="AX1550" s="11"/>
      <c r="BI1550" s="11"/>
      <c r="BT1550" s="11"/>
      <c r="CE1550" s="11"/>
      <c r="CT1550" s="9"/>
      <c r="CU1550" s="9"/>
    </row>
    <row r="1551" spans="1:99" ht="15" x14ac:dyDescent="0.25">
      <c r="A1551" s="10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C1551" s="11"/>
      <c r="AN1551" s="11"/>
      <c r="AX1551" s="11"/>
      <c r="BI1551" s="11"/>
      <c r="BT1551" s="11"/>
      <c r="CE1551" s="11"/>
      <c r="CT1551" s="9"/>
      <c r="CU1551" s="9"/>
    </row>
    <row r="1552" spans="1:99" ht="15" x14ac:dyDescent="0.25">
      <c r="A1552" s="10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C1552" s="11"/>
      <c r="AN1552" s="11"/>
      <c r="AX1552" s="11"/>
      <c r="BI1552" s="11"/>
      <c r="BT1552" s="11"/>
      <c r="CE1552" s="11"/>
      <c r="CT1552" s="9"/>
      <c r="CU1552" s="9"/>
    </row>
    <row r="1553" spans="1:99" ht="15" x14ac:dyDescent="0.25">
      <c r="A1553" s="10"/>
      <c r="B1553" s="10"/>
      <c r="O1553" s="10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C1553" s="11"/>
      <c r="AN1553" s="11"/>
      <c r="AX1553" s="11"/>
      <c r="BI1553" s="11"/>
      <c r="BT1553" s="11"/>
      <c r="CE1553" s="11"/>
      <c r="CT1553" s="9"/>
      <c r="CU1553" s="9"/>
    </row>
    <row r="1554" spans="1:99" ht="15" x14ac:dyDescent="0.25">
      <c r="A1554" s="10"/>
      <c r="B1554" s="10"/>
      <c r="I1554" s="10"/>
      <c r="J1554" s="10"/>
      <c r="K1554" s="10"/>
      <c r="L1554" s="10"/>
      <c r="M1554" s="10"/>
      <c r="N1554" s="10"/>
      <c r="O1554" s="10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C1554" s="11"/>
      <c r="AN1554" s="11"/>
      <c r="AX1554" s="11"/>
      <c r="BI1554" s="11"/>
      <c r="BT1554" s="11"/>
      <c r="CE1554" s="11"/>
      <c r="CT1554" s="9"/>
      <c r="CU1554" s="9"/>
    </row>
    <row r="1555" spans="1:99" ht="15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C1555" s="11"/>
      <c r="AN1555" s="11"/>
      <c r="AX1555" s="11"/>
      <c r="BI1555" s="11"/>
      <c r="BT1555" s="11"/>
      <c r="CE1555" s="11"/>
      <c r="CT1555" s="9"/>
      <c r="CU1555" s="9"/>
    </row>
    <row r="1556" spans="1:99" ht="15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C1556" s="11"/>
      <c r="AN1556" s="11"/>
      <c r="AX1556" s="11"/>
      <c r="BI1556" s="11"/>
      <c r="BT1556" s="11"/>
      <c r="CE1556" s="11"/>
      <c r="CT1556" s="9"/>
      <c r="CU1556" s="9"/>
    </row>
    <row r="1557" spans="1:99" ht="15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C1557" s="11"/>
      <c r="AN1557" s="11"/>
      <c r="AX1557" s="11"/>
      <c r="BI1557" s="11"/>
      <c r="BT1557" s="11"/>
      <c r="CE1557" s="11"/>
      <c r="CT1557" s="9"/>
      <c r="CU1557" s="9"/>
    </row>
    <row r="1558" spans="1:99" ht="15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C1558" s="11"/>
      <c r="AN1558" s="11"/>
      <c r="AX1558" s="11"/>
      <c r="BI1558" s="11"/>
      <c r="BT1558" s="11"/>
      <c r="CE1558" s="11"/>
      <c r="CT1558" s="9"/>
      <c r="CU1558" s="9"/>
    </row>
    <row r="1559" spans="1:99" ht="15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C1559" s="11"/>
      <c r="AN1559" s="11"/>
      <c r="AX1559" s="11"/>
      <c r="BI1559" s="11"/>
      <c r="BT1559" s="11"/>
      <c r="CE1559" s="11"/>
      <c r="CT1559" s="9"/>
      <c r="CU1559" s="9"/>
    </row>
    <row r="1560" spans="1:99" ht="15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C1560" s="11"/>
      <c r="AN1560" s="11"/>
      <c r="AX1560" s="11"/>
      <c r="BI1560" s="11"/>
      <c r="BT1560" s="11"/>
      <c r="CE1560" s="11"/>
      <c r="CT1560" s="9"/>
      <c r="CU1560" s="9"/>
    </row>
    <row r="1561" spans="1:99" ht="15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C1561" s="11"/>
      <c r="AN1561" s="11"/>
      <c r="AX1561" s="11"/>
      <c r="BI1561" s="11"/>
      <c r="BT1561" s="11"/>
      <c r="CE1561" s="11"/>
      <c r="CT1561" s="9"/>
      <c r="CU1561" s="9"/>
    </row>
    <row r="1562" spans="1:99" ht="15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C1562" s="11"/>
      <c r="AN1562" s="11"/>
      <c r="AX1562" s="11"/>
      <c r="BI1562" s="11"/>
      <c r="BT1562" s="11"/>
      <c r="CE1562" s="11"/>
      <c r="CT1562" s="9"/>
      <c r="CU1562" s="9"/>
    </row>
    <row r="1563" spans="1:99" ht="15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C1563" s="11"/>
      <c r="AN1563" s="11"/>
      <c r="AX1563" s="11"/>
      <c r="BI1563" s="11"/>
      <c r="BT1563" s="11"/>
      <c r="CE1563" s="11"/>
      <c r="CT1563" s="9"/>
      <c r="CU1563" s="9"/>
    </row>
    <row r="1564" spans="1:99" ht="15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C1564" s="11"/>
      <c r="AN1564" s="11"/>
      <c r="AX1564" s="11"/>
      <c r="BI1564" s="11"/>
      <c r="BT1564" s="11"/>
      <c r="CE1564" s="11"/>
      <c r="CT1564" s="9"/>
      <c r="CU1564" s="9"/>
    </row>
    <row r="1565" spans="1:99" ht="15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C1565" s="11"/>
      <c r="AN1565" s="11"/>
      <c r="AX1565" s="11"/>
      <c r="BI1565" s="11"/>
      <c r="BT1565" s="11"/>
      <c r="CE1565" s="11"/>
      <c r="CT1565" s="9"/>
      <c r="CU1565" s="9"/>
    </row>
    <row r="1566" spans="1:99" ht="15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C1566" s="11"/>
      <c r="AN1566" s="11"/>
      <c r="AX1566" s="11"/>
      <c r="BI1566" s="11"/>
      <c r="BT1566" s="11"/>
      <c r="CE1566" s="11"/>
      <c r="CT1566" s="9"/>
      <c r="CU1566" s="9"/>
    </row>
    <row r="1567" spans="1:99" ht="15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C1567" s="11"/>
      <c r="AN1567" s="11"/>
      <c r="AX1567" s="11"/>
      <c r="BI1567" s="11"/>
      <c r="BT1567" s="11"/>
      <c r="CE1567" s="11"/>
      <c r="CT1567" s="9"/>
      <c r="CU1567" s="9"/>
    </row>
    <row r="1568" spans="1:99" ht="15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6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C1568" s="11"/>
      <c r="AN1568" s="11"/>
      <c r="AX1568" s="11"/>
      <c r="BI1568" s="11"/>
      <c r="BT1568" s="11"/>
      <c r="CE1568" s="11"/>
      <c r="CT1568" s="9"/>
      <c r="CU1568" s="9"/>
    </row>
    <row r="1569" spans="1:99" ht="15" x14ac:dyDescent="0.25">
      <c r="A1569" s="10"/>
      <c r="B1569" s="10"/>
      <c r="C1569" s="10"/>
      <c r="D1569" s="10"/>
      <c r="E1569" s="10"/>
      <c r="F1569" s="10"/>
      <c r="G1569" s="10"/>
      <c r="H1569" s="10"/>
      <c r="I1569" s="16"/>
      <c r="J1569" s="16"/>
      <c r="K1569" s="16"/>
      <c r="L1569" s="16"/>
      <c r="M1569" s="16"/>
      <c r="N1569" s="16"/>
      <c r="O1569" s="16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C1569" s="11"/>
      <c r="AN1569" s="11"/>
      <c r="AX1569" s="11"/>
      <c r="BI1569" s="11"/>
      <c r="BT1569" s="11"/>
      <c r="CE1569" s="11"/>
      <c r="CT1569" s="9"/>
      <c r="CU1569" s="9"/>
    </row>
    <row r="1570" spans="1:99" ht="15" x14ac:dyDescent="0.25">
      <c r="A1570" s="10"/>
      <c r="B1570" s="10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C1570" s="11"/>
      <c r="AN1570" s="11"/>
      <c r="AX1570" s="11"/>
      <c r="BI1570" s="11"/>
      <c r="BT1570" s="11"/>
      <c r="CE1570" s="11"/>
      <c r="CT1570" s="9"/>
      <c r="CU1570" s="9"/>
    </row>
    <row r="1571" spans="1:99" ht="15" x14ac:dyDescent="0.25">
      <c r="A1571" s="10"/>
      <c r="B1571" s="10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C1571" s="11"/>
      <c r="AN1571" s="11"/>
      <c r="AX1571" s="11"/>
      <c r="BI1571" s="11"/>
      <c r="BT1571" s="11"/>
      <c r="CE1571" s="11"/>
      <c r="CT1571" s="9"/>
      <c r="CU1571" s="9"/>
    </row>
    <row r="1572" spans="1:99" ht="15" x14ac:dyDescent="0.25">
      <c r="A1572" s="10"/>
      <c r="B1572" s="10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C1572" s="11"/>
      <c r="AN1572" s="11"/>
      <c r="AX1572" s="11"/>
      <c r="BI1572" s="11"/>
      <c r="BT1572" s="11"/>
      <c r="CE1572" s="11"/>
      <c r="CT1572" s="9"/>
      <c r="CU1572" s="9"/>
    </row>
    <row r="1573" spans="1:99" ht="15" x14ac:dyDescent="0.25">
      <c r="A1573" s="10"/>
      <c r="B1573" s="10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0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C1573" s="11"/>
      <c r="AN1573" s="11"/>
      <c r="AX1573" s="11"/>
      <c r="BI1573" s="11"/>
      <c r="BT1573" s="11"/>
      <c r="CE1573" s="11"/>
      <c r="CT1573" s="9"/>
      <c r="CU1573" s="9"/>
    </row>
    <row r="1574" spans="1:99" ht="15" x14ac:dyDescent="0.25">
      <c r="A1574" s="10"/>
      <c r="C1574" s="16"/>
      <c r="D1574" s="16"/>
      <c r="E1574" s="16"/>
      <c r="F1574" s="16"/>
      <c r="G1574" s="16"/>
      <c r="H1574" s="16"/>
      <c r="I1574" s="10"/>
      <c r="J1574" s="10"/>
      <c r="K1574" s="10"/>
      <c r="L1574" s="10"/>
      <c r="M1574" s="10"/>
      <c r="N1574" s="10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C1574" s="11"/>
      <c r="AN1574" s="11"/>
      <c r="AX1574" s="11"/>
      <c r="BI1574" s="11"/>
      <c r="BT1574" s="11"/>
      <c r="CE1574" s="11"/>
      <c r="CT1574" s="9"/>
      <c r="CU1574" s="9"/>
    </row>
    <row r="1575" spans="1:99" ht="15" x14ac:dyDescent="0.25">
      <c r="A1575" s="10"/>
      <c r="C1575" s="10"/>
      <c r="D1575" s="10"/>
      <c r="E1575" s="10"/>
      <c r="F1575" s="10"/>
      <c r="G1575" s="10"/>
      <c r="H1575" s="10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C1575" s="11"/>
      <c r="AN1575" s="11"/>
      <c r="AX1575" s="11"/>
      <c r="BI1575" s="11"/>
      <c r="BT1575" s="11"/>
      <c r="CE1575" s="11"/>
      <c r="CT1575" s="9"/>
      <c r="CU1575" s="9"/>
    </row>
    <row r="1576" spans="1:99" ht="15" x14ac:dyDescent="0.25">
      <c r="A1576" s="10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C1576" s="11"/>
      <c r="AN1576" s="11"/>
      <c r="AX1576" s="11"/>
      <c r="BI1576" s="11"/>
      <c r="BT1576" s="11"/>
      <c r="CE1576" s="11"/>
      <c r="CT1576" s="9"/>
      <c r="CU1576" s="9"/>
    </row>
    <row r="1577" spans="1:99" ht="15" x14ac:dyDescent="0.25">
      <c r="A1577" s="10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C1577" s="11"/>
      <c r="AN1577" s="11"/>
      <c r="AX1577" s="11"/>
      <c r="BI1577" s="11"/>
      <c r="BT1577" s="11"/>
      <c r="CE1577" s="11"/>
      <c r="CT1577" s="9"/>
      <c r="CU1577" s="9"/>
    </row>
    <row r="1578" spans="1:99" ht="15" x14ac:dyDescent="0.25">
      <c r="A1578" s="10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C1578" s="11"/>
      <c r="AN1578" s="11"/>
      <c r="AX1578" s="11"/>
      <c r="BI1578" s="11"/>
      <c r="BT1578" s="11"/>
      <c r="CE1578" s="11"/>
      <c r="CT1578" s="9"/>
      <c r="CU1578" s="9"/>
    </row>
    <row r="1579" spans="1:99" ht="15" x14ac:dyDescent="0.25">
      <c r="A1579" s="10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C1579" s="11"/>
      <c r="AN1579" s="11"/>
      <c r="AX1579" s="11"/>
      <c r="BI1579" s="11"/>
      <c r="BT1579" s="11"/>
      <c r="CE1579" s="11"/>
      <c r="CT1579" s="9"/>
      <c r="CU1579" s="9"/>
    </row>
    <row r="1580" spans="1:99" ht="15" x14ac:dyDescent="0.25">
      <c r="A1580" s="10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C1580" s="11"/>
      <c r="AN1580" s="11"/>
      <c r="AX1580" s="11"/>
      <c r="BI1580" s="11"/>
      <c r="BT1580" s="11"/>
      <c r="CE1580" s="11"/>
      <c r="CT1580" s="9"/>
      <c r="CU1580" s="9"/>
    </row>
    <row r="1581" spans="1:99" ht="15" x14ac:dyDescent="0.25">
      <c r="A1581" s="10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C1581" s="11"/>
      <c r="AN1581" s="11"/>
      <c r="AX1581" s="11"/>
      <c r="BI1581" s="11"/>
      <c r="BT1581" s="11"/>
      <c r="CE1581" s="11"/>
      <c r="CT1581" s="9"/>
      <c r="CU1581" s="9"/>
    </row>
    <row r="1582" spans="1:99" ht="15" x14ac:dyDescent="0.25">
      <c r="A1582" s="10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C1582" s="11"/>
      <c r="AN1582" s="11"/>
      <c r="AX1582" s="11"/>
      <c r="BI1582" s="11"/>
      <c r="BT1582" s="11"/>
      <c r="CE1582" s="11"/>
      <c r="CT1582" s="9"/>
      <c r="CU1582" s="9"/>
    </row>
    <row r="1583" spans="1:99" ht="15" x14ac:dyDescent="0.25">
      <c r="A1583" s="10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C1583" s="11"/>
      <c r="AN1583" s="11"/>
      <c r="AX1583" s="11"/>
      <c r="BI1583" s="11"/>
      <c r="BT1583" s="11"/>
      <c r="CE1583" s="11"/>
      <c r="CT1583" s="9"/>
      <c r="CU1583" s="9"/>
    </row>
    <row r="1584" spans="1:99" ht="15" x14ac:dyDescent="0.25">
      <c r="A1584" s="10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C1584" s="11"/>
      <c r="AN1584" s="11"/>
      <c r="AX1584" s="11"/>
      <c r="BI1584" s="11"/>
      <c r="BT1584" s="11"/>
      <c r="CE1584" s="11"/>
      <c r="CT1584" s="9"/>
      <c r="CU1584" s="9"/>
    </row>
    <row r="1585" spans="1:99" ht="15" x14ac:dyDescent="0.25">
      <c r="A1585" s="10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C1585" s="11"/>
      <c r="AN1585" s="11"/>
      <c r="AX1585" s="11"/>
      <c r="BI1585" s="11"/>
      <c r="BT1585" s="11"/>
      <c r="CE1585" s="11"/>
      <c r="CT1585" s="9"/>
      <c r="CU1585" s="9"/>
    </row>
    <row r="1586" spans="1:99" ht="15" x14ac:dyDescent="0.25">
      <c r="A1586" s="10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C1586" s="11"/>
      <c r="AN1586" s="11"/>
      <c r="AX1586" s="11"/>
      <c r="BI1586" s="11"/>
      <c r="BT1586" s="11"/>
      <c r="CE1586" s="11"/>
      <c r="CT1586" s="9"/>
      <c r="CU1586" s="9"/>
    </row>
    <row r="1587" spans="1:99" ht="15" x14ac:dyDescent="0.25">
      <c r="A1587" s="10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C1587" s="11"/>
      <c r="AN1587" s="11"/>
      <c r="AX1587" s="11"/>
      <c r="BI1587" s="11"/>
      <c r="BT1587" s="11"/>
      <c r="CE1587" s="11"/>
      <c r="CT1587" s="9"/>
      <c r="CU1587" s="9"/>
    </row>
    <row r="1588" spans="1:99" ht="15" x14ac:dyDescent="0.25">
      <c r="A1588" s="10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C1588" s="11"/>
      <c r="AN1588" s="11"/>
      <c r="AX1588" s="11"/>
      <c r="BI1588" s="11"/>
      <c r="BT1588" s="11"/>
      <c r="CE1588" s="11"/>
      <c r="CT1588" s="9"/>
      <c r="CU1588" s="9"/>
    </row>
    <row r="1589" spans="1:99" ht="15" x14ac:dyDescent="0.25">
      <c r="A1589" s="10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C1589" s="11"/>
      <c r="AN1589" s="11"/>
      <c r="AX1589" s="11"/>
      <c r="BI1589" s="11"/>
      <c r="BT1589" s="11"/>
      <c r="CE1589" s="11"/>
      <c r="CT1589" s="9"/>
      <c r="CU1589" s="9"/>
    </row>
    <row r="1590" spans="1:99" ht="15" x14ac:dyDescent="0.25">
      <c r="A1590" s="10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C1590" s="11"/>
      <c r="AN1590" s="11"/>
      <c r="AX1590" s="11"/>
      <c r="BI1590" s="11"/>
      <c r="BT1590" s="11"/>
      <c r="CE1590" s="11"/>
      <c r="CT1590" s="9"/>
      <c r="CU1590" s="9"/>
    </row>
    <row r="1591" spans="1:99" ht="15" x14ac:dyDescent="0.25">
      <c r="A1591" s="10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C1591" s="11"/>
      <c r="AN1591" s="11"/>
      <c r="AX1591" s="11"/>
      <c r="BI1591" s="11"/>
      <c r="BT1591" s="11"/>
      <c r="CE1591" s="11"/>
      <c r="CT1591" s="9"/>
      <c r="CU1591" s="9"/>
    </row>
    <row r="1592" spans="1:99" ht="15" x14ac:dyDescent="0.25">
      <c r="A1592" s="10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C1592" s="11"/>
      <c r="AN1592" s="11"/>
      <c r="AX1592" s="11"/>
      <c r="BI1592" s="11"/>
      <c r="BT1592" s="11"/>
      <c r="CE1592" s="11"/>
      <c r="CT1592" s="9"/>
      <c r="CU1592" s="9"/>
    </row>
    <row r="1593" spans="1:99" ht="15" x14ac:dyDescent="0.25">
      <c r="A1593" s="10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C1593" s="11"/>
      <c r="AN1593" s="11"/>
      <c r="AX1593" s="11"/>
      <c r="BI1593" s="11"/>
      <c r="BT1593" s="11"/>
      <c r="CE1593" s="11"/>
      <c r="CT1593" s="9"/>
      <c r="CU1593" s="9"/>
    </row>
    <row r="1594" spans="1:99" ht="15" x14ac:dyDescent="0.25">
      <c r="A1594" s="10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C1594" s="11"/>
      <c r="AN1594" s="11"/>
      <c r="AX1594" s="11"/>
      <c r="BI1594" s="11"/>
      <c r="BT1594" s="11"/>
      <c r="CE1594" s="11"/>
      <c r="CT1594" s="9"/>
      <c r="CU1594" s="9"/>
    </row>
    <row r="1595" spans="1:99" ht="15" x14ac:dyDescent="0.25">
      <c r="A1595" s="10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C1595" s="11"/>
      <c r="AN1595" s="11"/>
      <c r="AX1595" s="11"/>
      <c r="BI1595" s="11"/>
      <c r="BT1595" s="11"/>
      <c r="CE1595" s="11"/>
      <c r="CT1595" s="9"/>
      <c r="CU1595" s="9"/>
    </row>
    <row r="1596" spans="1:99" ht="15" x14ac:dyDescent="0.25">
      <c r="A1596" s="10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C1596" s="11"/>
      <c r="AN1596" s="11"/>
      <c r="AX1596" s="11"/>
      <c r="BI1596" s="11"/>
      <c r="BT1596" s="11"/>
      <c r="CE1596" s="11"/>
      <c r="CT1596" s="9"/>
      <c r="CU1596" s="9"/>
    </row>
    <row r="1597" spans="1:99" ht="15" x14ac:dyDescent="0.25">
      <c r="A1597" s="10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C1597" s="11"/>
      <c r="AN1597" s="11"/>
      <c r="AX1597" s="11"/>
      <c r="BI1597" s="11"/>
      <c r="BT1597" s="11"/>
      <c r="CE1597" s="11"/>
      <c r="CT1597" s="9"/>
      <c r="CU1597" s="9"/>
    </row>
    <row r="1598" spans="1:99" ht="15" x14ac:dyDescent="0.25">
      <c r="A1598" s="10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C1598" s="11"/>
      <c r="AN1598" s="11"/>
      <c r="AX1598" s="11"/>
      <c r="BI1598" s="11"/>
      <c r="BT1598" s="11"/>
      <c r="CE1598" s="11"/>
      <c r="CT1598" s="9"/>
      <c r="CU1598" s="9"/>
    </row>
    <row r="1599" spans="1:99" ht="15" x14ac:dyDescent="0.25">
      <c r="A1599" s="10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C1599" s="11"/>
      <c r="AN1599" s="11"/>
      <c r="AX1599" s="11"/>
      <c r="BI1599" s="11"/>
      <c r="BT1599" s="11"/>
      <c r="CE1599" s="11"/>
      <c r="CT1599" s="9"/>
      <c r="CU1599" s="9"/>
    </row>
    <row r="1600" spans="1:99" ht="15" x14ac:dyDescent="0.25">
      <c r="A1600" s="10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C1600" s="11"/>
      <c r="AN1600" s="11"/>
      <c r="AX1600" s="11"/>
      <c r="BI1600" s="11"/>
      <c r="BT1600" s="11"/>
      <c r="CE1600" s="11"/>
      <c r="CT1600" s="9"/>
      <c r="CU1600" s="9"/>
    </row>
    <row r="1601" spans="1:99" ht="15" x14ac:dyDescent="0.25">
      <c r="A1601" s="10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C1601" s="11"/>
      <c r="AN1601" s="11"/>
      <c r="AX1601" s="11"/>
      <c r="BI1601" s="11"/>
      <c r="BT1601" s="11"/>
      <c r="CE1601" s="11"/>
      <c r="CT1601" s="9"/>
      <c r="CU1601" s="9"/>
    </row>
    <row r="1602" spans="1:99" ht="15" x14ac:dyDescent="0.25">
      <c r="A1602" s="10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C1602" s="11"/>
      <c r="AN1602" s="11"/>
      <c r="AX1602" s="11"/>
      <c r="BI1602" s="11"/>
      <c r="BT1602" s="11"/>
      <c r="CE1602" s="11"/>
      <c r="CT1602" s="9"/>
      <c r="CU1602" s="9"/>
    </row>
    <row r="1603" spans="1:99" ht="15" x14ac:dyDescent="0.25">
      <c r="A1603" s="10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C1603" s="11"/>
      <c r="AN1603" s="11"/>
      <c r="AX1603" s="11"/>
      <c r="BI1603" s="11"/>
      <c r="BT1603" s="11"/>
      <c r="CE1603" s="11"/>
      <c r="CT1603" s="9"/>
      <c r="CU1603" s="9"/>
    </row>
    <row r="1604" spans="1:99" ht="15" x14ac:dyDescent="0.25">
      <c r="A1604" s="10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C1604" s="11"/>
      <c r="AN1604" s="11"/>
      <c r="AX1604" s="11"/>
      <c r="BI1604" s="11"/>
      <c r="BT1604" s="11"/>
      <c r="CE1604" s="11"/>
      <c r="CT1604" s="9"/>
      <c r="CU1604" s="9"/>
    </row>
    <row r="1605" spans="1:99" ht="15" x14ac:dyDescent="0.25">
      <c r="A1605" s="10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C1605" s="11"/>
      <c r="AN1605" s="11"/>
      <c r="AX1605" s="11"/>
      <c r="BI1605" s="11"/>
      <c r="BT1605" s="11"/>
      <c r="CE1605" s="11"/>
      <c r="CT1605" s="9"/>
      <c r="CU1605" s="9"/>
    </row>
    <row r="1606" spans="1:99" ht="15" x14ac:dyDescent="0.25">
      <c r="A1606" s="10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C1606" s="11"/>
      <c r="AN1606" s="11"/>
      <c r="AX1606" s="11"/>
      <c r="BI1606" s="11"/>
      <c r="BT1606" s="11"/>
      <c r="CE1606" s="11"/>
      <c r="CT1606" s="9"/>
      <c r="CU1606" s="9"/>
    </row>
    <row r="1607" spans="1:99" ht="15" x14ac:dyDescent="0.25">
      <c r="A1607" s="10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C1607" s="11"/>
      <c r="AN1607" s="11"/>
      <c r="AX1607" s="11"/>
      <c r="BI1607" s="11"/>
      <c r="BT1607" s="11"/>
      <c r="CE1607" s="11"/>
      <c r="CT1607" s="9"/>
      <c r="CU1607" s="9"/>
    </row>
    <row r="1608" spans="1:99" ht="15" x14ac:dyDescent="0.25">
      <c r="A1608" s="10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C1608" s="11"/>
      <c r="AN1608" s="11"/>
      <c r="AX1608" s="11"/>
      <c r="BI1608" s="11"/>
      <c r="BT1608" s="11"/>
      <c r="CE1608" s="11"/>
      <c r="CT1608" s="9"/>
      <c r="CU1608" s="9"/>
    </row>
    <row r="1609" spans="1:99" ht="15" x14ac:dyDescent="0.25">
      <c r="A1609" s="10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C1609" s="11"/>
      <c r="AN1609" s="11"/>
      <c r="AX1609" s="11"/>
      <c r="BI1609" s="11"/>
      <c r="BT1609" s="11"/>
      <c r="CE1609" s="11"/>
      <c r="CT1609" s="9"/>
      <c r="CU1609" s="9"/>
    </row>
    <row r="1610" spans="1:99" ht="15" x14ac:dyDescent="0.25">
      <c r="A1610" s="10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C1610" s="11"/>
      <c r="AN1610" s="11"/>
      <c r="AX1610" s="11"/>
      <c r="BI1610" s="11"/>
      <c r="BT1610" s="11"/>
      <c r="CE1610" s="11"/>
      <c r="CT1610" s="9"/>
      <c r="CU1610" s="9"/>
    </row>
    <row r="1611" spans="1:99" ht="15" x14ac:dyDescent="0.25">
      <c r="A1611" s="10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C1611" s="11"/>
      <c r="AN1611" s="11"/>
      <c r="AX1611" s="11"/>
      <c r="BI1611" s="11"/>
      <c r="BT1611" s="11"/>
      <c r="CE1611" s="11"/>
      <c r="CT1611" s="9"/>
      <c r="CU1611" s="9"/>
    </row>
    <row r="1612" spans="1:99" ht="15" x14ac:dyDescent="0.25">
      <c r="A1612" s="10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C1612" s="11"/>
      <c r="AN1612" s="11"/>
      <c r="AX1612" s="11"/>
      <c r="BI1612" s="11"/>
      <c r="BT1612" s="11"/>
      <c r="CE1612" s="11"/>
      <c r="CT1612" s="9"/>
      <c r="CU1612" s="9"/>
    </row>
    <row r="1613" spans="1:99" ht="15" x14ac:dyDescent="0.25">
      <c r="A1613" s="10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C1613" s="11"/>
      <c r="AN1613" s="11"/>
      <c r="AX1613" s="11"/>
      <c r="BI1613" s="11"/>
      <c r="BT1613" s="11"/>
      <c r="CE1613" s="11"/>
      <c r="CT1613" s="9"/>
      <c r="CU1613" s="9"/>
    </row>
    <row r="1614" spans="1:99" ht="15" x14ac:dyDescent="0.25">
      <c r="A1614" s="10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C1614" s="11"/>
      <c r="AN1614" s="11"/>
      <c r="AX1614" s="11"/>
      <c r="BI1614" s="11"/>
      <c r="BT1614" s="11"/>
      <c r="CE1614" s="11"/>
      <c r="CT1614" s="9"/>
      <c r="CU1614" s="9"/>
    </row>
    <row r="1615" spans="1:99" ht="15" x14ac:dyDescent="0.25">
      <c r="A1615" s="10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C1615" s="11"/>
      <c r="AN1615" s="11"/>
      <c r="AX1615" s="11"/>
      <c r="BI1615" s="11"/>
      <c r="BT1615" s="11"/>
      <c r="CE1615" s="11"/>
      <c r="CT1615" s="9"/>
      <c r="CU1615" s="9"/>
    </row>
    <row r="1616" spans="1:99" ht="15" x14ac:dyDescent="0.25">
      <c r="A1616" s="10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C1616" s="11"/>
      <c r="AN1616" s="11"/>
      <c r="AX1616" s="11"/>
      <c r="BI1616" s="11"/>
      <c r="BT1616" s="11"/>
      <c r="CE1616" s="11"/>
      <c r="CT1616" s="9"/>
      <c r="CU1616" s="9"/>
    </row>
    <row r="1617" spans="1:99" ht="15" x14ac:dyDescent="0.25">
      <c r="A1617" s="10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C1617" s="11"/>
      <c r="AN1617" s="11"/>
      <c r="AX1617" s="11"/>
      <c r="BI1617" s="11"/>
      <c r="BT1617" s="11"/>
      <c r="CE1617" s="11"/>
      <c r="CT1617" s="9"/>
      <c r="CU1617" s="9"/>
    </row>
    <row r="1618" spans="1:99" ht="15" x14ac:dyDescent="0.25">
      <c r="A1618" s="10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C1618" s="11"/>
      <c r="AN1618" s="11"/>
      <c r="AX1618" s="11"/>
      <c r="BI1618" s="11"/>
      <c r="BT1618" s="11"/>
      <c r="CE1618" s="11"/>
      <c r="CT1618" s="9"/>
      <c r="CU1618" s="9"/>
    </row>
    <row r="1619" spans="1:99" ht="15" x14ac:dyDescent="0.25">
      <c r="A1619" s="10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C1619" s="11"/>
      <c r="AN1619" s="11"/>
      <c r="AX1619" s="11"/>
      <c r="BI1619" s="11"/>
      <c r="BT1619" s="11"/>
      <c r="CE1619" s="11"/>
      <c r="CT1619" s="9"/>
      <c r="CU1619" s="9"/>
    </row>
    <row r="1620" spans="1:99" ht="15" x14ac:dyDescent="0.25">
      <c r="A1620" s="10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C1620" s="11"/>
      <c r="AN1620" s="11"/>
      <c r="AX1620" s="11"/>
      <c r="BI1620" s="11"/>
      <c r="BT1620" s="11"/>
      <c r="CE1620" s="11"/>
      <c r="CT1620" s="9"/>
      <c r="CU1620" s="9"/>
    </row>
    <row r="1621" spans="1:99" ht="15" x14ac:dyDescent="0.25">
      <c r="A1621" s="10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C1621" s="11"/>
      <c r="AN1621" s="11"/>
      <c r="AX1621" s="11"/>
      <c r="BI1621" s="11"/>
      <c r="BT1621" s="11"/>
      <c r="CE1621" s="11"/>
      <c r="CT1621" s="9"/>
      <c r="CU1621" s="9"/>
    </row>
    <row r="1622" spans="1:99" ht="15" x14ac:dyDescent="0.25">
      <c r="A1622" s="10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C1622" s="11"/>
      <c r="AN1622" s="11"/>
      <c r="AX1622" s="11"/>
      <c r="BI1622" s="11"/>
      <c r="BT1622" s="11"/>
      <c r="CE1622" s="11"/>
      <c r="CT1622" s="9"/>
      <c r="CU1622" s="9"/>
    </row>
    <row r="1623" spans="1:99" ht="15" x14ac:dyDescent="0.25">
      <c r="A1623" s="10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C1623" s="11"/>
      <c r="AN1623" s="11"/>
      <c r="AX1623" s="11"/>
      <c r="BI1623" s="11"/>
      <c r="BT1623" s="11"/>
      <c r="CE1623" s="11"/>
      <c r="CT1623" s="9"/>
      <c r="CU1623" s="9"/>
    </row>
    <row r="1624" spans="1:99" ht="15" x14ac:dyDescent="0.25">
      <c r="A1624" s="10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C1624" s="11"/>
      <c r="AN1624" s="11"/>
      <c r="AX1624" s="11"/>
      <c r="BI1624" s="11"/>
      <c r="BT1624" s="11"/>
      <c r="CE1624" s="11"/>
      <c r="CT1624" s="9"/>
      <c r="CU1624" s="9"/>
    </row>
    <row r="1625" spans="1:99" ht="15" x14ac:dyDescent="0.25">
      <c r="A1625" s="10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C1625" s="11"/>
      <c r="AN1625" s="11"/>
      <c r="AX1625" s="11"/>
      <c r="BI1625" s="11"/>
      <c r="BT1625" s="11"/>
      <c r="CE1625" s="11"/>
      <c r="CT1625" s="9"/>
      <c r="CU1625" s="9"/>
    </row>
    <row r="1626" spans="1:99" ht="15" x14ac:dyDescent="0.25">
      <c r="A1626" s="10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C1626" s="11"/>
      <c r="AN1626" s="11"/>
      <c r="AX1626" s="11"/>
      <c r="BI1626" s="11"/>
      <c r="BT1626" s="11"/>
      <c r="CE1626" s="11"/>
      <c r="CT1626" s="9"/>
      <c r="CU1626" s="9"/>
    </row>
    <row r="1627" spans="1:99" ht="15" x14ac:dyDescent="0.25">
      <c r="A1627" s="10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C1627" s="11"/>
      <c r="AN1627" s="11"/>
      <c r="AX1627" s="11"/>
      <c r="BI1627" s="11"/>
      <c r="BT1627" s="11"/>
      <c r="CE1627" s="11"/>
      <c r="CT1627" s="9"/>
      <c r="CU1627" s="9"/>
    </row>
    <row r="1628" spans="1:99" ht="15" x14ac:dyDescent="0.25">
      <c r="A1628" s="10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C1628" s="11"/>
      <c r="AN1628" s="11"/>
      <c r="AX1628" s="11"/>
      <c r="BI1628" s="11"/>
      <c r="BT1628" s="11"/>
      <c r="CE1628" s="11"/>
      <c r="CT1628" s="9"/>
      <c r="CU1628" s="9"/>
    </row>
    <row r="1629" spans="1:99" ht="15" x14ac:dyDescent="0.25">
      <c r="A1629" s="10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C1629" s="11"/>
      <c r="AN1629" s="11"/>
      <c r="AX1629" s="11"/>
      <c r="BI1629" s="11"/>
      <c r="BT1629" s="11"/>
      <c r="CE1629" s="11"/>
      <c r="CT1629" s="9"/>
      <c r="CU1629" s="9"/>
    </row>
    <row r="1630" spans="1:99" ht="15" x14ac:dyDescent="0.25">
      <c r="A1630" s="10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C1630" s="11"/>
      <c r="AN1630" s="11"/>
      <c r="AX1630" s="11"/>
      <c r="BI1630" s="11"/>
      <c r="BT1630" s="11"/>
      <c r="CE1630" s="11"/>
      <c r="CT1630" s="9"/>
      <c r="CU1630" s="9"/>
    </row>
    <row r="1631" spans="1:99" ht="15" x14ac:dyDescent="0.25">
      <c r="A1631" s="10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C1631" s="11"/>
      <c r="AN1631" s="11"/>
      <c r="AX1631" s="11"/>
      <c r="BI1631" s="11"/>
      <c r="BT1631" s="11"/>
      <c r="CE1631" s="11"/>
      <c r="CT1631" s="9"/>
      <c r="CU1631" s="9"/>
    </row>
    <row r="1632" spans="1:99" ht="15" x14ac:dyDescent="0.25">
      <c r="A1632" s="10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C1632" s="11"/>
      <c r="AN1632" s="11"/>
      <c r="AX1632" s="11"/>
      <c r="BI1632" s="11"/>
      <c r="BT1632" s="11"/>
      <c r="CE1632" s="11"/>
      <c r="CT1632" s="9"/>
      <c r="CU1632" s="9"/>
    </row>
    <row r="1633" spans="1:99" ht="15" x14ac:dyDescent="0.25">
      <c r="A1633" s="10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X1633" s="11"/>
      <c r="BI1633" s="11"/>
      <c r="BT1633" s="11"/>
      <c r="CE1633" s="11"/>
      <c r="CT1633" s="9"/>
      <c r="CU1633" s="9"/>
    </row>
    <row r="1634" spans="1:99" ht="15" x14ac:dyDescent="0.25">
      <c r="A1634" s="10"/>
    </row>
    <row r="1635" spans="1:99" ht="15" x14ac:dyDescent="0.25">
      <c r="A1635" s="10"/>
    </row>
    <row r="1636" spans="1:99" ht="15" x14ac:dyDescent="0.25">
      <c r="A1636" s="10"/>
    </row>
    <row r="1637" spans="1:99" ht="15" x14ac:dyDescent="0.25">
      <c r="A1637" s="10"/>
    </row>
    <row r="1638" spans="1:99" ht="15" x14ac:dyDescent="0.25">
      <c r="A1638" s="10"/>
    </row>
    <row r="1639" spans="1:99" ht="15" x14ac:dyDescent="0.25">
      <c r="A1639" s="10"/>
    </row>
    <row r="1640" spans="1:99" ht="15" x14ac:dyDescent="0.25">
      <c r="A1640" s="10"/>
    </row>
    <row r="1641" spans="1:99" ht="15" x14ac:dyDescent="0.25">
      <c r="A1641" s="10"/>
    </row>
    <row r="1642" spans="1:99" ht="15" x14ac:dyDescent="0.25">
      <c r="A1642" s="10"/>
    </row>
    <row r="1643" spans="1:99" ht="15" x14ac:dyDescent="0.25">
      <c r="A1643" s="10"/>
    </row>
    <row r="1644" spans="1:99" ht="15" x14ac:dyDescent="0.25">
      <c r="A1644" s="10"/>
    </row>
    <row r="1645" spans="1:99" ht="15" x14ac:dyDescent="0.25">
      <c r="A1645" s="10"/>
    </row>
    <row r="1646" spans="1:99" ht="15" x14ac:dyDescent="0.25">
      <c r="A1646" s="10"/>
    </row>
    <row r="1647" spans="1:99" ht="15" x14ac:dyDescent="0.25">
      <c r="A1647" s="10"/>
    </row>
    <row r="1648" spans="1:99" ht="15" x14ac:dyDescent="0.25">
      <c r="A1648" s="10"/>
    </row>
    <row r="1649" spans="1:1" ht="15" x14ac:dyDescent="0.25">
      <c r="A1649" s="10"/>
    </row>
    <row r="1650" spans="1:1" ht="15" x14ac:dyDescent="0.25">
      <c r="A1650" s="10"/>
    </row>
    <row r="1651" spans="1:1" ht="15" x14ac:dyDescent="0.25">
      <c r="A1651" s="10"/>
    </row>
    <row r="1652" spans="1:1" ht="15" x14ac:dyDescent="0.25">
      <c r="A1652" s="10"/>
    </row>
    <row r="1653" spans="1:1" ht="15" x14ac:dyDescent="0.25">
      <c r="A1653" s="10"/>
    </row>
    <row r="1654" spans="1:1" ht="15" x14ac:dyDescent="0.25">
      <c r="A1654" s="10"/>
    </row>
    <row r="1655" spans="1:1" ht="15" x14ac:dyDescent="0.25">
      <c r="A1655" s="10"/>
    </row>
    <row r="1656" spans="1:1" ht="15" x14ac:dyDescent="0.25">
      <c r="A1656" s="10"/>
    </row>
    <row r="1657" spans="1:1" ht="15" x14ac:dyDescent="0.25">
      <c r="A1657" s="10"/>
    </row>
    <row r="1658" spans="1:1" ht="15" x14ac:dyDescent="0.25">
      <c r="A1658" s="10"/>
    </row>
    <row r="1659" spans="1:1" ht="15" x14ac:dyDescent="0.25">
      <c r="A1659" s="10"/>
    </row>
    <row r="1660" spans="1:1" ht="15" x14ac:dyDescent="0.25">
      <c r="A1660" s="10"/>
    </row>
    <row r="1661" spans="1:1" ht="15" x14ac:dyDescent="0.25">
      <c r="A1661" s="10"/>
    </row>
    <row r="1662" spans="1:1" ht="15" x14ac:dyDescent="0.25">
      <c r="A1662" s="10"/>
    </row>
    <row r="1663" spans="1:1" ht="15" x14ac:dyDescent="0.25">
      <c r="A1663" s="10"/>
    </row>
    <row r="1664" spans="1:1" ht="15" x14ac:dyDescent="0.25">
      <c r="A1664" s="10"/>
    </row>
    <row r="1665" spans="1:1" ht="15" x14ac:dyDescent="0.25">
      <c r="A1665" s="10"/>
    </row>
    <row r="1666" spans="1:1" ht="15" x14ac:dyDescent="0.25">
      <c r="A1666" s="10"/>
    </row>
    <row r="1667" spans="1:1" ht="15" x14ac:dyDescent="0.25">
      <c r="A1667" s="10"/>
    </row>
    <row r="1668" spans="1:1" ht="15" x14ac:dyDescent="0.25">
      <c r="A1668" s="10"/>
    </row>
    <row r="1669" spans="1:1" ht="15" x14ac:dyDescent="0.25">
      <c r="A1669" s="10"/>
    </row>
    <row r="1670" spans="1:1" ht="15" x14ac:dyDescent="0.25">
      <c r="A1670" s="10"/>
    </row>
    <row r="1671" spans="1:1" ht="15" x14ac:dyDescent="0.25">
      <c r="A1671" s="10"/>
    </row>
    <row r="1672" spans="1:1" ht="15" x14ac:dyDescent="0.25">
      <c r="A1672" s="10"/>
    </row>
    <row r="1673" spans="1:1" ht="15" x14ac:dyDescent="0.25">
      <c r="A1673" s="10"/>
    </row>
    <row r="1674" spans="1:1" ht="15" x14ac:dyDescent="0.25">
      <c r="A1674" s="10"/>
    </row>
    <row r="1675" spans="1:1" ht="15" x14ac:dyDescent="0.25">
      <c r="A1675" s="10"/>
    </row>
    <row r="1676" spans="1:1" ht="15" x14ac:dyDescent="0.25">
      <c r="A1676" s="10"/>
    </row>
    <row r="1677" spans="1:1" ht="15" x14ac:dyDescent="0.25">
      <c r="A1677" s="10"/>
    </row>
    <row r="1678" spans="1:1" ht="15" x14ac:dyDescent="0.25">
      <c r="A1678" s="10"/>
    </row>
    <row r="1679" spans="1:1" ht="15" x14ac:dyDescent="0.25">
      <c r="A1679" s="10"/>
    </row>
    <row r="1680" spans="1:1" ht="15" x14ac:dyDescent="0.25">
      <c r="A1680" s="10"/>
    </row>
    <row r="1681" spans="1:1" ht="15" x14ac:dyDescent="0.25">
      <c r="A1681" s="10"/>
    </row>
    <row r="1682" spans="1:1" ht="15" x14ac:dyDescent="0.25">
      <c r="A1682" s="10"/>
    </row>
    <row r="1683" spans="1:1" ht="15" x14ac:dyDescent="0.25">
      <c r="A1683" s="10"/>
    </row>
    <row r="1684" spans="1:1" ht="15" x14ac:dyDescent="0.25">
      <c r="A1684" s="10"/>
    </row>
    <row r="1685" spans="1:1" ht="15" x14ac:dyDescent="0.25">
      <c r="A1685" s="10"/>
    </row>
    <row r="1686" spans="1:1" ht="15" x14ac:dyDescent="0.25">
      <c r="A1686" s="10"/>
    </row>
    <row r="1687" spans="1:1" ht="15" x14ac:dyDescent="0.25">
      <c r="A1687" s="10"/>
    </row>
    <row r="1688" spans="1:1" ht="15" x14ac:dyDescent="0.25">
      <c r="A1688" s="10"/>
    </row>
    <row r="1689" spans="1:1" ht="15" x14ac:dyDescent="0.25">
      <c r="A1689" s="10"/>
    </row>
    <row r="1690" spans="1:1" ht="15" x14ac:dyDescent="0.25">
      <c r="A1690" s="10"/>
    </row>
    <row r="1691" spans="1:1" ht="15" x14ac:dyDescent="0.25">
      <c r="A1691" s="10"/>
    </row>
    <row r="1692" spans="1:1" ht="15" x14ac:dyDescent="0.25">
      <c r="A1692" s="10"/>
    </row>
    <row r="1693" spans="1:1" ht="15" x14ac:dyDescent="0.25">
      <c r="A1693" s="10"/>
    </row>
    <row r="1694" spans="1:1" ht="15" x14ac:dyDescent="0.25">
      <c r="A1694" s="10"/>
    </row>
    <row r="1695" spans="1:1" ht="15" x14ac:dyDescent="0.25">
      <c r="A1695" s="10"/>
    </row>
    <row r="1696" spans="1:1" ht="15" x14ac:dyDescent="0.25">
      <c r="A1696" s="10"/>
    </row>
    <row r="1697" spans="1:1" ht="15" x14ac:dyDescent="0.25">
      <c r="A1697" s="10"/>
    </row>
    <row r="1698" spans="1:1" ht="15" x14ac:dyDescent="0.25">
      <c r="A1698" s="10"/>
    </row>
    <row r="1699" spans="1:1" ht="15" x14ac:dyDescent="0.25">
      <c r="A1699" s="10"/>
    </row>
    <row r="1700" spans="1:1" ht="15" x14ac:dyDescent="0.25">
      <c r="A1700" s="10"/>
    </row>
    <row r="1701" spans="1:1" ht="15" x14ac:dyDescent="0.25">
      <c r="A1701" s="10"/>
    </row>
    <row r="1702" spans="1:1" ht="15" x14ac:dyDescent="0.25">
      <c r="A1702" s="10"/>
    </row>
    <row r="1703" spans="1:1" ht="15" x14ac:dyDescent="0.25">
      <c r="A1703" s="10"/>
    </row>
    <row r="1704" spans="1:1" ht="15" x14ac:dyDescent="0.25">
      <c r="A1704" s="10"/>
    </row>
    <row r="1705" spans="1:1" ht="15" x14ac:dyDescent="0.25">
      <c r="A1705" s="10"/>
    </row>
    <row r="1706" spans="1:1" ht="15" x14ac:dyDescent="0.25">
      <c r="A1706" s="10"/>
    </row>
    <row r="1707" spans="1:1" ht="15" x14ac:dyDescent="0.25">
      <c r="A1707" s="10"/>
    </row>
    <row r="1708" spans="1:1" ht="15" x14ac:dyDescent="0.25">
      <c r="A1708" s="10"/>
    </row>
    <row r="1709" spans="1:1" ht="15" x14ac:dyDescent="0.25">
      <c r="A1709" s="10"/>
    </row>
    <row r="1710" spans="1:1" ht="15" x14ac:dyDescent="0.25">
      <c r="A1710" s="10"/>
    </row>
    <row r="1711" spans="1:1" ht="15" x14ac:dyDescent="0.25">
      <c r="A1711" s="10"/>
    </row>
    <row r="1712" spans="1:1" ht="15" x14ac:dyDescent="0.25">
      <c r="A1712" s="10"/>
    </row>
    <row r="1713" spans="1:1" ht="15" x14ac:dyDescent="0.25">
      <c r="A1713" s="10"/>
    </row>
    <row r="1714" spans="1:1" ht="15" x14ac:dyDescent="0.25">
      <c r="A1714" s="10"/>
    </row>
    <row r="1715" spans="1:1" ht="15" x14ac:dyDescent="0.25">
      <c r="A1715" s="10"/>
    </row>
    <row r="1716" spans="1:1" ht="15" x14ac:dyDescent="0.25">
      <c r="A1716" s="10"/>
    </row>
    <row r="1717" spans="1:1" ht="15" x14ac:dyDescent="0.25">
      <c r="A1717" s="10"/>
    </row>
    <row r="1718" spans="1:1" ht="15" x14ac:dyDescent="0.25">
      <c r="A1718" s="10"/>
    </row>
    <row r="1719" spans="1:1" ht="15" x14ac:dyDescent="0.25">
      <c r="A1719" s="10"/>
    </row>
    <row r="1720" spans="1:1" ht="15" x14ac:dyDescent="0.25">
      <c r="A1720" s="10"/>
    </row>
    <row r="1721" spans="1:1" ht="15" x14ac:dyDescent="0.25">
      <c r="A1721" s="10"/>
    </row>
    <row r="1722" spans="1:1" ht="15" x14ac:dyDescent="0.25">
      <c r="A1722" s="10"/>
    </row>
    <row r="1723" spans="1:1" ht="15" x14ac:dyDescent="0.25">
      <c r="A1723" s="10"/>
    </row>
    <row r="1724" spans="1:1" ht="15" x14ac:dyDescent="0.25">
      <c r="A1724" s="10"/>
    </row>
    <row r="1725" spans="1:1" ht="15" x14ac:dyDescent="0.25">
      <c r="A1725" s="10"/>
    </row>
    <row r="1726" spans="1:1" ht="15" x14ac:dyDescent="0.25">
      <c r="A1726" s="10"/>
    </row>
    <row r="1727" spans="1:1" ht="15" x14ac:dyDescent="0.25">
      <c r="A1727" s="10"/>
    </row>
    <row r="1728" spans="1:1" ht="15" x14ac:dyDescent="0.25">
      <c r="A1728" s="10"/>
    </row>
    <row r="1729" spans="1:1" ht="15" x14ac:dyDescent="0.25">
      <c r="A1729" s="10"/>
    </row>
    <row r="1730" spans="1:1" ht="15" x14ac:dyDescent="0.25">
      <c r="A1730" s="10"/>
    </row>
    <row r="1731" spans="1:1" ht="15" x14ac:dyDescent="0.25">
      <c r="A1731" s="10"/>
    </row>
    <row r="1732" spans="1:1" ht="15" x14ac:dyDescent="0.25">
      <c r="A1732" s="10"/>
    </row>
    <row r="1733" spans="1:1" ht="15" x14ac:dyDescent="0.25">
      <c r="A1733" s="10"/>
    </row>
    <row r="1734" spans="1:1" ht="15" x14ac:dyDescent="0.25">
      <c r="A1734" s="10"/>
    </row>
    <row r="1735" spans="1:1" ht="15" x14ac:dyDescent="0.25">
      <c r="A1735" s="10"/>
    </row>
    <row r="1736" spans="1:1" ht="15" x14ac:dyDescent="0.25">
      <c r="A1736" s="10"/>
    </row>
    <row r="1737" spans="1:1" ht="15" x14ac:dyDescent="0.25">
      <c r="A1737" s="10"/>
    </row>
    <row r="1738" spans="1:1" ht="15" x14ac:dyDescent="0.25">
      <c r="A1738" s="10"/>
    </row>
    <row r="1739" spans="1:1" ht="15" x14ac:dyDescent="0.25">
      <c r="A1739" s="10"/>
    </row>
    <row r="1740" spans="1:1" ht="15" x14ac:dyDescent="0.25">
      <c r="A1740" s="10"/>
    </row>
    <row r="1741" spans="1:1" ht="15" x14ac:dyDescent="0.25">
      <c r="A1741" s="10"/>
    </row>
    <row r="1742" spans="1:1" ht="15" x14ac:dyDescent="0.25">
      <c r="A1742" s="10"/>
    </row>
    <row r="1743" spans="1:1" ht="15" x14ac:dyDescent="0.25">
      <c r="A1743" s="10"/>
    </row>
    <row r="1744" spans="1:1" ht="15" x14ac:dyDescent="0.25">
      <c r="A1744" s="10"/>
    </row>
    <row r="1745" spans="1:1" ht="15" x14ac:dyDescent="0.25">
      <c r="A1745" s="10"/>
    </row>
    <row r="1746" spans="1:1" ht="15" x14ac:dyDescent="0.25">
      <c r="A1746" s="10"/>
    </row>
    <row r="1747" spans="1:1" ht="15" x14ac:dyDescent="0.25">
      <c r="A1747" s="10"/>
    </row>
    <row r="1748" spans="1:1" ht="15" x14ac:dyDescent="0.25">
      <c r="A1748" s="10"/>
    </row>
    <row r="1749" spans="1:1" ht="15" x14ac:dyDescent="0.25">
      <c r="A1749" s="10"/>
    </row>
    <row r="1750" spans="1:1" ht="15" x14ac:dyDescent="0.25">
      <c r="A1750" s="10"/>
    </row>
    <row r="1751" spans="1:1" ht="15" x14ac:dyDescent="0.25">
      <c r="A1751" s="10"/>
    </row>
    <row r="1752" spans="1:1" ht="15" x14ac:dyDescent="0.25">
      <c r="A1752" s="10"/>
    </row>
    <row r="1753" spans="1:1" ht="15" x14ac:dyDescent="0.25">
      <c r="A1753" s="10"/>
    </row>
    <row r="1754" spans="1:1" ht="15" x14ac:dyDescent="0.25">
      <c r="A1754" s="10"/>
    </row>
    <row r="1755" spans="1:1" ht="15" x14ac:dyDescent="0.25">
      <c r="A1755" s="10"/>
    </row>
    <row r="1756" spans="1:1" ht="15" x14ac:dyDescent="0.25">
      <c r="A1756" s="10"/>
    </row>
    <row r="1757" spans="1:1" ht="15" x14ac:dyDescent="0.25">
      <c r="A1757" s="10"/>
    </row>
    <row r="1758" spans="1:1" ht="15" x14ac:dyDescent="0.25">
      <c r="A1758" s="10"/>
    </row>
    <row r="1759" spans="1:1" ht="15" x14ac:dyDescent="0.25">
      <c r="A1759" s="10"/>
    </row>
    <row r="1760" spans="1:1" ht="15" x14ac:dyDescent="0.25">
      <c r="A1760" s="10"/>
    </row>
    <row r="1761" spans="1:1" ht="15" x14ac:dyDescent="0.25">
      <c r="A1761" s="10"/>
    </row>
    <row r="1762" spans="1:1" ht="15" x14ac:dyDescent="0.25">
      <c r="A1762" s="10"/>
    </row>
    <row r="1763" spans="1:1" ht="15" x14ac:dyDescent="0.25">
      <c r="A1763" s="10"/>
    </row>
    <row r="1764" spans="1:1" ht="15" x14ac:dyDescent="0.25">
      <c r="A1764" s="10"/>
    </row>
    <row r="1765" spans="1:1" ht="15" x14ac:dyDescent="0.25">
      <c r="A1765" s="10"/>
    </row>
    <row r="1766" spans="1:1" ht="15" x14ac:dyDescent="0.25">
      <c r="A1766" s="10"/>
    </row>
    <row r="1767" spans="1:1" ht="15" x14ac:dyDescent="0.25">
      <c r="A1767" s="10"/>
    </row>
    <row r="1768" spans="1:1" ht="15" x14ac:dyDescent="0.25">
      <c r="A1768" s="10"/>
    </row>
    <row r="1769" spans="1:1" ht="15" x14ac:dyDescent="0.25">
      <c r="A1769" s="10"/>
    </row>
    <row r="1770" spans="1:1" ht="15" x14ac:dyDescent="0.25">
      <c r="A1770" s="10"/>
    </row>
    <row r="1771" spans="1:1" ht="15" x14ac:dyDescent="0.25">
      <c r="A1771" s="10"/>
    </row>
    <row r="1772" spans="1:1" ht="15" x14ac:dyDescent="0.25">
      <c r="A1772" s="10"/>
    </row>
    <row r="1773" spans="1:1" ht="15" x14ac:dyDescent="0.25">
      <c r="A1773" s="10"/>
    </row>
    <row r="1774" spans="1:1" ht="15" x14ac:dyDescent="0.25">
      <c r="A1774" s="10"/>
    </row>
    <row r="1775" spans="1:1" ht="15" x14ac:dyDescent="0.25">
      <c r="A1775" s="10"/>
    </row>
    <row r="1776" spans="1:1" ht="15" x14ac:dyDescent="0.25">
      <c r="A1776" s="10"/>
    </row>
    <row r="1777" spans="1:1" ht="15" x14ac:dyDescent="0.25">
      <c r="A1777" s="10"/>
    </row>
    <row r="1778" spans="1:1" ht="15" x14ac:dyDescent="0.25">
      <c r="A1778" s="10"/>
    </row>
    <row r="1779" spans="1:1" ht="15" x14ac:dyDescent="0.25">
      <c r="A1779" s="10"/>
    </row>
    <row r="1780" spans="1:1" ht="15" x14ac:dyDescent="0.25">
      <c r="A1780" s="10"/>
    </row>
    <row r="1781" spans="1:1" ht="15" x14ac:dyDescent="0.25">
      <c r="A1781" s="10"/>
    </row>
    <row r="1782" spans="1:1" ht="15" x14ac:dyDescent="0.25">
      <c r="A1782" s="10"/>
    </row>
    <row r="1783" spans="1:1" ht="15" x14ac:dyDescent="0.25">
      <c r="A1783" s="10"/>
    </row>
    <row r="1784" spans="1:1" ht="15" x14ac:dyDescent="0.25">
      <c r="A1784" s="10"/>
    </row>
    <row r="1785" spans="1:1" ht="15" x14ac:dyDescent="0.25">
      <c r="A1785" s="10"/>
    </row>
    <row r="1786" spans="1:1" ht="15" x14ac:dyDescent="0.25">
      <c r="A1786" s="10"/>
    </row>
    <row r="1787" spans="1:1" ht="15" x14ac:dyDescent="0.25">
      <c r="A1787" s="10"/>
    </row>
    <row r="1788" spans="1:1" ht="15" x14ac:dyDescent="0.25">
      <c r="A1788" s="10"/>
    </row>
    <row r="1789" spans="1:1" ht="15" x14ac:dyDescent="0.25">
      <c r="A1789" s="10"/>
    </row>
    <row r="1790" spans="1:1" ht="15" x14ac:dyDescent="0.25">
      <c r="A1790" s="10"/>
    </row>
    <row r="1791" spans="1:1" ht="15" x14ac:dyDescent="0.25">
      <c r="A1791" s="10"/>
    </row>
    <row r="1792" spans="1:1" ht="15" x14ac:dyDescent="0.25">
      <c r="A1792" s="10"/>
    </row>
    <row r="1793" spans="1:1" ht="15" x14ac:dyDescent="0.25">
      <c r="A1793" s="10"/>
    </row>
    <row r="1794" spans="1:1" ht="15" x14ac:dyDescent="0.25">
      <c r="A1794" s="10"/>
    </row>
    <row r="1795" spans="1:1" ht="15" x14ac:dyDescent="0.25">
      <c r="A1795" s="10"/>
    </row>
    <row r="1796" spans="1:1" ht="15" x14ac:dyDescent="0.25">
      <c r="A1796" s="10"/>
    </row>
    <row r="1797" spans="1:1" ht="15" x14ac:dyDescent="0.25">
      <c r="A1797" s="10"/>
    </row>
    <row r="1798" spans="1:1" ht="15" x14ac:dyDescent="0.25">
      <c r="A1798" s="10"/>
    </row>
    <row r="1799" spans="1:1" ht="15" x14ac:dyDescent="0.25">
      <c r="A1799" s="10"/>
    </row>
    <row r="1800" spans="1:1" ht="15" x14ac:dyDescent="0.25">
      <c r="A1800" s="10"/>
    </row>
    <row r="1801" spans="1:1" ht="15" x14ac:dyDescent="0.25">
      <c r="A1801" s="10"/>
    </row>
    <row r="1802" spans="1:1" ht="15" x14ac:dyDescent="0.25">
      <c r="A1802" s="10"/>
    </row>
    <row r="1803" spans="1:1" ht="15" x14ac:dyDescent="0.25">
      <c r="A1803" s="10"/>
    </row>
    <row r="1804" spans="1:1" ht="15" x14ac:dyDescent="0.25">
      <c r="A1804" s="10"/>
    </row>
    <row r="1805" spans="1:1" ht="15" x14ac:dyDescent="0.25">
      <c r="A1805" s="10"/>
    </row>
    <row r="1806" spans="1:1" ht="15" x14ac:dyDescent="0.25">
      <c r="A1806" s="10"/>
    </row>
    <row r="1807" spans="1:1" ht="15" x14ac:dyDescent="0.25">
      <c r="A1807" s="10"/>
    </row>
    <row r="1808" spans="1:1" ht="15" x14ac:dyDescent="0.25">
      <c r="A1808" s="10"/>
    </row>
    <row r="1809" spans="1:1" ht="15" x14ac:dyDescent="0.25">
      <c r="A1809" s="10"/>
    </row>
    <row r="1810" spans="1:1" ht="15" x14ac:dyDescent="0.25">
      <c r="A1810" s="10"/>
    </row>
    <row r="1811" spans="1:1" ht="15" x14ac:dyDescent="0.25">
      <c r="A1811" s="10"/>
    </row>
    <row r="1812" spans="1:1" ht="15" x14ac:dyDescent="0.25">
      <c r="A1812" s="10"/>
    </row>
    <row r="1813" spans="1:1" ht="15" x14ac:dyDescent="0.25">
      <c r="A1813" s="10"/>
    </row>
    <row r="1814" spans="1:1" ht="15" x14ac:dyDescent="0.25">
      <c r="A1814" s="10"/>
    </row>
    <row r="1815" spans="1:1" ht="15" x14ac:dyDescent="0.25">
      <c r="A1815" s="10"/>
    </row>
    <row r="1816" spans="1:1" ht="15" x14ac:dyDescent="0.25">
      <c r="A1816" s="10"/>
    </row>
    <row r="1817" spans="1:1" ht="15" x14ac:dyDescent="0.25">
      <c r="A1817" s="10"/>
    </row>
    <row r="1818" spans="1:1" ht="15" x14ac:dyDescent="0.25">
      <c r="A1818" s="10"/>
    </row>
    <row r="1819" spans="1:1" ht="15" x14ac:dyDescent="0.25">
      <c r="A1819" s="10"/>
    </row>
    <row r="1820" spans="1:1" ht="15" x14ac:dyDescent="0.25">
      <c r="A1820" s="10"/>
    </row>
    <row r="1821" spans="1:1" ht="15" x14ac:dyDescent="0.25">
      <c r="A1821" s="10"/>
    </row>
    <row r="1822" spans="1:1" ht="15" x14ac:dyDescent="0.25">
      <c r="A1822" s="10"/>
    </row>
    <row r="1823" spans="1:1" ht="15" x14ac:dyDescent="0.25">
      <c r="A1823" s="10"/>
    </row>
    <row r="1824" spans="1:1" ht="15" x14ac:dyDescent="0.25">
      <c r="A1824" s="10"/>
    </row>
    <row r="1825" spans="1:1" ht="15" x14ac:dyDescent="0.25">
      <c r="A1825" s="10"/>
    </row>
    <row r="1826" spans="1:1" ht="15" x14ac:dyDescent="0.25">
      <c r="A1826" s="10"/>
    </row>
    <row r="1827" spans="1:1" ht="15" x14ac:dyDescent="0.25">
      <c r="A1827" s="10"/>
    </row>
    <row r="1828" spans="1:1" ht="15" x14ac:dyDescent="0.25">
      <c r="A1828" s="10"/>
    </row>
    <row r="1829" spans="1:1" ht="15" x14ac:dyDescent="0.25">
      <c r="A1829" s="10"/>
    </row>
    <row r="1830" spans="1:1" ht="15" x14ac:dyDescent="0.25">
      <c r="A1830" s="10"/>
    </row>
    <row r="1831" spans="1:1" ht="15" x14ac:dyDescent="0.25">
      <c r="A1831" s="10"/>
    </row>
    <row r="1832" spans="1:1" ht="15" x14ac:dyDescent="0.25">
      <c r="A1832" s="10"/>
    </row>
    <row r="1833" spans="1:1" ht="15" x14ac:dyDescent="0.25">
      <c r="A1833" s="10"/>
    </row>
    <row r="1834" spans="1:1" ht="15" x14ac:dyDescent="0.25">
      <c r="A1834" s="10"/>
    </row>
    <row r="1835" spans="1:1" ht="15" x14ac:dyDescent="0.25">
      <c r="A1835" s="10"/>
    </row>
    <row r="1836" spans="1:1" ht="15" x14ac:dyDescent="0.25">
      <c r="A1836" s="10"/>
    </row>
    <row r="1837" spans="1:1" ht="15" x14ac:dyDescent="0.25">
      <c r="A1837" s="10"/>
    </row>
    <row r="1838" spans="1:1" ht="15" x14ac:dyDescent="0.25">
      <c r="A1838" s="10"/>
    </row>
    <row r="1839" spans="1:1" ht="15" x14ac:dyDescent="0.25">
      <c r="A1839" s="10"/>
    </row>
    <row r="1840" spans="1:1" ht="15" x14ac:dyDescent="0.25">
      <c r="A1840" s="10"/>
    </row>
    <row r="1841" spans="1:1" ht="15" x14ac:dyDescent="0.25">
      <c r="A1841" s="10"/>
    </row>
    <row r="1842" spans="1:1" ht="15" x14ac:dyDescent="0.25">
      <c r="A1842" s="10"/>
    </row>
    <row r="1843" spans="1:1" ht="15" x14ac:dyDescent="0.25">
      <c r="A1843" s="10"/>
    </row>
    <row r="1844" spans="1:1" ht="15" x14ac:dyDescent="0.25">
      <c r="A1844" s="10"/>
    </row>
    <row r="1845" spans="1:1" ht="15" x14ac:dyDescent="0.25">
      <c r="A1845" s="10"/>
    </row>
    <row r="1846" spans="1:1" ht="15" x14ac:dyDescent="0.25">
      <c r="A1846" s="10"/>
    </row>
    <row r="1847" spans="1:1" ht="15" x14ac:dyDescent="0.25">
      <c r="A1847" s="10"/>
    </row>
    <row r="1848" spans="1:1" ht="15" x14ac:dyDescent="0.25">
      <c r="A1848" s="10"/>
    </row>
    <row r="1849" spans="1:1" ht="15" x14ac:dyDescent="0.25">
      <c r="A1849" s="10"/>
    </row>
    <row r="1850" spans="1:1" ht="15" x14ac:dyDescent="0.25">
      <c r="A1850" s="10"/>
    </row>
    <row r="1851" spans="1:1" ht="15" x14ac:dyDescent="0.25">
      <c r="A1851" s="10"/>
    </row>
    <row r="1852" spans="1:1" ht="15" x14ac:dyDescent="0.25">
      <c r="A1852" s="10"/>
    </row>
    <row r="1853" spans="1:1" ht="15" x14ac:dyDescent="0.25">
      <c r="A1853" s="10"/>
    </row>
    <row r="1854" spans="1:1" ht="15" x14ac:dyDescent="0.25">
      <c r="A1854" s="10"/>
    </row>
    <row r="1855" spans="1:1" ht="15" x14ac:dyDescent="0.25">
      <c r="A1855" s="10"/>
    </row>
    <row r="1856" spans="1:1" ht="15" x14ac:dyDescent="0.25">
      <c r="A1856" s="10"/>
    </row>
    <row r="1857" spans="1:15" ht="15" x14ac:dyDescent="0.25">
      <c r="A1857" s="10"/>
      <c r="B1857" s="10"/>
      <c r="O1857" s="10"/>
    </row>
    <row r="1858" spans="1:15" ht="15" x14ac:dyDescent="0.25">
      <c r="A1858" s="10"/>
      <c r="B1858" s="10"/>
      <c r="I1858" s="10"/>
      <c r="J1858" s="10"/>
      <c r="K1858" s="10"/>
      <c r="L1858" s="10"/>
      <c r="M1858" s="10"/>
      <c r="N1858" s="10"/>
      <c r="O1858" s="10"/>
    </row>
    <row r="1859" spans="1:15" ht="15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</row>
    <row r="1860" spans="1:15" ht="15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</row>
    <row r="1861" spans="1:15" ht="15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</row>
    <row r="1862" spans="1:15" ht="15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</row>
    <row r="1863" spans="1:15" ht="15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</row>
    <row r="1864" spans="1:15" ht="15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</row>
    <row r="1865" spans="1:15" ht="15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</row>
    <row r="1866" spans="1:15" ht="15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</row>
    <row r="1867" spans="1:15" ht="15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</row>
    <row r="1868" spans="1:15" ht="15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6"/>
    </row>
    <row r="1869" spans="1:15" ht="15" x14ac:dyDescent="0.25">
      <c r="A1869" s="10"/>
      <c r="B1869" s="10"/>
      <c r="C1869" s="10"/>
      <c r="D1869" s="10"/>
      <c r="E1869" s="10"/>
      <c r="F1869" s="10"/>
      <c r="G1869" s="10"/>
      <c r="H1869" s="10"/>
      <c r="I1869" s="16"/>
      <c r="J1869" s="16"/>
      <c r="K1869" s="16"/>
      <c r="L1869" s="16"/>
      <c r="M1869" s="16"/>
      <c r="N1869" s="16"/>
      <c r="O1869" s="16"/>
    </row>
    <row r="1870" spans="1:15" ht="15" x14ac:dyDescent="0.25">
      <c r="A1870" s="10"/>
      <c r="B1870" s="10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</row>
    <row r="1871" spans="1:15" ht="15" x14ac:dyDescent="0.25">
      <c r="A1871" s="10"/>
      <c r="B1871" s="10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</row>
    <row r="1872" spans="1:15" ht="15" x14ac:dyDescent="0.25">
      <c r="A1872" s="10"/>
      <c r="B1872" s="10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</row>
    <row r="1873" spans="1:15" ht="15" x14ac:dyDescent="0.25">
      <c r="A1873" s="10"/>
      <c r="B1873" s="10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0"/>
    </row>
    <row r="1874" spans="1:15" ht="15" x14ac:dyDescent="0.25">
      <c r="C1874" s="16"/>
      <c r="D1874" s="16"/>
      <c r="E1874" s="16"/>
      <c r="F1874" s="16"/>
      <c r="G1874" s="16"/>
      <c r="H1874" s="16"/>
      <c r="I1874" s="10"/>
      <c r="J1874" s="10"/>
      <c r="K1874" s="10"/>
      <c r="L1874" s="10"/>
      <c r="M1874" s="10"/>
      <c r="N1874" s="10"/>
    </row>
    <row r="1875" spans="1:15" ht="15" x14ac:dyDescent="0.25">
      <c r="C1875" s="10"/>
      <c r="D1875" s="10"/>
      <c r="E1875" s="10"/>
      <c r="F1875" s="10"/>
      <c r="G1875" s="10"/>
      <c r="H1875" s="10"/>
    </row>
  </sheetData>
  <sheetProtection selectLockedCells="1" selectUnlockedCells="1"/>
  <mergeCells count="10">
    <mergeCell ref="AA61:AJ61"/>
    <mergeCell ref="AL61:AT61"/>
    <mergeCell ref="CC61:CL61"/>
    <mergeCell ref="A1:B1"/>
    <mergeCell ref="H1:I1"/>
    <mergeCell ref="M1:N1"/>
    <mergeCell ref="P1:Q1"/>
    <mergeCell ref="S1:T1"/>
    <mergeCell ref="BR61:CA61"/>
    <mergeCell ref="V1:W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4</xdr:row>
                    <xdr:rowOff>0</xdr:rowOff>
                  </from>
                  <to>
                    <xdr:col>6</xdr:col>
                    <xdr:colOff>1038225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3</xdr:row>
                    <xdr:rowOff>9525</xdr:rowOff>
                  </from>
                  <to>
                    <xdr:col>6</xdr:col>
                    <xdr:colOff>1038225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2</xdr:row>
                    <xdr:rowOff>0</xdr:rowOff>
                  </from>
                  <to>
                    <xdr:col>6</xdr:col>
                    <xdr:colOff>1038225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1</xdr:row>
                    <xdr:rowOff>0</xdr:rowOff>
                  </from>
                  <to>
                    <xdr:col>6</xdr:col>
                    <xdr:colOff>1038225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9" name="Button 1012">
              <controlPr defaultSize="0" print="0" autoFill="0" autoPict="0" macro="[0]!LOAD_NT">
                <anchor moveWithCells="1" sizeWithCells="1">
                  <from>
                    <xdr:col>0</xdr:col>
                    <xdr:colOff>66675</xdr:colOff>
                    <xdr:row>30</xdr:row>
                    <xdr:rowOff>95250</xdr:rowOff>
                  </from>
                  <to>
                    <xdr:col>1</xdr:col>
                    <xdr:colOff>304800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10" name="Button 1013">
              <controlPr defaultSize="0" print="0" autoFill="0" autoPict="0" macro="[0]!COPY_Unc">
                <anchor moveWithCells="1" sizeWithCells="1">
                  <from>
                    <xdr:col>4</xdr:col>
                    <xdr:colOff>66675</xdr:colOff>
                    <xdr:row>18</xdr:row>
                    <xdr:rowOff>85725</xdr:rowOff>
                  </from>
                  <to>
                    <xdr:col>4</xdr:col>
                    <xdr:colOff>1000125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11" name="Button 1014">
              <controlPr defaultSize="0" print="0" autoFill="0" autoPict="0" macro="[0]!COPY_REE">
                <anchor moveWithCells="1" sizeWithCells="1">
                  <from>
                    <xdr:col>5</xdr:col>
                    <xdr:colOff>85725</xdr:colOff>
                    <xdr:row>18</xdr:row>
                    <xdr:rowOff>76200</xdr:rowOff>
                  </from>
                  <to>
                    <xdr:col>5</xdr:col>
                    <xdr:colOff>1085850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"/>
  <sheetViews>
    <sheetView workbookViewId="0">
      <selection activeCell="A2" sqref="A2:X2"/>
    </sheetView>
  </sheetViews>
  <sheetFormatPr defaultRowHeight="12.75" x14ac:dyDescent="0.2"/>
  <cols>
    <col min="2" max="2" width="15.140625" customWidth="1"/>
    <col min="3" max="3" width="12.5703125" customWidth="1"/>
    <col min="4" max="4" width="10.28515625" customWidth="1"/>
    <col min="7" max="7" width="12.28515625" customWidth="1"/>
    <col min="8" max="8" width="11" customWidth="1"/>
    <col min="10" max="10" width="12.5703125" customWidth="1"/>
    <col min="11" max="11" width="14" customWidth="1"/>
  </cols>
  <sheetData>
    <row r="1" spans="1:24" ht="15" x14ac:dyDescent="0.2">
      <c r="A1" s="2" t="s">
        <v>106</v>
      </c>
      <c r="B1" s="59" t="s">
        <v>105</v>
      </c>
      <c r="C1" s="85" t="s">
        <v>38</v>
      </c>
      <c r="D1" s="72" t="s">
        <v>40</v>
      </c>
      <c r="E1" s="75" t="s">
        <v>10</v>
      </c>
      <c r="F1" s="78" t="s">
        <v>76</v>
      </c>
      <c r="G1" s="72" t="s">
        <v>45</v>
      </c>
      <c r="H1" s="72" t="s">
        <v>47</v>
      </c>
      <c r="I1" s="81" t="s">
        <v>49</v>
      </c>
      <c r="J1" s="81" t="s">
        <v>35</v>
      </c>
      <c r="K1" s="81" t="s">
        <v>36</v>
      </c>
      <c r="L1" s="72" t="s">
        <v>71</v>
      </c>
      <c r="M1" s="72" t="s">
        <v>72</v>
      </c>
      <c r="N1" s="72" t="s">
        <v>73</v>
      </c>
      <c r="O1" s="72" t="s">
        <v>75</v>
      </c>
      <c r="P1" s="72" t="s">
        <v>43</v>
      </c>
      <c r="Q1" s="81" t="s">
        <v>51</v>
      </c>
      <c r="R1" s="81" t="s">
        <v>53</v>
      </c>
      <c r="S1" s="78" t="s">
        <v>74</v>
      </c>
      <c r="T1" s="2"/>
      <c r="U1" s="5" t="s">
        <v>4</v>
      </c>
      <c r="V1" s="5" t="s">
        <v>6</v>
      </c>
      <c r="W1" s="7" t="s">
        <v>8</v>
      </c>
      <c r="X1" s="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2019-01-28T16:10:16Z</dcterms:modified>
</cp:coreProperties>
</file>